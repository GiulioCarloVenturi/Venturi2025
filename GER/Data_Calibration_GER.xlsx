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uliocarloventuri/Documents/Imperial College/CBDC_Paper/Payment Systems/Code/GER_costless/"/>
    </mc:Choice>
  </mc:AlternateContent>
  <xr:revisionPtr revIDLastSave="0" documentId="13_ncr:1_{DB7D6AD0-E928-2F4A-AE31-A1F851CC8348}" xr6:coauthVersionLast="47" xr6:coauthVersionMax="47" xr10:uidLastSave="{00000000-0000-0000-0000-000000000000}"/>
  <bookViews>
    <workbookView xWindow="29680" yWindow="14900" windowWidth="26840" windowHeight="15940" firstSheet="3" activeTab="7" xr2:uid="{68F37475-7368-494C-8429-3E2DA24620D2}"/>
  </bookViews>
  <sheets>
    <sheet name="Cost of Payments" sheetId="13" r:id="rId1"/>
    <sheet name="Deposit Rate" sheetId="1" r:id="rId2"/>
    <sheet name="Loan Rate Original" sheetId="6" r:id="rId3"/>
    <sheet name="Loan Rate" sheetId="14" r:id="rId4"/>
    <sheet name="Loan Rate C" sheetId="16" r:id="rId5"/>
    <sheet name="M1" sheetId="7" r:id="rId6"/>
    <sheet name="MRR" sheetId="8" r:id="rId7"/>
    <sheet name="Commercial Loan Rate Original" sheetId="9" r:id="rId8"/>
    <sheet name="Commercial Loan Rate" sheetId="15" r:id="rId9"/>
    <sheet name="Total Assets" sheetId="11" r:id="rId10"/>
    <sheet name="Deposit Cost" sheetId="12" r:id="rId11"/>
    <sheet name="Inflation" sheetId="2" r:id="rId12"/>
    <sheet name="GDP" sheetId="4" r:id="rId13"/>
    <sheet name="Yield5M" sheetId="5" r:id="rId14"/>
    <sheet name="ECB Rate" sheetId="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5" l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3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G97" i="15"/>
  <c r="I97" i="15" s="1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  <c r="F97" i="15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2" i="9"/>
  <c r="H3" i="15" l="1"/>
  <c r="I3" i="15"/>
  <c r="H4" i="15"/>
  <c r="I4" i="15"/>
  <c r="H5" i="15"/>
  <c r="I5" i="15"/>
  <c r="H6" i="15"/>
  <c r="I6" i="15"/>
  <c r="H7" i="15"/>
  <c r="I7" i="15"/>
  <c r="H8" i="15"/>
  <c r="I8" i="15"/>
  <c r="H9" i="15"/>
  <c r="I9" i="15"/>
  <c r="H10" i="15"/>
  <c r="I10" i="15"/>
  <c r="H11" i="15"/>
  <c r="I11" i="15"/>
  <c r="H12" i="15"/>
  <c r="I12" i="15"/>
  <c r="H13" i="15"/>
  <c r="I13" i="15"/>
  <c r="H14" i="15"/>
  <c r="I14" i="15"/>
  <c r="H15" i="15"/>
  <c r="I15" i="15"/>
  <c r="H16" i="15"/>
  <c r="I16" i="15"/>
  <c r="H17" i="15"/>
  <c r="I17" i="15"/>
  <c r="H18" i="15"/>
  <c r="I18" i="15"/>
  <c r="H19" i="15"/>
  <c r="I19" i="15"/>
  <c r="H20" i="15"/>
  <c r="I20" i="15"/>
  <c r="H21" i="15"/>
  <c r="I21" i="15"/>
  <c r="H22" i="15"/>
  <c r="I22" i="15"/>
  <c r="H23" i="15"/>
  <c r="I23" i="15"/>
  <c r="H24" i="15"/>
  <c r="I24" i="15"/>
  <c r="H25" i="15"/>
  <c r="I25" i="15"/>
  <c r="H26" i="15"/>
  <c r="I26" i="15"/>
  <c r="H27" i="15"/>
  <c r="I27" i="15"/>
  <c r="H28" i="15"/>
  <c r="I28" i="15"/>
  <c r="H29" i="15"/>
  <c r="I29" i="15"/>
  <c r="H30" i="15"/>
  <c r="I30" i="15"/>
  <c r="H31" i="15"/>
  <c r="I31" i="15"/>
  <c r="H32" i="15"/>
  <c r="I32" i="15"/>
  <c r="H33" i="15"/>
  <c r="I33" i="15"/>
  <c r="H34" i="15"/>
  <c r="I34" i="15"/>
  <c r="H35" i="15"/>
  <c r="I35" i="15"/>
  <c r="H36" i="15"/>
  <c r="I36" i="15"/>
  <c r="H37" i="15"/>
  <c r="I37" i="15"/>
  <c r="H38" i="15"/>
  <c r="I38" i="15"/>
  <c r="H39" i="15"/>
  <c r="I39" i="15"/>
  <c r="H40" i="15"/>
  <c r="I40" i="15"/>
  <c r="H41" i="15"/>
  <c r="I41" i="15"/>
  <c r="H42" i="15"/>
  <c r="I42" i="15"/>
  <c r="H43" i="15"/>
  <c r="I43" i="15"/>
  <c r="H44" i="15"/>
  <c r="I44" i="15"/>
  <c r="H45" i="15"/>
  <c r="I45" i="15"/>
  <c r="H46" i="15"/>
  <c r="I46" i="15"/>
  <c r="H47" i="15"/>
  <c r="I47" i="15"/>
  <c r="H48" i="15"/>
  <c r="I48" i="15"/>
  <c r="H49" i="15"/>
  <c r="I49" i="15"/>
  <c r="H50" i="15"/>
  <c r="I50" i="15"/>
  <c r="H51" i="15"/>
  <c r="I51" i="15"/>
  <c r="H52" i="15"/>
  <c r="I52" i="15"/>
  <c r="H53" i="15"/>
  <c r="I53" i="15"/>
  <c r="H54" i="15"/>
  <c r="I54" i="15"/>
  <c r="H55" i="15"/>
  <c r="I55" i="15"/>
  <c r="H56" i="15"/>
  <c r="I56" i="15"/>
  <c r="H57" i="15"/>
  <c r="I57" i="15"/>
  <c r="H58" i="15"/>
  <c r="I58" i="15"/>
  <c r="H59" i="15"/>
  <c r="I59" i="15"/>
  <c r="H60" i="15"/>
  <c r="I60" i="15"/>
  <c r="H61" i="15"/>
  <c r="I61" i="15"/>
  <c r="H62" i="15"/>
  <c r="I62" i="15"/>
  <c r="H63" i="15"/>
  <c r="I63" i="15"/>
  <c r="H64" i="15"/>
  <c r="I64" i="15"/>
  <c r="H65" i="15"/>
  <c r="I65" i="15"/>
  <c r="H66" i="15"/>
  <c r="I66" i="15"/>
  <c r="H67" i="15"/>
  <c r="I67" i="15"/>
  <c r="H68" i="15"/>
  <c r="I68" i="15"/>
  <c r="H69" i="15"/>
  <c r="I69" i="15"/>
  <c r="H70" i="15"/>
  <c r="I70" i="15"/>
  <c r="H71" i="15"/>
  <c r="I71" i="15"/>
  <c r="H72" i="15"/>
  <c r="I72" i="15"/>
  <c r="H73" i="15"/>
  <c r="I73" i="15"/>
  <c r="H74" i="15"/>
  <c r="I74" i="15"/>
  <c r="H75" i="15"/>
  <c r="I75" i="15"/>
  <c r="H76" i="15"/>
  <c r="I76" i="15"/>
  <c r="H77" i="15"/>
  <c r="I77" i="15"/>
  <c r="H78" i="15"/>
  <c r="I78" i="15"/>
  <c r="H79" i="15"/>
  <c r="I79" i="15"/>
  <c r="H80" i="15"/>
  <c r="I80" i="15"/>
  <c r="H81" i="15"/>
  <c r="I81" i="15"/>
  <c r="H82" i="15"/>
  <c r="I82" i="15"/>
  <c r="H83" i="15"/>
  <c r="I83" i="15"/>
  <c r="H84" i="15"/>
  <c r="I84" i="15"/>
  <c r="H85" i="15"/>
  <c r="I85" i="15"/>
  <c r="H86" i="15"/>
  <c r="I86" i="15"/>
  <c r="H87" i="15"/>
  <c r="I87" i="15"/>
  <c r="H88" i="15"/>
  <c r="I88" i="15"/>
  <c r="H89" i="15"/>
  <c r="I89" i="15"/>
  <c r="H90" i="15"/>
  <c r="I90" i="15"/>
  <c r="H91" i="15"/>
  <c r="I91" i="15"/>
  <c r="H92" i="15"/>
  <c r="I92" i="15"/>
  <c r="H93" i="15"/>
  <c r="I93" i="15"/>
  <c r="H94" i="15"/>
  <c r="I94" i="15"/>
  <c r="H95" i="15"/>
  <c r="I95" i="15"/>
  <c r="H96" i="15"/>
  <c r="I96" i="15"/>
  <c r="H97" i="15"/>
  <c r="I2" i="15"/>
  <c r="H2" i="15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4" i="1"/>
  <c r="G11" i="13" l="1"/>
  <c r="G10" i="13"/>
  <c r="G9" i="13"/>
  <c r="G8" i="13"/>
  <c r="G6" i="13"/>
  <c r="G7" i="13" s="1"/>
  <c r="G5" i="13"/>
  <c r="G3" i="13"/>
  <c r="G4" i="13"/>
  <c r="G2" i="13"/>
  <c r="C11" i="13"/>
  <c r="D11" i="13"/>
  <c r="E11" i="13"/>
  <c r="F11" i="13"/>
  <c r="B11" i="13"/>
  <c r="D9" i="13"/>
  <c r="E9" i="13"/>
  <c r="F9" i="13"/>
  <c r="D8" i="13"/>
  <c r="E8" i="13"/>
  <c r="F8" i="13"/>
  <c r="D7" i="13"/>
  <c r="E7" i="13"/>
  <c r="F7" i="13"/>
  <c r="D2" i="13"/>
  <c r="D5" i="13" s="1"/>
  <c r="E5" i="13"/>
  <c r="F5" i="13"/>
  <c r="C8" i="13"/>
  <c r="C7" i="13"/>
  <c r="F3" i="13"/>
  <c r="E3" i="13"/>
  <c r="D3" i="13"/>
  <c r="F2" i="13"/>
  <c r="E2" i="13"/>
  <c r="B6" i="13"/>
  <c r="C3" i="13"/>
  <c r="C2" i="13"/>
  <c r="C5" i="13" s="1"/>
  <c r="B3" i="13"/>
  <c r="B2" i="13"/>
  <c r="B9" i="13" s="1"/>
  <c r="B10" i="12"/>
  <c r="C9" i="13" l="1"/>
  <c r="B7" i="13"/>
  <c r="B5" i="13"/>
</calcChain>
</file>

<file path=xl/sharedStrings.xml><?xml version="1.0" encoding="utf-8"?>
<sst xmlns="http://schemas.openxmlformats.org/spreadsheetml/2006/main" count="72" uniqueCount="42">
  <si>
    <t>BBK01.SUD101 and BBK01.SUD107 and BBK01.SU0512</t>
  </si>
  <si>
    <t>Dates</t>
  </si>
  <si>
    <t>Deposit Rate</t>
  </si>
  <si>
    <t>CPI</t>
  </si>
  <si>
    <t>Inflation</t>
  </si>
  <si>
    <t>https://sdw.ecb.europa.eu/quickview.do?SERIES_KEY=143.FM.B.U2.EUR.4F.KR.DFR.LEV</t>
  </si>
  <si>
    <t>DEUCPIALLAINMEI</t>
  </si>
  <si>
    <t>GDP</t>
  </si>
  <si>
    <t>Yield5M</t>
  </si>
  <si>
    <t>BBSIS.M.I.ZST.ZI.EUR.S1311.B.A604.R005X.R.A.A._Z._Z.A</t>
  </si>
  <si>
    <t>BBK01.SUD939A</t>
  </si>
  <si>
    <t>Loan Rate</t>
  </si>
  <si>
    <t>M1</t>
  </si>
  <si>
    <t>BBK01.TXI301</t>
  </si>
  <si>
    <t>MRR Rate</t>
  </si>
  <si>
    <t>BSI.M.U2.N.E.IRR.X.X.U2.0000.Z0Z.I</t>
  </si>
  <si>
    <t>Commercial Loans</t>
  </si>
  <si>
    <t>Real Loans</t>
  </si>
  <si>
    <t>Real Rate</t>
  </si>
  <si>
    <t>Log Real Loans</t>
  </si>
  <si>
    <t>Log Real Rate</t>
  </si>
  <si>
    <t>Commercial Loan Rate</t>
  </si>
  <si>
    <t>DEUCPIALLQINMEI</t>
  </si>
  <si>
    <t>BBK01.PQ3001</t>
  </si>
  <si>
    <t>Total Assets</t>
  </si>
  <si>
    <t>BBK01.OU0308</t>
  </si>
  <si>
    <t>https://www.bundesbank.de/en/statistics/banks-and-other-financial-corporations/banks/banking-statistics-816050</t>
  </si>
  <si>
    <t>VII. 9.</t>
  </si>
  <si>
    <t>Deposit Cost</t>
  </si>
  <si>
    <t>Cash</t>
  </si>
  <si>
    <t>GiroCard</t>
  </si>
  <si>
    <t>Direct Debit</t>
  </si>
  <si>
    <t>Credit Card PIN</t>
  </si>
  <si>
    <t>Credit Card Signature</t>
  </si>
  <si>
    <t>Sales</t>
  </si>
  <si>
    <t>Transactions</t>
  </si>
  <si>
    <t>Fees</t>
  </si>
  <si>
    <t>Costs</t>
  </si>
  <si>
    <t>Total Costs</t>
  </si>
  <si>
    <t>Social Unit Cost</t>
  </si>
  <si>
    <t>CRDQDEANUBIS</t>
  </si>
  <si>
    <t>MIR.M.DE.B.A2I.AM.R.A.2240.EUR.N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</si>
</sst>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666666"/>
      <name val="Lucida Sans"/>
      <family val="2"/>
    </font>
    <font>
      <sz val="10"/>
      <color rgb="FF000000"/>
      <name val="Helvetica Neue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14" fontId="0" fillId="0" borderId="0" xfId="0" applyNumberFormat="1"/>
    <xf numFmtId="0" fontId="1" fillId="0" borderId="0" xfId="1"/>
    <xf numFmtId="0" fontId="2" fillId="0" borderId="0" xfId="0" applyFont="1"/>
    <xf numFmtId="14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11" fontId="0" fillId="0" borderId="0" xfId="0" applyNumberFormat="1"/>
    <xf numFmtId="9" fontId="0" fillId="0" borderId="0" xfId="2" applyFont="1"/>
    <xf numFmtId="10" fontId="0" fillId="0" borderId="0" xfId="2" applyNumberFormat="1" applyFont="1"/>
    <xf numFmtId="2" fontId="0" fillId="0" borderId="0" xfId="0" applyNumberFormat="1"/>
    <xf numFmtId="10" fontId="5" fillId="0" borderId="0" xfId="2" applyNumberFormat="1" applyFont="1"/>
    <xf numFmtId="0" fontId="3" fillId="0" borderId="0" xfId="0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dw.ecb.europa.eu/quickview.do?SERIES_KEY=143.FM.B.U2.EUR.4F.KR.DFR.L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AA74-F1D0-934C-AD40-EA8A0B708FAF}">
  <dimension ref="A1:G11"/>
  <sheetViews>
    <sheetView zoomScale="159" workbookViewId="0">
      <selection activeCell="G5" sqref="G5"/>
    </sheetView>
  </sheetViews>
  <sheetFormatPr baseColWidth="10" defaultRowHeight="16"/>
  <cols>
    <col min="1" max="1" width="14" bestFit="1" customWidth="1"/>
    <col min="2" max="2" width="12.1640625" bestFit="1" customWidth="1"/>
    <col min="3" max="3" width="11.1640625" bestFit="1" customWidth="1"/>
    <col min="4" max="4" width="12.5" bestFit="1" customWidth="1"/>
    <col min="5" max="5" width="13.5" bestFit="1" customWidth="1"/>
    <col min="6" max="6" width="18.6640625" bestFit="1" customWidth="1"/>
    <col min="7" max="7" width="11.5" bestFit="1" customWidth="1"/>
  </cols>
  <sheetData>
    <row r="1" spans="1:7"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7">
      <c r="A2" t="s">
        <v>34</v>
      </c>
      <c r="B2">
        <f>210*1000000000</f>
        <v>210000000000</v>
      </c>
      <c r="C2">
        <f>101*1000000000</f>
        <v>101000000000</v>
      </c>
      <c r="D2" s="8">
        <f>54.8*1000000000</f>
        <v>54800000000</v>
      </c>
      <c r="E2" s="8">
        <f>7.53*1000000000</f>
        <v>7530000000</v>
      </c>
      <c r="F2" s="8">
        <f>17.57*1000000000</f>
        <v>17570000000</v>
      </c>
      <c r="G2">
        <f>SUM(C2:F2)</f>
        <v>180900000000</v>
      </c>
    </row>
    <row r="3" spans="1:7">
      <c r="A3" t="s">
        <v>35</v>
      </c>
      <c r="B3" s="8">
        <f>15579*1000000</f>
        <v>15579000000</v>
      </c>
      <c r="C3" s="8">
        <f>2060*1000000</f>
        <v>2060000000</v>
      </c>
      <c r="D3" s="8">
        <f>1560*1000000</f>
        <v>1560000000</v>
      </c>
      <c r="E3" s="8">
        <f>132*1000000</f>
        <v>132000000</v>
      </c>
      <c r="F3" s="8">
        <f>308*1000000</f>
        <v>308000000</v>
      </c>
      <c r="G3" s="8">
        <f t="shared" ref="G3:G4" si="0">SUM(C3:F3)</f>
        <v>4060000000</v>
      </c>
    </row>
    <row r="4" spans="1:7">
      <c r="A4" t="s">
        <v>36</v>
      </c>
      <c r="B4">
        <v>0</v>
      </c>
      <c r="C4">
        <v>237354230</v>
      </c>
      <c r="D4" s="8">
        <v>99736000</v>
      </c>
      <c r="E4" s="8">
        <v>100149000</v>
      </c>
      <c r="F4" s="8">
        <v>233681000</v>
      </c>
      <c r="G4" s="8">
        <f t="shared" si="0"/>
        <v>670920230</v>
      </c>
    </row>
    <row r="5" spans="1:7">
      <c r="B5" s="9">
        <f>B4/B2</f>
        <v>0</v>
      </c>
      <c r="C5" s="10">
        <f>C4/C2</f>
        <v>2.3500418811881188E-3</v>
      </c>
      <c r="D5" s="10">
        <f>D4/D2</f>
        <v>1.82E-3</v>
      </c>
      <c r="E5" s="10">
        <f t="shared" ref="E5:F5" si="1">E4/E2</f>
        <v>1.3299999999999999E-2</v>
      </c>
      <c r="F5" s="10">
        <f t="shared" si="1"/>
        <v>1.3299999999999999E-2</v>
      </c>
      <c r="G5" s="12">
        <f>G4/G2</f>
        <v>3.7087906578220013E-3</v>
      </c>
    </row>
    <row r="6" spans="1:7">
      <c r="A6" t="s">
        <v>38</v>
      </c>
      <c r="B6" s="8">
        <f>B8+B4</f>
        <v>3774721667</v>
      </c>
      <c r="C6" s="8">
        <v>675302968</v>
      </c>
      <c r="D6" s="8">
        <v>532992339</v>
      </c>
      <c r="E6" s="8">
        <v>128212553</v>
      </c>
      <c r="F6" s="8">
        <v>319221355</v>
      </c>
      <c r="G6" s="8">
        <f>SUM(C6:F6)</f>
        <v>1655729215</v>
      </c>
    </row>
    <row r="7" spans="1:7">
      <c r="B7" s="10">
        <f>B6/B2</f>
        <v>1.797486508095238E-2</v>
      </c>
      <c r="C7" s="10">
        <f>C6/C2</f>
        <v>6.6861680000000001E-3</v>
      </c>
      <c r="D7" s="10">
        <f t="shared" ref="D7:G7" si="2">D6/D2</f>
        <v>9.7261375729927012E-3</v>
      </c>
      <c r="E7" s="10">
        <f t="shared" si="2"/>
        <v>1.70268994687915E-2</v>
      </c>
      <c r="F7" s="10">
        <f t="shared" si="2"/>
        <v>1.8168546101309049E-2</v>
      </c>
      <c r="G7" s="10">
        <f t="shared" si="2"/>
        <v>9.1527319789939197E-3</v>
      </c>
    </row>
    <row r="8" spans="1:7">
      <c r="A8" t="s">
        <v>37</v>
      </c>
      <c r="B8" s="8">
        <v>3774721667</v>
      </c>
      <c r="C8" s="8">
        <f>C6-C4</f>
        <v>437948738</v>
      </c>
      <c r="D8" s="8">
        <f t="shared" ref="D8:F8" si="3">D6-D4</f>
        <v>433256339</v>
      </c>
      <c r="E8" s="8">
        <f t="shared" si="3"/>
        <v>28063553</v>
      </c>
      <c r="F8" s="8">
        <f t="shared" si="3"/>
        <v>85540355</v>
      </c>
      <c r="G8" s="8">
        <f>SUM(C8:F8)</f>
        <v>984808985</v>
      </c>
    </row>
    <row r="9" spans="1:7">
      <c r="B9" s="10">
        <f>B8/B2</f>
        <v>1.797486508095238E-2</v>
      </c>
      <c r="C9" s="10">
        <f>C8/C2</f>
        <v>4.3361261188118814E-3</v>
      </c>
      <c r="D9" s="10">
        <f t="shared" ref="D9:G9" si="4">D8/D2</f>
        <v>7.9061375729927007E-3</v>
      </c>
      <c r="E9" s="10">
        <f t="shared" si="4"/>
        <v>3.7268994687915005E-3</v>
      </c>
      <c r="F9" s="10">
        <f t="shared" si="4"/>
        <v>4.8685461013090493E-3</v>
      </c>
      <c r="G9" s="10">
        <f t="shared" si="4"/>
        <v>5.4439413211719179E-3</v>
      </c>
    </row>
    <row r="10" spans="1:7">
      <c r="A10" t="s">
        <v>39</v>
      </c>
      <c r="B10">
        <v>0.24</v>
      </c>
      <c r="C10">
        <v>0.33</v>
      </c>
      <c r="D10">
        <v>0.34</v>
      </c>
      <c r="E10">
        <v>1.02</v>
      </c>
      <c r="F10">
        <v>1.02</v>
      </c>
      <c r="G10" s="11">
        <f>(C10*C3+D10*D3+E10*E3+F10*F3)/G3</f>
        <v>0.4086206896551724</v>
      </c>
    </row>
    <row r="11" spans="1:7">
      <c r="B11" s="12">
        <f>B10*B3/B2</f>
        <v>1.780457142857143E-2</v>
      </c>
      <c r="C11" s="10">
        <f t="shared" ref="C11:G11" si="5">C10*C3/C2</f>
        <v>6.7306930693069311E-3</v>
      </c>
      <c r="D11" s="10">
        <f t="shared" si="5"/>
        <v>9.6788321167883221E-3</v>
      </c>
      <c r="E11" s="10">
        <f t="shared" si="5"/>
        <v>1.7880478087649403E-2</v>
      </c>
      <c r="F11" s="10">
        <f t="shared" si="5"/>
        <v>1.7880478087649403E-2</v>
      </c>
      <c r="G11" s="12">
        <f t="shared" si="5"/>
        <v>9.1708126036484251E-3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742D-0F18-3E44-AE0A-4FAADF339EF9}">
  <dimension ref="A1:B330"/>
  <sheetViews>
    <sheetView topLeftCell="A303" workbookViewId="0">
      <selection activeCell="B330" sqref="B330"/>
    </sheetView>
  </sheetViews>
  <sheetFormatPr baseColWidth="10" defaultRowHeight="16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s="3">
        <v>45169</v>
      </c>
      <c r="B3">
        <v>0.66</v>
      </c>
    </row>
    <row r="4" spans="1:2">
      <c r="A4" s="3">
        <f>EDATE(A3,-1)</f>
        <v>45138</v>
      </c>
      <c r="B4">
        <v>0.56499999999999995</v>
      </c>
    </row>
    <row r="5" spans="1:2">
      <c r="A5" s="3">
        <f t="shared" ref="A5:A68" si="0">EDATE(A4,-1)</f>
        <v>45107</v>
      </c>
      <c r="B5">
        <v>0.48499999999999999</v>
      </c>
    </row>
    <row r="6" spans="1:2">
      <c r="A6" s="3">
        <f t="shared" si="0"/>
        <v>45076</v>
      </c>
      <c r="B6">
        <v>0.42500000000000004</v>
      </c>
    </row>
    <row r="7" spans="1:2">
      <c r="A7" s="3">
        <f t="shared" si="0"/>
        <v>45046</v>
      </c>
      <c r="B7">
        <v>0.35</v>
      </c>
    </row>
    <row r="8" spans="1:2">
      <c r="A8" s="3">
        <f t="shared" si="0"/>
        <v>45015</v>
      </c>
      <c r="B8">
        <v>0.30499999999999999</v>
      </c>
    </row>
    <row r="9" spans="1:2">
      <c r="A9" s="3">
        <f t="shared" si="0"/>
        <v>44985</v>
      </c>
      <c r="B9">
        <v>0.2</v>
      </c>
    </row>
    <row r="10" spans="1:2">
      <c r="A10" s="3">
        <f t="shared" si="0"/>
        <v>44954</v>
      </c>
      <c r="B10">
        <v>0.14000000000000001</v>
      </c>
    </row>
    <row r="11" spans="1:2">
      <c r="A11" s="3">
        <f t="shared" si="0"/>
        <v>44923</v>
      </c>
      <c r="B11">
        <v>0.09</v>
      </c>
    </row>
    <row r="12" spans="1:2">
      <c r="A12" s="3">
        <f t="shared" si="0"/>
        <v>44893</v>
      </c>
      <c r="B12">
        <v>6.0000000000000005E-2</v>
      </c>
    </row>
    <row r="13" spans="1:2">
      <c r="A13" s="3">
        <f t="shared" si="0"/>
        <v>44862</v>
      </c>
      <c r="B13">
        <v>2.5000000000000001E-2</v>
      </c>
    </row>
    <row r="14" spans="1:2">
      <c r="A14" s="3">
        <f t="shared" si="0"/>
        <v>44832</v>
      </c>
      <c r="B14">
        <v>0.02</v>
      </c>
    </row>
    <row r="15" spans="1:2">
      <c r="A15" s="3">
        <f t="shared" si="0"/>
        <v>44801</v>
      </c>
      <c r="B15">
        <v>-5.0000000000000001E-3</v>
      </c>
    </row>
    <row r="16" spans="1:2">
      <c r="A16" s="3">
        <f t="shared" si="0"/>
        <v>44770</v>
      </c>
      <c r="B16">
        <v>-3.5000000000000003E-2</v>
      </c>
    </row>
    <row r="17" spans="1:2">
      <c r="A17" s="3">
        <f t="shared" si="0"/>
        <v>44740</v>
      </c>
      <c r="B17">
        <v>-8.4999999999999992E-2</v>
      </c>
    </row>
    <row r="18" spans="1:2">
      <c r="A18" s="3">
        <f t="shared" si="0"/>
        <v>44709</v>
      </c>
      <c r="B18">
        <v>-8.4999999999999992E-2</v>
      </c>
    </row>
    <row r="19" spans="1:2">
      <c r="A19" s="3">
        <f t="shared" si="0"/>
        <v>44679</v>
      </c>
      <c r="B19">
        <v>-8.4999999999999992E-2</v>
      </c>
    </row>
    <row r="20" spans="1:2">
      <c r="A20" s="3">
        <f t="shared" si="0"/>
        <v>44648</v>
      </c>
      <c r="B20">
        <v>-8.4999999999999992E-2</v>
      </c>
    </row>
    <row r="21" spans="1:2">
      <c r="A21" s="3">
        <f t="shared" si="0"/>
        <v>44620</v>
      </c>
      <c r="B21">
        <v>-0.08</v>
      </c>
    </row>
    <row r="22" spans="1:2">
      <c r="A22" s="3">
        <f t="shared" si="0"/>
        <v>44589</v>
      </c>
      <c r="B22">
        <v>-7.5000000000000011E-2</v>
      </c>
    </row>
    <row r="23" spans="1:2">
      <c r="A23" s="3">
        <f t="shared" si="0"/>
        <v>44558</v>
      </c>
      <c r="B23">
        <v>-7.5000000000000011E-2</v>
      </c>
    </row>
    <row r="24" spans="1:2">
      <c r="A24" s="3">
        <f t="shared" si="0"/>
        <v>44528</v>
      </c>
      <c r="B24">
        <v>-7.0000000000000007E-2</v>
      </c>
    </row>
    <row r="25" spans="1:2">
      <c r="A25" s="3">
        <f t="shared" si="0"/>
        <v>44497</v>
      </c>
      <c r="B25">
        <v>-7.0000000000000007E-2</v>
      </c>
    </row>
    <row r="26" spans="1:2">
      <c r="A26" s="3">
        <f t="shared" si="0"/>
        <v>44467</v>
      </c>
      <c r="B26">
        <v>-6.5000000000000002E-2</v>
      </c>
    </row>
    <row r="27" spans="1:2">
      <c r="A27" s="3">
        <f t="shared" si="0"/>
        <v>44436</v>
      </c>
      <c r="B27">
        <v>-7.0000000000000007E-2</v>
      </c>
    </row>
    <row r="28" spans="1:2">
      <c r="A28" s="3">
        <f t="shared" si="0"/>
        <v>44405</v>
      </c>
      <c r="B28">
        <v>-6.5000000000000002E-2</v>
      </c>
    </row>
    <row r="29" spans="1:2">
      <c r="A29" s="3">
        <f t="shared" si="0"/>
        <v>44375</v>
      </c>
      <c r="B29">
        <v>-6.5000000000000002E-2</v>
      </c>
    </row>
    <row r="30" spans="1:2">
      <c r="A30" s="3">
        <f t="shared" si="0"/>
        <v>44344</v>
      </c>
      <c r="B30">
        <v>-0.06</v>
      </c>
    </row>
    <row r="31" spans="1:2">
      <c r="A31" s="3">
        <f t="shared" si="0"/>
        <v>44314</v>
      </c>
      <c r="B31">
        <v>-0.05</v>
      </c>
    </row>
    <row r="32" spans="1:2">
      <c r="A32" s="3">
        <f t="shared" si="0"/>
        <v>44283</v>
      </c>
      <c r="B32">
        <v>-5.5E-2</v>
      </c>
    </row>
    <row r="33" spans="1:2">
      <c r="A33" s="3">
        <f t="shared" si="0"/>
        <v>44255</v>
      </c>
      <c r="B33">
        <v>-0.05</v>
      </c>
    </row>
    <row r="34" spans="1:2">
      <c r="A34" s="3">
        <f t="shared" si="0"/>
        <v>44224</v>
      </c>
      <c r="B34">
        <v>-0.05</v>
      </c>
    </row>
    <row r="35" spans="1:2">
      <c r="A35" s="3">
        <f t="shared" si="0"/>
        <v>44193</v>
      </c>
      <c r="B35">
        <v>-4.4999999999999998E-2</v>
      </c>
    </row>
    <row r="36" spans="1:2">
      <c r="A36" s="3">
        <f t="shared" si="0"/>
        <v>44163</v>
      </c>
      <c r="B36">
        <v>-4.4999999999999998E-2</v>
      </c>
    </row>
    <row r="37" spans="1:2">
      <c r="A37" s="3">
        <f t="shared" si="0"/>
        <v>44132</v>
      </c>
      <c r="B37">
        <v>-4.4999999999999998E-2</v>
      </c>
    </row>
    <row r="38" spans="1:2">
      <c r="A38" s="3">
        <f t="shared" si="0"/>
        <v>44102</v>
      </c>
      <c r="B38">
        <v>-0.04</v>
      </c>
    </row>
    <row r="39" spans="1:2">
      <c r="A39" s="3">
        <f t="shared" si="0"/>
        <v>44071</v>
      </c>
      <c r="B39">
        <v>-0.04</v>
      </c>
    </row>
    <row r="40" spans="1:2">
      <c r="A40" s="3">
        <f t="shared" si="0"/>
        <v>44040</v>
      </c>
      <c r="B40">
        <v>-0.04</v>
      </c>
    </row>
    <row r="41" spans="1:2">
      <c r="A41" s="3">
        <f t="shared" si="0"/>
        <v>44010</v>
      </c>
      <c r="B41">
        <v>-0.04</v>
      </c>
    </row>
    <row r="42" spans="1:2">
      <c r="A42" s="3">
        <f t="shared" si="0"/>
        <v>43979</v>
      </c>
      <c r="B42">
        <v>-0.04</v>
      </c>
    </row>
    <row r="43" spans="1:2">
      <c r="A43" s="3">
        <f t="shared" si="0"/>
        <v>43949</v>
      </c>
      <c r="B43">
        <v>-0.04</v>
      </c>
    </row>
    <row r="44" spans="1:2">
      <c r="A44" s="3">
        <f t="shared" si="0"/>
        <v>43918</v>
      </c>
      <c r="B44">
        <v>-3.5000000000000003E-2</v>
      </c>
    </row>
    <row r="45" spans="1:2">
      <c r="A45" s="3">
        <f t="shared" si="0"/>
        <v>43889</v>
      </c>
      <c r="B45">
        <v>-0.03</v>
      </c>
    </row>
    <row r="46" spans="1:2">
      <c r="A46" s="3">
        <f t="shared" si="0"/>
        <v>43858</v>
      </c>
      <c r="B46">
        <v>-2.4999999999999998E-2</v>
      </c>
    </row>
    <row r="47" spans="1:2">
      <c r="A47" s="3">
        <f t="shared" si="0"/>
        <v>43827</v>
      </c>
      <c r="B47">
        <v>-0.02</v>
      </c>
    </row>
    <row r="48" spans="1:2">
      <c r="A48" s="3">
        <f t="shared" si="0"/>
        <v>43797</v>
      </c>
      <c r="B48">
        <v>-1.4999999999999999E-2</v>
      </c>
    </row>
    <row r="49" spans="1:2">
      <c r="A49" s="3">
        <f t="shared" si="0"/>
        <v>43766</v>
      </c>
      <c r="B49">
        <v>-1.4999999999999999E-2</v>
      </c>
    </row>
    <row r="50" spans="1:2">
      <c r="A50" s="3">
        <f t="shared" si="0"/>
        <v>43736</v>
      </c>
      <c r="B50">
        <v>-1.4999999999999999E-2</v>
      </c>
    </row>
    <row r="51" spans="1:2">
      <c r="A51" s="3">
        <f t="shared" si="0"/>
        <v>43705</v>
      </c>
      <c r="B51">
        <v>-9.9999999999999985E-3</v>
      </c>
    </row>
    <row r="52" spans="1:2">
      <c r="A52" s="3">
        <f t="shared" si="0"/>
        <v>43674</v>
      </c>
      <c r="B52">
        <v>-9.9999999999999985E-3</v>
      </c>
    </row>
    <row r="53" spans="1:2">
      <c r="A53" s="3">
        <f t="shared" si="0"/>
        <v>43644</v>
      </c>
      <c r="B53">
        <v>-9.9999999999999985E-3</v>
      </c>
    </row>
    <row r="54" spans="1:2">
      <c r="A54" s="3">
        <f t="shared" si="0"/>
        <v>43613</v>
      </c>
      <c r="B54">
        <v>-9.9999999999999985E-3</v>
      </c>
    </row>
    <row r="55" spans="1:2">
      <c r="A55" s="3">
        <f t="shared" si="0"/>
        <v>43583</v>
      </c>
      <c r="B55">
        <v>-9.9999999999999985E-3</v>
      </c>
    </row>
    <row r="56" spans="1:2">
      <c r="A56" s="3">
        <f t="shared" si="0"/>
        <v>43552</v>
      </c>
      <c r="B56">
        <v>-9.9999999999999985E-3</v>
      </c>
    </row>
    <row r="57" spans="1:2">
      <c r="A57" s="3">
        <f t="shared" si="0"/>
        <v>43524</v>
      </c>
      <c r="B57">
        <v>-4.9999999999999992E-3</v>
      </c>
    </row>
    <row r="58" spans="1:2">
      <c r="A58" s="3">
        <f t="shared" si="0"/>
        <v>43493</v>
      </c>
      <c r="B58">
        <v>-4.9999999999999992E-3</v>
      </c>
    </row>
    <row r="59" spans="1:2">
      <c r="A59" s="3">
        <f t="shared" si="0"/>
        <v>43462</v>
      </c>
      <c r="B59">
        <v>-4.9999999999999992E-3</v>
      </c>
    </row>
    <row r="60" spans="1:2">
      <c r="A60" s="3">
        <f t="shared" si="0"/>
        <v>43432</v>
      </c>
      <c r="B60">
        <v>-4.9999999999999992E-3</v>
      </c>
    </row>
    <row r="61" spans="1:2">
      <c r="A61" s="3">
        <f t="shared" si="0"/>
        <v>43401</v>
      </c>
      <c r="B61">
        <v>-9.9999999999999985E-3</v>
      </c>
    </row>
    <row r="62" spans="1:2">
      <c r="A62" s="3">
        <f t="shared" si="0"/>
        <v>43371</v>
      </c>
      <c r="B62">
        <v>-5.0000000000000001E-3</v>
      </c>
    </row>
    <row r="63" spans="1:2">
      <c r="A63" s="3">
        <f t="shared" si="0"/>
        <v>43340</v>
      </c>
      <c r="B63">
        <v>-5.0000000000000001E-3</v>
      </c>
    </row>
    <row r="64" spans="1:2">
      <c r="A64" s="3">
        <f t="shared" si="0"/>
        <v>43309</v>
      </c>
      <c r="B64">
        <v>0</v>
      </c>
    </row>
    <row r="65" spans="1:2">
      <c r="A65" s="3">
        <f t="shared" si="0"/>
        <v>43279</v>
      </c>
      <c r="B65">
        <v>-4.9999999999999992E-3</v>
      </c>
    </row>
    <row r="66" spans="1:2">
      <c r="A66" s="3">
        <f t="shared" si="0"/>
        <v>43248</v>
      </c>
      <c r="B66">
        <v>-4.9999999999999992E-3</v>
      </c>
    </row>
    <row r="67" spans="1:2">
      <c r="A67" s="3">
        <f t="shared" si="0"/>
        <v>43218</v>
      </c>
      <c r="B67">
        <v>-4.9999999999999992E-3</v>
      </c>
    </row>
    <row r="68" spans="1:2">
      <c r="A68" s="3">
        <f t="shared" si="0"/>
        <v>43187</v>
      </c>
      <c r="B68">
        <v>0</v>
      </c>
    </row>
    <row r="69" spans="1:2">
      <c r="A69" s="3">
        <f t="shared" ref="A69:A132" si="1">EDATE(A68,-1)</f>
        <v>43159</v>
      </c>
      <c r="B69">
        <v>4.9999999999999992E-3</v>
      </c>
    </row>
    <row r="70" spans="1:2">
      <c r="A70" s="3">
        <f t="shared" si="1"/>
        <v>43128</v>
      </c>
      <c r="B70">
        <v>4.9999999999999992E-3</v>
      </c>
    </row>
    <row r="71" spans="1:2">
      <c r="A71" s="3">
        <f t="shared" si="1"/>
        <v>43097</v>
      </c>
      <c r="B71">
        <v>4.9999999999999992E-3</v>
      </c>
    </row>
    <row r="72" spans="1:2">
      <c r="A72" s="3">
        <f t="shared" si="1"/>
        <v>43067</v>
      </c>
      <c r="B72">
        <v>4.9999999999999992E-3</v>
      </c>
    </row>
    <row r="73" spans="1:2">
      <c r="A73" s="3">
        <f t="shared" si="1"/>
        <v>43036</v>
      </c>
      <c r="B73">
        <v>4.9999999999999992E-3</v>
      </c>
    </row>
    <row r="74" spans="1:2">
      <c r="A74" s="3">
        <f t="shared" si="1"/>
        <v>43006</v>
      </c>
      <c r="B74">
        <v>4.9999999999999992E-3</v>
      </c>
    </row>
    <row r="75" spans="1:2">
      <c r="A75" s="3">
        <f t="shared" si="1"/>
        <v>42975</v>
      </c>
      <c r="B75">
        <v>4.9999999999999992E-3</v>
      </c>
    </row>
    <row r="76" spans="1:2">
      <c r="A76" s="3">
        <f t="shared" si="1"/>
        <v>42944</v>
      </c>
      <c r="B76">
        <v>1.4999999999999999E-2</v>
      </c>
    </row>
    <row r="77" spans="1:2">
      <c r="A77" s="3">
        <f t="shared" si="1"/>
        <v>42914</v>
      </c>
      <c r="B77">
        <v>0.01</v>
      </c>
    </row>
    <row r="78" spans="1:2">
      <c r="A78" s="3">
        <f t="shared" si="1"/>
        <v>42883</v>
      </c>
      <c r="B78">
        <v>0.02</v>
      </c>
    </row>
    <row r="79" spans="1:2">
      <c r="A79" s="3">
        <f t="shared" si="1"/>
        <v>42853</v>
      </c>
      <c r="B79">
        <v>0.02</v>
      </c>
    </row>
    <row r="80" spans="1:2">
      <c r="A80" s="3">
        <f t="shared" si="1"/>
        <v>42822</v>
      </c>
      <c r="B80">
        <v>0.02</v>
      </c>
    </row>
    <row r="81" spans="1:2">
      <c r="A81" s="3">
        <f t="shared" si="1"/>
        <v>42794</v>
      </c>
      <c r="B81">
        <v>0.03</v>
      </c>
    </row>
    <row r="82" spans="1:2">
      <c r="A82" s="3">
        <f t="shared" si="1"/>
        <v>42763</v>
      </c>
      <c r="B82">
        <v>3.5000000000000003E-2</v>
      </c>
    </row>
    <row r="83" spans="1:2">
      <c r="A83" s="3">
        <f t="shared" si="1"/>
        <v>42732</v>
      </c>
      <c r="B83">
        <v>3.5000000000000003E-2</v>
      </c>
    </row>
    <row r="84" spans="1:2">
      <c r="A84" s="3">
        <f t="shared" si="1"/>
        <v>42702</v>
      </c>
      <c r="B84">
        <v>3.5000000000000003E-2</v>
      </c>
    </row>
    <row r="85" spans="1:2">
      <c r="A85" s="3">
        <f t="shared" si="1"/>
        <v>42671</v>
      </c>
      <c r="B85">
        <v>3.5000000000000003E-2</v>
      </c>
    </row>
    <row r="86" spans="1:2">
      <c r="A86" s="3">
        <f t="shared" si="1"/>
        <v>42641</v>
      </c>
      <c r="B86">
        <v>4.4999999999999998E-2</v>
      </c>
    </row>
    <row r="87" spans="1:2">
      <c r="A87" s="3">
        <f t="shared" si="1"/>
        <v>42610</v>
      </c>
      <c r="B87">
        <v>4.4999999999999998E-2</v>
      </c>
    </row>
    <row r="88" spans="1:2">
      <c r="A88" s="3">
        <f t="shared" si="1"/>
        <v>42579</v>
      </c>
      <c r="B88">
        <v>4.4999999999999998E-2</v>
      </c>
    </row>
    <row r="89" spans="1:2">
      <c r="A89" s="3">
        <f t="shared" si="1"/>
        <v>42549</v>
      </c>
      <c r="B89">
        <v>4.4999999999999998E-2</v>
      </c>
    </row>
    <row r="90" spans="1:2">
      <c r="A90" s="3">
        <f t="shared" si="1"/>
        <v>42518</v>
      </c>
      <c r="B90">
        <v>5.5E-2</v>
      </c>
    </row>
    <row r="91" spans="1:2">
      <c r="A91" s="3">
        <f t="shared" si="1"/>
        <v>42488</v>
      </c>
      <c r="B91">
        <v>7.5000000000000011E-2</v>
      </c>
    </row>
    <row r="92" spans="1:2">
      <c r="A92" s="3">
        <f t="shared" si="1"/>
        <v>42457</v>
      </c>
      <c r="B92">
        <v>0.08</v>
      </c>
    </row>
    <row r="93" spans="1:2">
      <c r="A93" s="3">
        <f t="shared" si="1"/>
        <v>42428</v>
      </c>
      <c r="B93">
        <v>7.4999999999999997E-2</v>
      </c>
    </row>
    <row r="94" spans="1:2">
      <c r="A94" s="3">
        <f t="shared" si="1"/>
        <v>42397</v>
      </c>
      <c r="B94">
        <v>7.4999999999999997E-2</v>
      </c>
    </row>
    <row r="95" spans="1:2">
      <c r="A95" s="3">
        <f t="shared" si="1"/>
        <v>42366</v>
      </c>
      <c r="B95">
        <v>8.5000000000000006E-2</v>
      </c>
    </row>
    <row r="96" spans="1:2">
      <c r="A96" s="3">
        <f t="shared" si="1"/>
        <v>42336</v>
      </c>
      <c r="B96">
        <v>9.5000000000000001E-2</v>
      </c>
    </row>
    <row r="97" spans="1:2">
      <c r="A97" s="3">
        <f t="shared" si="1"/>
        <v>42305</v>
      </c>
      <c r="B97">
        <v>0.1</v>
      </c>
    </row>
    <row r="98" spans="1:2">
      <c r="A98" s="3">
        <f t="shared" si="1"/>
        <v>42275</v>
      </c>
      <c r="B98">
        <v>9.5000000000000001E-2</v>
      </c>
    </row>
    <row r="99" spans="1:2">
      <c r="A99" s="3">
        <f t="shared" si="1"/>
        <v>42244</v>
      </c>
      <c r="B99">
        <v>0.1</v>
      </c>
    </row>
    <row r="100" spans="1:2">
      <c r="A100" s="3">
        <f t="shared" si="1"/>
        <v>42213</v>
      </c>
      <c r="B100">
        <v>0.1</v>
      </c>
    </row>
    <row r="101" spans="1:2">
      <c r="A101" s="3">
        <f t="shared" si="1"/>
        <v>42183</v>
      </c>
      <c r="B101">
        <v>0.105</v>
      </c>
    </row>
    <row r="102" spans="1:2">
      <c r="A102" s="3">
        <f t="shared" si="1"/>
        <v>42152</v>
      </c>
      <c r="B102">
        <v>0.11</v>
      </c>
    </row>
    <row r="103" spans="1:2">
      <c r="A103" s="3">
        <f t="shared" si="1"/>
        <v>42122</v>
      </c>
      <c r="B103">
        <v>0.11</v>
      </c>
    </row>
    <row r="104" spans="1:2">
      <c r="A104" s="3">
        <f t="shared" si="1"/>
        <v>42091</v>
      </c>
      <c r="B104">
        <v>0.12000000000000001</v>
      </c>
    </row>
    <row r="105" spans="1:2">
      <c r="A105" s="3">
        <f t="shared" si="1"/>
        <v>42063</v>
      </c>
      <c r="B105">
        <v>0.13500000000000001</v>
      </c>
    </row>
    <row r="106" spans="1:2">
      <c r="A106" s="3">
        <f t="shared" si="1"/>
        <v>42032</v>
      </c>
      <c r="B106">
        <v>0.15</v>
      </c>
    </row>
    <row r="107" spans="1:2">
      <c r="A107" s="3">
        <f t="shared" si="1"/>
        <v>42001</v>
      </c>
      <c r="B107">
        <v>0.155</v>
      </c>
    </row>
    <row r="108" spans="1:2">
      <c r="A108" s="3">
        <f t="shared" si="1"/>
        <v>41971</v>
      </c>
      <c r="B108">
        <v>0.16</v>
      </c>
    </row>
    <row r="109" spans="1:2">
      <c r="A109" s="3">
        <f t="shared" si="1"/>
        <v>41940</v>
      </c>
      <c r="B109">
        <v>0.16500000000000001</v>
      </c>
    </row>
    <row r="110" spans="1:2">
      <c r="A110" s="3">
        <f t="shared" si="1"/>
        <v>41910</v>
      </c>
      <c r="B110">
        <v>0.18</v>
      </c>
    </row>
    <row r="111" spans="1:2">
      <c r="A111" s="3">
        <f t="shared" si="1"/>
        <v>41879</v>
      </c>
      <c r="B111">
        <v>0.19</v>
      </c>
    </row>
    <row r="112" spans="1:2">
      <c r="A112" s="3">
        <f t="shared" si="1"/>
        <v>41848</v>
      </c>
      <c r="B112">
        <v>0.19500000000000001</v>
      </c>
    </row>
    <row r="113" spans="1:2">
      <c r="A113" s="3">
        <f t="shared" si="1"/>
        <v>41818</v>
      </c>
      <c r="B113">
        <v>0.22999999999999998</v>
      </c>
    </row>
    <row r="114" spans="1:2">
      <c r="A114" s="3">
        <f t="shared" si="1"/>
        <v>41787</v>
      </c>
      <c r="B114">
        <v>0.245</v>
      </c>
    </row>
    <row r="115" spans="1:2">
      <c r="A115" s="3">
        <f t="shared" si="1"/>
        <v>41757</v>
      </c>
      <c r="B115">
        <v>0.245</v>
      </c>
    </row>
    <row r="116" spans="1:2">
      <c r="A116" s="3">
        <f t="shared" si="1"/>
        <v>41726</v>
      </c>
      <c r="B116">
        <v>0.25</v>
      </c>
    </row>
    <row r="117" spans="1:2">
      <c r="A117" s="3">
        <f t="shared" si="1"/>
        <v>41698</v>
      </c>
      <c r="B117">
        <v>0.245</v>
      </c>
    </row>
    <row r="118" spans="1:2">
      <c r="A118" s="3">
        <f t="shared" si="1"/>
        <v>41667</v>
      </c>
      <c r="B118">
        <v>0.245</v>
      </c>
    </row>
    <row r="119" spans="1:2">
      <c r="A119" s="3">
        <f t="shared" si="1"/>
        <v>41636</v>
      </c>
      <c r="B119">
        <v>0.25</v>
      </c>
    </row>
    <row r="120" spans="1:2">
      <c r="A120" s="3">
        <f t="shared" si="1"/>
        <v>41606</v>
      </c>
      <c r="B120">
        <v>0.255</v>
      </c>
    </row>
    <row r="121" spans="1:2">
      <c r="A121" s="3">
        <f t="shared" si="1"/>
        <v>41575</v>
      </c>
      <c r="B121">
        <v>0.26500000000000001</v>
      </c>
    </row>
    <row r="122" spans="1:2">
      <c r="A122" s="3">
        <f t="shared" si="1"/>
        <v>41545</v>
      </c>
      <c r="B122">
        <v>0.27500000000000002</v>
      </c>
    </row>
    <row r="123" spans="1:2">
      <c r="A123" s="3">
        <f t="shared" si="1"/>
        <v>41514</v>
      </c>
      <c r="B123">
        <v>0.27500000000000002</v>
      </c>
    </row>
    <row r="124" spans="1:2">
      <c r="A124" s="3">
        <f t="shared" si="1"/>
        <v>41483</v>
      </c>
      <c r="B124">
        <v>0.28000000000000003</v>
      </c>
    </row>
    <row r="125" spans="1:2">
      <c r="A125" s="3">
        <f t="shared" si="1"/>
        <v>41453</v>
      </c>
      <c r="B125">
        <v>0.29000000000000004</v>
      </c>
    </row>
    <row r="126" spans="1:2">
      <c r="A126" s="3">
        <f t="shared" si="1"/>
        <v>41422</v>
      </c>
      <c r="B126">
        <v>0.30499999999999999</v>
      </c>
    </row>
    <row r="127" spans="1:2">
      <c r="A127" s="3">
        <f t="shared" si="1"/>
        <v>41392</v>
      </c>
      <c r="B127">
        <v>0.32</v>
      </c>
    </row>
    <row r="128" spans="1:2">
      <c r="A128" s="3">
        <f t="shared" si="1"/>
        <v>41361</v>
      </c>
      <c r="B128">
        <v>0.34</v>
      </c>
    </row>
    <row r="129" spans="1:2">
      <c r="A129" s="3">
        <f t="shared" si="1"/>
        <v>41333</v>
      </c>
      <c r="B129">
        <v>0.35</v>
      </c>
    </row>
    <row r="130" spans="1:2">
      <c r="A130" s="3">
        <f t="shared" si="1"/>
        <v>41302</v>
      </c>
      <c r="B130">
        <v>0.37</v>
      </c>
    </row>
    <row r="131" spans="1:2">
      <c r="A131" s="3">
        <f t="shared" si="1"/>
        <v>41271</v>
      </c>
      <c r="B131">
        <v>0.38</v>
      </c>
    </row>
    <row r="132" spans="1:2">
      <c r="A132" s="3">
        <f t="shared" si="1"/>
        <v>41241</v>
      </c>
      <c r="B132">
        <v>0.4</v>
      </c>
    </row>
    <row r="133" spans="1:2">
      <c r="A133" s="3">
        <f t="shared" ref="A133:A196" si="2">EDATE(A132,-1)</f>
        <v>41210</v>
      </c>
      <c r="B133">
        <v>0.42000000000000004</v>
      </c>
    </row>
    <row r="134" spans="1:2">
      <c r="A134" s="3">
        <f t="shared" si="2"/>
        <v>41180</v>
      </c>
      <c r="B134">
        <v>0.44499999999999995</v>
      </c>
    </row>
    <row r="135" spans="1:2">
      <c r="A135" s="3">
        <f t="shared" si="2"/>
        <v>41149</v>
      </c>
      <c r="B135">
        <v>0.47499999999999998</v>
      </c>
    </row>
    <row r="136" spans="1:2">
      <c r="A136" s="3">
        <f t="shared" si="2"/>
        <v>41118</v>
      </c>
      <c r="B136">
        <v>0.51500000000000001</v>
      </c>
    </row>
    <row r="137" spans="1:2">
      <c r="A137" s="3">
        <f t="shared" si="2"/>
        <v>41088</v>
      </c>
      <c r="B137">
        <v>0.56999999999999995</v>
      </c>
    </row>
    <row r="138" spans="1:2">
      <c r="A138" s="3">
        <f t="shared" si="2"/>
        <v>41057</v>
      </c>
      <c r="B138">
        <v>0.59</v>
      </c>
    </row>
    <row r="139" spans="1:2">
      <c r="A139" s="3">
        <f t="shared" si="2"/>
        <v>41027</v>
      </c>
      <c r="B139">
        <v>0.61499999999999999</v>
      </c>
    </row>
    <row r="140" spans="1:2">
      <c r="A140" s="3">
        <f t="shared" si="2"/>
        <v>40996</v>
      </c>
      <c r="B140">
        <v>0.63500000000000001</v>
      </c>
    </row>
    <row r="141" spans="1:2">
      <c r="A141" s="3">
        <f t="shared" si="2"/>
        <v>40967</v>
      </c>
      <c r="B141">
        <v>0.67</v>
      </c>
    </row>
    <row r="142" spans="1:2">
      <c r="A142" s="3">
        <f t="shared" si="2"/>
        <v>40936</v>
      </c>
      <c r="B142">
        <v>0.69</v>
      </c>
    </row>
    <row r="143" spans="1:2">
      <c r="A143" s="3">
        <f t="shared" si="2"/>
        <v>40905</v>
      </c>
      <c r="B143">
        <v>0.71499999999999997</v>
      </c>
    </row>
    <row r="144" spans="1:2">
      <c r="A144" s="3">
        <f t="shared" si="2"/>
        <v>40875</v>
      </c>
      <c r="B144">
        <v>0.745</v>
      </c>
    </row>
    <row r="145" spans="1:2">
      <c r="A145" s="3">
        <f t="shared" si="2"/>
        <v>40844</v>
      </c>
      <c r="B145">
        <v>0.76500000000000001</v>
      </c>
    </row>
    <row r="146" spans="1:2">
      <c r="A146" s="3">
        <f t="shared" si="2"/>
        <v>40814</v>
      </c>
      <c r="B146">
        <v>0.77499999999999991</v>
      </c>
    </row>
    <row r="147" spans="1:2">
      <c r="A147" s="3">
        <f t="shared" si="2"/>
        <v>40783</v>
      </c>
      <c r="B147">
        <v>0.75</v>
      </c>
    </row>
    <row r="148" spans="1:2">
      <c r="A148" s="3">
        <f t="shared" si="2"/>
        <v>40752</v>
      </c>
      <c r="B148">
        <v>0.73</v>
      </c>
    </row>
    <row r="149" spans="1:2">
      <c r="A149" s="3">
        <f t="shared" si="2"/>
        <v>40722</v>
      </c>
      <c r="B149">
        <v>0.7</v>
      </c>
    </row>
    <row r="150" spans="1:2">
      <c r="A150" s="3">
        <f t="shared" si="2"/>
        <v>40691</v>
      </c>
      <c r="B150">
        <v>0.66999999999999993</v>
      </c>
    </row>
    <row r="151" spans="1:2">
      <c r="A151" s="3">
        <f t="shared" si="2"/>
        <v>40661</v>
      </c>
      <c r="B151">
        <v>0.64999999999999991</v>
      </c>
    </row>
    <row r="152" spans="1:2">
      <c r="A152" s="3">
        <f t="shared" si="2"/>
        <v>40630</v>
      </c>
      <c r="B152">
        <v>0.60499999999999998</v>
      </c>
    </row>
    <row r="153" spans="1:2">
      <c r="A153" s="3">
        <f t="shared" si="2"/>
        <v>40602</v>
      </c>
      <c r="B153">
        <v>0.59000000000000008</v>
      </c>
    </row>
    <row r="154" spans="1:2">
      <c r="A154" s="3">
        <f t="shared" si="2"/>
        <v>40571</v>
      </c>
      <c r="B154">
        <v>0.6100000000000001</v>
      </c>
    </row>
    <row r="155" spans="1:2">
      <c r="A155" s="3">
        <f t="shared" si="2"/>
        <v>40540</v>
      </c>
      <c r="B155">
        <v>0.57499999999999996</v>
      </c>
    </row>
    <row r="156" spans="1:2">
      <c r="A156" s="3">
        <f t="shared" si="2"/>
        <v>40510</v>
      </c>
      <c r="B156">
        <v>0.59000000000000008</v>
      </c>
    </row>
    <row r="157" spans="1:2">
      <c r="A157" s="3">
        <f t="shared" si="2"/>
        <v>40479</v>
      </c>
      <c r="B157">
        <v>0.60499999999999998</v>
      </c>
    </row>
    <row r="158" spans="1:2">
      <c r="A158" s="3">
        <f t="shared" si="2"/>
        <v>40449</v>
      </c>
      <c r="B158">
        <v>0.58499999999999996</v>
      </c>
    </row>
    <row r="159" spans="1:2">
      <c r="A159" s="3">
        <f t="shared" si="2"/>
        <v>40418</v>
      </c>
      <c r="B159">
        <v>0.58499999999999996</v>
      </c>
    </row>
    <row r="160" spans="1:2">
      <c r="A160" s="3">
        <f t="shared" si="2"/>
        <v>40387</v>
      </c>
      <c r="B160">
        <v>0.58499999999999996</v>
      </c>
    </row>
    <row r="161" spans="1:2">
      <c r="A161" s="3">
        <f t="shared" si="2"/>
        <v>40357</v>
      </c>
      <c r="B161">
        <v>0.59</v>
      </c>
    </row>
    <row r="162" spans="1:2">
      <c r="A162" s="3">
        <f t="shared" si="2"/>
        <v>40326</v>
      </c>
      <c r="B162">
        <v>0.56499999999999995</v>
      </c>
    </row>
    <row r="163" spans="1:2">
      <c r="A163" s="3">
        <f t="shared" si="2"/>
        <v>40296</v>
      </c>
      <c r="B163">
        <v>0.56999999999999995</v>
      </c>
    </row>
    <row r="164" spans="1:2">
      <c r="A164" s="3">
        <f t="shared" si="2"/>
        <v>40265</v>
      </c>
      <c r="B164">
        <v>0.57499999999999996</v>
      </c>
    </row>
    <row r="165" spans="1:2">
      <c r="A165" s="3">
        <f t="shared" si="2"/>
        <v>40237</v>
      </c>
      <c r="B165">
        <v>0.59</v>
      </c>
    </row>
    <row r="166" spans="1:2">
      <c r="A166" s="3">
        <f t="shared" si="2"/>
        <v>40206</v>
      </c>
      <c r="B166">
        <v>0.60499999999999998</v>
      </c>
    </row>
    <row r="167" spans="1:2">
      <c r="A167" s="3">
        <f t="shared" si="2"/>
        <v>40175</v>
      </c>
      <c r="B167">
        <v>0.60499999999999998</v>
      </c>
    </row>
    <row r="168" spans="1:2">
      <c r="A168" s="3">
        <f t="shared" si="2"/>
        <v>40145</v>
      </c>
      <c r="B168">
        <v>0.61</v>
      </c>
    </row>
    <row r="169" spans="1:2">
      <c r="A169" s="3">
        <f t="shared" si="2"/>
        <v>40114</v>
      </c>
      <c r="B169">
        <v>0.63500000000000001</v>
      </c>
    </row>
    <row r="170" spans="1:2">
      <c r="A170" s="3">
        <f t="shared" si="2"/>
        <v>40084</v>
      </c>
      <c r="B170">
        <v>0.66500000000000004</v>
      </c>
    </row>
    <row r="171" spans="1:2">
      <c r="A171" s="3">
        <f t="shared" si="2"/>
        <v>40053</v>
      </c>
      <c r="B171">
        <v>0.68500000000000005</v>
      </c>
    </row>
    <row r="172" spans="1:2">
      <c r="A172" s="3">
        <f t="shared" si="2"/>
        <v>40022</v>
      </c>
      <c r="B172">
        <v>0.71500000000000008</v>
      </c>
    </row>
    <row r="173" spans="1:2">
      <c r="A173" s="3">
        <f t="shared" si="2"/>
        <v>39992</v>
      </c>
      <c r="B173">
        <v>0.77499999999999991</v>
      </c>
    </row>
    <row r="174" spans="1:2">
      <c r="A174" s="3">
        <f t="shared" si="2"/>
        <v>39961</v>
      </c>
      <c r="B174">
        <v>0.92</v>
      </c>
    </row>
    <row r="175" spans="1:2">
      <c r="A175" s="3">
        <f t="shared" si="2"/>
        <v>39931</v>
      </c>
      <c r="B175">
        <v>0.97</v>
      </c>
    </row>
    <row r="176" spans="1:2">
      <c r="A176" s="3">
        <f t="shared" si="2"/>
        <v>39900</v>
      </c>
      <c r="B176">
        <v>1.2050000000000001</v>
      </c>
    </row>
    <row r="177" spans="1:2">
      <c r="A177" s="3">
        <f t="shared" si="2"/>
        <v>39872</v>
      </c>
      <c r="B177">
        <v>1.355</v>
      </c>
    </row>
    <row r="178" spans="1:2">
      <c r="A178" s="3">
        <f t="shared" si="2"/>
        <v>39841</v>
      </c>
      <c r="B178">
        <v>1.54</v>
      </c>
    </row>
    <row r="179" spans="1:2">
      <c r="A179" s="3">
        <f t="shared" si="2"/>
        <v>39810</v>
      </c>
      <c r="B179">
        <v>1.7549999999999999</v>
      </c>
    </row>
    <row r="180" spans="1:2">
      <c r="A180" s="3">
        <f t="shared" si="2"/>
        <v>39780</v>
      </c>
      <c r="B180">
        <v>2.08</v>
      </c>
    </row>
    <row r="181" spans="1:2">
      <c r="A181" s="3">
        <f t="shared" si="2"/>
        <v>39749</v>
      </c>
      <c r="B181">
        <v>2.25</v>
      </c>
    </row>
    <row r="182" spans="1:2">
      <c r="A182" s="3">
        <f t="shared" si="2"/>
        <v>39719</v>
      </c>
      <c r="B182">
        <v>2.3149999999999999</v>
      </c>
    </row>
    <row r="183" spans="1:2">
      <c r="A183" s="3">
        <f t="shared" si="2"/>
        <v>39688</v>
      </c>
      <c r="B183">
        <v>2.23</v>
      </c>
    </row>
    <row r="184" spans="1:2">
      <c r="A184" s="3">
        <f t="shared" si="2"/>
        <v>39657</v>
      </c>
      <c r="B184">
        <v>2.2250000000000001</v>
      </c>
    </row>
    <row r="185" spans="1:2">
      <c r="A185" s="3">
        <f t="shared" si="2"/>
        <v>39627</v>
      </c>
      <c r="B185">
        <v>2.1349999999999998</v>
      </c>
    </row>
    <row r="186" spans="1:2">
      <c r="A186" s="3">
        <f t="shared" si="2"/>
        <v>39596</v>
      </c>
      <c r="B186">
        <v>2.16</v>
      </c>
    </row>
    <row r="187" spans="1:2">
      <c r="A187" s="3">
        <f t="shared" si="2"/>
        <v>39566</v>
      </c>
      <c r="B187">
        <v>2.16</v>
      </c>
    </row>
    <row r="188" spans="1:2">
      <c r="A188" s="3">
        <f t="shared" si="2"/>
        <v>39535</v>
      </c>
      <c r="B188">
        <v>2.1550000000000002</v>
      </c>
    </row>
    <row r="189" spans="1:2">
      <c r="A189" s="3">
        <f t="shared" si="2"/>
        <v>39506</v>
      </c>
      <c r="B189">
        <v>2.15</v>
      </c>
    </row>
    <row r="190" spans="1:2">
      <c r="A190" s="3">
        <f t="shared" si="2"/>
        <v>39475</v>
      </c>
      <c r="B190">
        <v>2.1349999999999998</v>
      </c>
    </row>
    <row r="191" spans="1:2">
      <c r="A191" s="3">
        <f t="shared" si="2"/>
        <v>39444</v>
      </c>
      <c r="B191">
        <v>2.0150000000000001</v>
      </c>
    </row>
    <row r="192" spans="1:2">
      <c r="A192" s="3">
        <f t="shared" si="2"/>
        <v>39414</v>
      </c>
      <c r="B192">
        <v>2.09</v>
      </c>
    </row>
    <row r="193" spans="1:2">
      <c r="A193" s="3">
        <f t="shared" si="2"/>
        <v>39383</v>
      </c>
      <c r="B193">
        <v>2.105</v>
      </c>
    </row>
    <row r="194" spans="1:2">
      <c r="A194" s="3">
        <f t="shared" si="2"/>
        <v>39353</v>
      </c>
      <c r="B194">
        <v>2.0949999999999998</v>
      </c>
    </row>
    <row r="195" spans="1:2">
      <c r="A195" s="3">
        <f t="shared" si="2"/>
        <v>39322</v>
      </c>
      <c r="B195">
        <v>2.0949999999999998</v>
      </c>
    </row>
    <row r="196" spans="1:2">
      <c r="A196" s="3">
        <f t="shared" si="2"/>
        <v>39291</v>
      </c>
      <c r="B196">
        <v>2.0499999999999998</v>
      </c>
    </row>
    <row r="197" spans="1:2">
      <c r="A197" s="3">
        <f t="shared" ref="A197:A260" si="3">EDATE(A196,-1)</f>
        <v>39261</v>
      </c>
      <c r="B197">
        <v>2</v>
      </c>
    </row>
    <row r="198" spans="1:2">
      <c r="A198" s="3">
        <f t="shared" si="3"/>
        <v>39230</v>
      </c>
      <c r="B198">
        <v>1.9649999999999999</v>
      </c>
    </row>
    <row r="199" spans="1:2">
      <c r="A199" s="3">
        <f t="shared" si="3"/>
        <v>39200</v>
      </c>
      <c r="B199">
        <v>1.9350000000000001</v>
      </c>
    </row>
    <row r="200" spans="1:2">
      <c r="A200" s="3">
        <f t="shared" si="3"/>
        <v>39169</v>
      </c>
      <c r="B200">
        <v>1.875</v>
      </c>
    </row>
    <row r="201" spans="1:2">
      <c r="A201" s="3">
        <f t="shared" si="3"/>
        <v>39141</v>
      </c>
      <c r="B201">
        <v>1.8199999999999998</v>
      </c>
    </row>
    <row r="202" spans="1:2">
      <c r="A202" s="3">
        <f t="shared" si="3"/>
        <v>39110</v>
      </c>
      <c r="B202">
        <v>1.7949999999999999</v>
      </c>
    </row>
    <row r="203" spans="1:2">
      <c r="A203" s="3">
        <f t="shared" si="3"/>
        <v>39079</v>
      </c>
      <c r="B203">
        <v>1.6949999999999998</v>
      </c>
    </row>
    <row r="204" spans="1:2">
      <c r="A204" s="3">
        <f t="shared" si="3"/>
        <v>39049</v>
      </c>
      <c r="B204">
        <v>1.6600000000000001</v>
      </c>
    </row>
    <row r="205" spans="1:2">
      <c r="A205" s="3">
        <f t="shared" si="3"/>
        <v>39018</v>
      </c>
      <c r="B205">
        <v>1.6400000000000001</v>
      </c>
    </row>
    <row r="206" spans="1:2">
      <c r="A206" s="3">
        <f t="shared" si="3"/>
        <v>38988</v>
      </c>
      <c r="B206">
        <v>1.5699999999999998</v>
      </c>
    </row>
    <row r="207" spans="1:2">
      <c r="A207" s="3">
        <f t="shared" si="3"/>
        <v>38957</v>
      </c>
      <c r="B207">
        <v>1.56</v>
      </c>
    </row>
    <row r="208" spans="1:2">
      <c r="A208" s="3">
        <f t="shared" si="3"/>
        <v>38926</v>
      </c>
      <c r="B208">
        <v>1.4850000000000001</v>
      </c>
    </row>
    <row r="209" spans="1:2">
      <c r="A209" s="3">
        <f t="shared" si="3"/>
        <v>38896</v>
      </c>
      <c r="B209">
        <v>1.46</v>
      </c>
    </row>
    <row r="210" spans="1:2">
      <c r="A210" s="3">
        <f t="shared" si="3"/>
        <v>38865</v>
      </c>
      <c r="B210">
        <v>1.425</v>
      </c>
    </row>
    <row r="211" spans="1:2">
      <c r="A211" s="3">
        <f t="shared" si="3"/>
        <v>38835</v>
      </c>
      <c r="B211">
        <v>1.415</v>
      </c>
    </row>
    <row r="212" spans="1:2">
      <c r="A212" s="3">
        <f t="shared" si="3"/>
        <v>38804</v>
      </c>
      <c r="B212">
        <v>1.365</v>
      </c>
    </row>
    <row r="213" spans="1:2">
      <c r="A213" s="3">
        <f t="shared" si="3"/>
        <v>38776</v>
      </c>
      <c r="B213">
        <v>1.3049999999999999</v>
      </c>
    </row>
    <row r="214" spans="1:2">
      <c r="A214" s="3">
        <f t="shared" si="3"/>
        <v>38745</v>
      </c>
      <c r="B214">
        <v>1.28</v>
      </c>
    </row>
    <row r="215" spans="1:2">
      <c r="A215" s="3">
        <f t="shared" si="3"/>
        <v>38714</v>
      </c>
      <c r="B215">
        <v>1.25</v>
      </c>
    </row>
    <row r="216" spans="1:2">
      <c r="A216" s="3">
        <f t="shared" si="3"/>
        <v>38684</v>
      </c>
      <c r="B216">
        <v>1.2149999999999999</v>
      </c>
    </row>
    <row r="217" spans="1:2">
      <c r="A217" s="3">
        <f t="shared" si="3"/>
        <v>38653</v>
      </c>
      <c r="B217">
        <v>1.2149999999999999</v>
      </c>
    </row>
    <row r="218" spans="1:2">
      <c r="A218" s="3">
        <f t="shared" si="3"/>
        <v>38623</v>
      </c>
      <c r="B218">
        <v>1.2149999999999999</v>
      </c>
    </row>
    <row r="219" spans="1:2">
      <c r="A219" s="3">
        <f t="shared" si="3"/>
        <v>38592</v>
      </c>
      <c r="B219">
        <v>1.22</v>
      </c>
    </row>
    <row r="220" spans="1:2">
      <c r="A220" s="3">
        <f t="shared" si="3"/>
        <v>38561</v>
      </c>
      <c r="B220">
        <v>1.21</v>
      </c>
    </row>
    <row r="221" spans="1:2">
      <c r="A221" s="3">
        <f t="shared" si="3"/>
        <v>38531</v>
      </c>
      <c r="B221">
        <v>1.23</v>
      </c>
    </row>
    <row r="222" spans="1:2">
      <c r="A222" s="3">
        <f t="shared" si="3"/>
        <v>38500</v>
      </c>
      <c r="B222">
        <v>1.2349999999999999</v>
      </c>
    </row>
    <row r="223" spans="1:2">
      <c r="A223" s="3">
        <f t="shared" si="3"/>
        <v>38470</v>
      </c>
      <c r="B223">
        <v>1.2250000000000001</v>
      </c>
    </row>
    <row r="224" spans="1:2">
      <c r="A224" s="3">
        <f t="shared" si="3"/>
        <v>38439</v>
      </c>
      <c r="B224">
        <v>1.2149999999999999</v>
      </c>
    </row>
    <row r="225" spans="1:2">
      <c r="A225" s="3">
        <f t="shared" si="3"/>
        <v>38411</v>
      </c>
      <c r="B225">
        <v>1.2</v>
      </c>
    </row>
    <row r="226" spans="1:2">
      <c r="A226" s="3">
        <f t="shared" si="3"/>
        <v>38380</v>
      </c>
      <c r="B226">
        <v>1.19</v>
      </c>
    </row>
    <row r="227" spans="1:2">
      <c r="A227" s="3">
        <f t="shared" si="3"/>
        <v>38349</v>
      </c>
      <c r="B227">
        <v>1.1549999999999998</v>
      </c>
    </row>
    <row r="228" spans="1:2">
      <c r="A228" s="3">
        <f t="shared" si="3"/>
        <v>38319</v>
      </c>
      <c r="B228">
        <v>1.1399999999999999</v>
      </c>
    </row>
    <row r="229" spans="1:2">
      <c r="A229" s="3">
        <f t="shared" si="3"/>
        <v>38288</v>
      </c>
      <c r="B229">
        <v>1.1499999999999999</v>
      </c>
    </row>
    <row r="230" spans="1:2">
      <c r="A230" s="3">
        <f t="shared" si="3"/>
        <v>38258</v>
      </c>
      <c r="B230">
        <v>1.1400000000000001</v>
      </c>
    </row>
    <row r="231" spans="1:2">
      <c r="A231" s="3">
        <f t="shared" si="3"/>
        <v>38227</v>
      </c>
      <c r="B231">
        <v>1.1200000000000001</v>
      </c>
    </row>
    <row r="232" spans="1:2">
      <c r="A232" s="3">
        <f t="shared" si="3"/>
        <v>38196</v>
      </c>
      <c r="B232">
        <v>1.1099999999999999</v>
      </c>
    </row>
    <row r="233" spans="1:2">
      <c r="A233" s="3">
        <f t="shared" si="3"/>
        <v>38166</v>
      </c>
      <c r="B233">
        <v>1.1099999999999999</v>
      </c>
    </row>
    <row r="234" spans="1:2">
      <c r="A234" s="3">
        <f t="shared" si="3"/>
        <v>38135</v>
      </c>
      <c r="B234">
        <v>1.115</v>
      </c>
    </row>
    <row r="235" spans="1:2">
      <c r="A235" s="3">
        <f t="shared" si="3"/>
        <v>38105</v>
      </c>
      <c r="B235">
        <v>1.115</v>
      </c>
    </row>
    <row r="236" spans="1:2">
      <c r="A236" s="3">
        <f t="shared" si="3"/>
        <v>38074</v>
      </c>
      <c r="B236">
        <v>1.1150000000000002</v>
      </c>
    </row>
    <row r="237" spans="1:2">
      <c r="A237" s="3">
        <f t="shared" si="3"/>
        <v>38045</v>
      </c>
      <c r="B237">
        <v>1.105</v>
      </c>
    </row>
    <row r="238" spans="1:2">
      <c r="A238" s="3">
        <f t="shared" si="3"/>
        <v>38014</v>
      </c>
      <c r="B238">
        <v>1.1299999999999999</v>
      </c>
    </row>
    <row r="239" spans="1:2">
      <c r="A239" s="3">
        <f t="shared" si="3"/>
        <v>37983</v>
      </c>
      <c r="B239">
        <v>1.0649999999999999</v>
      </c>
    </row>
    <row r="240" spans="1:2">
      <c r="A240" s="3">
        <f t="shared" si="3"/>
        <v>37953</v>
      </c>
      <c r="B240">
        <v>1.0649999999999999</v>
      </c>
    </row>
    <row r="241" spans="1:2">
      <c r="A241" s="3">
        <f t="shared" si="3"/>
        <v>37922</v>
      </c>
      <c r="B241">
        <v>1.1099999999999999</v>
      </c>
    </row>
    <row r="242" spans="1:2">
      <c r="A242" s="3">
        <f t="shared" si="3"/>
        <v>37892</v>
      </c>
      <c r="B242">
        <v>1.105</v>
      </c>
    </row>
    <row r="243" spans="1:2">
      <c r="A243" s="3">
        <f t="shared" si="3"/>
        <v>37861</v>
      </c>
      <c r="B243">
        <v>1.105</v>
      </c>
    </row>
    <row r="244" spans="1:2">
      <c r="A244" s="3">
        <f t="shared" si="3"/>
        <v>37830</v>
      </c>
      <c r="B244">
        <v>1.1099999999999999</v>
      </c>
    </row>
    <row r="245" spans="1:2">
      <c r="A245" s="3">
        <f t="shared" si="3"/>
        <v>37800</v>
      </c>
      <c r="B245">
        <v>1.26</v>
      </c>
    </row>
    <row r="246" spans="1:2">
      <c r="A246" s="3">
        <f t="shared" si="3"/>
        <v>37769</v>
      </c>
      <c r="B246">
        <v>1.2050000000000001</v>
      </c>
    </row>
    <row r="247" spans="1:2">
      <c r="A247" s="3">
        <f t="shared" si="3"/>
        <v>37739</v>
      </c>
      <c r="B247">
        <v>1.43</v>
      </c>
    </row>
    <row r="248" spans="1:2">
      <c r="A248" s="3">
        <f t="shared" si="3"/>
        <v>37708</v>
      </c>
      <c r="B248">
        <v>1.2949999999999999</v>
      </c>
    </row>
    <row r="249" spans="1:2">
      <c r="A249" s="3">
        <f t="shared" si="3"/>
        <v>37680</v>
      </c>
      <c r="B249">
        <v>1.45</v>
      </c>
    </row>
    <row r="250" spans="1:2">
      <c r="A250" s="3">
        <f t="shared" si="3"/>
        <v>37649</v>
      </c>
      <c r="B250">
        <v>1.2999999999999998</v>
      </c>
    </row>
    <row r="251" spans="1:2">
      <c r="A251" s="3">
        <f t="shared" si="3"/>
        <v>37618</v>
      </c>
      <c r="B251">
        <v>1.48</v>
      </c>
    </row>
    <row r="252" spans="1:2">
      <c r="A252" s="3">
        <f t="shared" si="3"/>
        <v>37588</v>
      </c>
      <c r="B252">
        <v>1.3199999999999998</v>
      </c>
    </row>
    <row r="253" spans="1:2">
      <c r="A253" s="3">
        <f t="shared" si="3"/>
        <v>37557</v>
      </c>
      <c r="B253">
        <v>1.55</v>
      </c>
    </row>
    <row r="254" spans="1:2">
      <c r="A254" s="3">
        <f t="shared" si="3"/>
        <v>37527</v>
      </c>
      <c r="B254">
        <v>1.3599999999999999</v>
      </c>
    </row>
    <row r="255" spans="1:2">
      <c r="A255" s="3">
        <f t="shared" si="3"/>
        <v>37496</v>
      </c>
      <c r="B255">
        <v>1.57</v>
      </c>
    </row>
    <row r="256" spans="1:2">
      <c r="A256" s="3">
        <f t="shared" si="3"/>
        <v>37465</v>
      </c>
      <c r="B256">
        <v>1.31</v>
      </c>
    </row>
    <row r="257" spans="1:2">
      <c r="A257" s="3">
        <f t="shared" si="3"/>
        <v>37435</v>
      </c>
      <c r="B257">
        <v>1.66</v>
      </c>
    </row>
    <row r="258" spans="1:2">
      <c r="A258" s="3">
        <f t="shared" si="3"/>
        <v>37404</v>
      </c>
      <c r="B258">
        <v>1.77</v>
      </c>
    </row>
    <row r="259" spans="1:2">
      <c r="A259" s="3">
        <f t="shared" si="3"/>
        <v>37374</v>
      </c>
      <c r="B259">
        <v>1.76</v>
      </c>
    </row>
    <row r="260" spans="1:2">
      <c r="A260" s="3">
        <f t="shared" si="3"/>
        <v>37343</v>
      </c>
      <c r="B260">
        <v>1.8</v>
      </c>
    </row>
    <row r="261" spans="1:2">
      <c r="A261" s="3">
        <f t="shared" ref="A261:A324" si="4">EDATE(A260,-1)</f>
        <v>37315</v>
      </c>
      <c r="B261">
        <v>1.82</v>
      </c>
    </row>
    <row r="262" spans="1:2">
      <c r="A262" s="3">
        <f t="shared" si="4"/>
        <v>37284</v>
      </c>
      <c r="B262">
        <v>1.85</v>
      </c>
    </row>
    <row r="263" spans="1:2">
      <c r="A263" s="3">
        <f t="shared" si="4"/>
        <v>37253</v>
      </c>
      <c r="B263">
        <v>1.85</v>
      </c>
    </row>
    <row r="264" spans="1:2">
      <c r="A264" s="3">
        <f t="shared" si="4"/>
        <v>37223</v>
      </c>
      <c r="B264">
        <v>1.85</v>
      </c>
    </row>
    <row r="265" spans="1:2">
      <c r="A265" s="3">
        <f t="shared" si="4"/>
        <v>37192</v>
      </c>
      <c r="B265">
        <v>1.87</v>
      </c>
    </row>
    <row r="266" spans="1:2">
      <c r="A266" s="3">
        <f t="shared" si="4"/>
        <v>37162</v>
      </c>
      <c r="B266">
        <v>1.88</v>
      </c>
    </row>
    <row r="267" spans="1:2">
      <c r="A267" s="3">
        <f t="shared" si="4"/>
        <v>37131</v>
      </c>
      <c r="B267">
        <v>1.86</v>
      </c>
    </row>
    <row r="268" spans="1:2">
      <c r="A268" s="3">
        <f t="shared" si="4"/>
        <v>37100</v>
      </c>
      <c r="B268">
        <v>1.9</v>
      </c>
    </row>
    <row r="269" spans="1:2">
      <c r="A269" s="3">
        <f t="shared" si="4"/>
        <v>37070</v>
      </c>
      <c r="B269">
        <v>1.92</v>
      </c>
    </row>
    <row r="270" spans="1:2">
      <c r="A270" s="3">
        <f t="shared" si="4"/>
        <v>37039</v>
      </c>
      <c r="B270">
        <v>1.96</v>
      </c>
    </row>
    <row r="271" spans="1:2">
      <c r="A271" s="3">
        <f t="shared" si="4"/>
        <v>37009</v>
      </c>
      <c r="B271">
        <v>2.1</v>
      </c>
    </row>
    <row r="272" spans="1:2">
      <c r="A272" s="3">
        <f t="shared" si="4"/>
        <v>36978</v>
      </c>
      <c r="B272">
        <v>2.2599999999999998</v>
      </c>
    </row>
    <row r="273" spans="1:2">
      <c r="A273" s="3">
        <f t="shared" si="4"/>
        <v>36950</v>
      </c>
      <c r="B273">
        <v>2.39</v>
      </c>
    </row>
    <row r="274" spans="1:2">
      <c r="A274" s="3">
        <f t="shared" si="4"/>
        <v>36919</v>
      </c>
      <c r="B274">
        <v>2.41</v>
      </c>
    </row>
    <row r="275" spans="1:2">
      <c r="A275" s="3">
        <f t="shared" si="4"/>
        <v>36888</v>
      </c>
      <c r="B275">
        <v>2.42</v>
      </c>
    </row>
    <row r="276" spans="1:2">
      <c r="A276" s="3">
        <f t="shared" si="4"/>
        <v>36858</v>
      </c>
      <c r="B276">
        <v>2.44</v>
      </c>
    </row>
    <row r="277" spans="1:2">
      <c r="A277" s="3">
        <f t="shared" si="4"/>
        <v>36827</v>
      </c>
      <c r="B277">
        <v>2.4900000000000002</v>
      </c>
    </row>
    <row r="278" spans="1:2">
      <c r="A278" s="3">
        <f t="shared" si="4"/>
        <v>36797</v>
      </c>
      <c r="B278">
        <v>2.48</v>
      </c>
    </row>
    <row r="279" spans="1:2">
      <c r="A279" s="3">
        <f t="shared" si="4"/>
        <v>36766</v>
      </c>
      <c r="B279">
        <v>2.5</v>
      </c>
    </row>
    <row r="280" spans="1:2">
      <c r="A280" s="3">
        <f t="shared" si="4"/>
        <v>36735</v>
      </c>
      <c r="B280">
        <v>2.4300000000000002</v>
      </c>
    </row>
    <row r="281" spans="1:2">
      <c r="A281" s="3">
        <f t="shared" si="4"/>
        <v>36705</v>
      </c>
      <c r="B281">
        <v>2.41</v>
      </c>
    </row>
    <row r="282" spans="1:2">
      <c r="A282" s="3">
        <f t="shared" si="4"/>
        <v>36674</v>
      </c>
      <c r="B282">
        <v>2.38</v>
      </c>
    </row>
    <row r="283" spans="1:2">
      <c r="A283" s="3">
        <f t="shared" si="4"/>
        <v>36644</v>
      </c>
      <c r="B283">
        <v>2.3199999999999998</v>
      </c>
    </row>
    <row r="284" spans="1:2">
      <c r="A284" s="3">
        <f t="shared" si="4"/>
        <v>36613</v>
      </c>
      <c r="B284">
        <v>2.29</v>
      </c>
    </row>
    <row r="285" spans="1:2">
      <c r="A285" s="3">
        <f t="shared" si="4"/>
        <v>36584</v>
      </c>
      <c r="B285">
        <v>2.16</v>
      </c>
    </row>
    <row r="286" spans="1:2">
      <c r="A286" s="3">
        <f t="shared" si="4"/>
        <v>36553</v>
      </c>
      <c r="B286">
        <v>2.17</v>
      </c>
    </row>
    <row r="287" spans="1:2">
      <c r="A287" s="3">
        <f t="shared" si="4"/>
        <v>36522</v>
      </c>
      <c r="B287">
        <v>2.11</v>
      </c>
    </row>
    <row r="288" spans="1:2">
      <c r="A288" s="3">
        <f t="shared" si="4"/>
        <v>36492</v>
      </c>
      <c r="B288">
        <v>2</v>
      </c>
    </row>
    <row r="289" spans="1:2">
      <c r="A289" s="3">
        <f t="shared" si="4"/>
        <v>36461</v>
      </c>
      <c r="B289">
        <v>1.93</v>
      </c>
    </row>
    <row r="290" spans="1:2">
      <c r="A290" s="3">
        <f t="shared" si="4"/>
        <v>36431</v>
      </c>
      <c r="B290">
        <v>1.89</v>
      </c>
    </row>
    <row r="291" spans="1:2">
      <c r="A291" s="3">
        <f t="shared" si="4"/>
        <v>36400</v>
      </c>
      <c r="B291">
        <v>1.83</v>
      </c>
    </row>
    <row r="292" spans="1:2">
      <c r="A292" s="3">
        <f t="shared" si="4"/>
        <v>36369</v>
      </c>
      <c r="B292">
        <v>1.8</v>
      </c>
    </row>
    <row r="293" spans="1:2">
      <c r="A293" s="3">
        <f t="shared" si="4"/>
        <v>36339</v>
      </c>
      <c r="B293">
        <v>1.79</v>
      </c>
    </row>
    <row r="294" spans="1:2">
      <c r="A294" s="3">
        <f t="shared" si="4"/>
        <v>36308</v>
      </c>
      <c r="B294">
        <v>1.74</v>
      </c>
    </row>
    <row r="295" spans="1:2">
      <c r="A295" s="3">
        <f t="shared" si="4"/>
        <v>36278</v>
      </c>
      <c r="B295">
        <v>1.68</v>
      </c>
    </row>
    <row r="296" spans="1:2">
      <c r="A296" s="3">
        <f t="shared" si="4"/>
        <v>36247</v>
      </c>
      <c r="B296">
        <v>1.69</v>
      </c>
    </row>
    <row r="297" spans="1:2">
      <c r="A297" s="3">
        <f t="shared" si="4"/>
        <v>36219</v>
      </c>
      <c r="B297">
        <v>1.7</v>
      </c>
    </row>
    <row r="298" spans="1:2">
      <c r="A298" s="3">
        <f t="shared" si="4"/>
        <v>36188</v>
      </c>
      <c r="B298">
        <v>1.72</v>
      </c>
    </row>
    <row r="299" spans="1:2">
      <c r="A299" s="3">
        <f t="shared" si="4"/>
        <v>36157</v>
      </c>
      <c r="B299">
        <v>1.71</v>
      </c>
    </row>
    <row r="300" spans="1:2">
      <c r="A300" s="3">
        <f t="shared" si="4"/>
        <v>36127</v>
      </c>
      <c r="B300">
        <v>1.69</v>
      </c>
    </row>
    <row r="301" spans="1:2">
      <c r="A301" s="3">
        <f t="shared" si="4"/>
        <v>36096</v>
      </c>
      <c r="B301">
        <v>1.77</v>
      </c>
    </row>
    <row r="302" spans="1:2">
      <c r="A302" s="3">
        <f t="shared" si="4"/>
        <v>36066</v>
      </c>
      <c r="B302">
        <v>1.88</v>
      </c>
    </row>
    <row r="303" spans="1:2">
      <c r="A303" s="3">
        <f t="shared" si="4"/>
        <v>36035</v>
      </c>
      <c r="B303">
        <v>1.9</v>
      </c>
    </row>
    <row r="304" spans="1:2">
      <c r="A304" s="3">
        <f t="shared" si="4"/>
        <v>36004</v>
      </c>
      <c r="B304">
        <v>1.93</v>
      </c>
    </row>
    <row r="305" spans="1:2">
      <c r="A305" s="3">
        <f t="shared" si="4"/>
        <v>35974</v>
      </c>
      <c r="B305">
        <v>1.98</v>
      </c>
    </row>
    <row r="306" spans="1:2">
      <c r="A306" s="3">
        <f t="shared" si="4"/>
        <v>35943</v>
      </c>
      <c r="B306">
        <v>1.99</v>
      </c>
    </row>
    <row r="307" spans="1:2">
      <c r="A307" s="3">
        <f t="shared" si="4"/>
        <v>35913</v>
      </c>
      <c r="B307">
        <v>1.98</v>
      </c>
    </row>
    <row r="308" spans="1:2">
      <c r="A308" s="3">
        <f t="shared" si="4"/>
        <v>35882</v>
      </c>
      <c r="B308">
        <v>2</v>
      </c>
    </row>
    <row r="309" spans="1:2">
      <c r="A309" s="3">
        <f t="shared" si="4"/>
        <v>35854</v>
      </c>
      <c r="B309">
        <v>2.0099999999999998</v>
      </c>
    </row>
    <row r="310" spans="1:2">
      <c r="A310" s="3">
        <f t="shared" si="4"/>
        <v>35823</v>
      </c>
      <c r="B310">
        <v>1.99</v>
      </c>
    </row>
    <row r="311" spans="1:2">
      <c r="A311" s="3">
        <f t="shared" si="4"/>
        <v>35792</v>
      </c>
      <c r="B311">
        <v>2</v>
      </c>
    </row>
    <row r="312" spans="1:2">
      <c r="A312" s="3">
        <f t="shared" si="4"/>
        <v>35762</v>
      </c>
      <c r="B312">
        <v>1.98</v>
      </c>
    </row>
    <row r="313" spans="1:2">
      <c r="A313" s="3">
        <f t="shared" si="4"/>
        <v>35731</v>
      </c>
      <c r="B313">
        <v>2.0099999999999998</v>
      </c>
    </row>
    <row r="314" spans="1:2">
      <c r="A314" s="3">
        <f t="shared" si="4"/>
        <v>35701</v>
      </c>
      <c r="B314">
        <v>2.0099999999999998</v>
      </c>
    </row>
    <row r="315" spans="1:2">
      <c r="A315" s="3">
        <f t="shared" si="4"/>
        <v>35670</v>
      </c>
      <c r="B315">
        <v>2</v>
      </c>
    </row>
    <row r="316" spans="1:2">
      <c r="A316" s="3">
        <f t="shared" si="4"/>
        <v>35639</v>
      </c>
      <c r="B316">
        <v>1.98</v>
      </c>
    </row>
    <row r="317" spans="1:2">
      <c r="A317" s="3">
        <f t="shared" si="4"/>
        <v>35609</v>
      </c>
      <c r="B317">
        <v>1.99</v>
      </c>
    </row>
    <row r="318" spans="1:2">
      <c r="A318" s="3">
        <f t="shared" si="4"/>
        <v>35578</v>
      </c>
      <c r="B318">
        <v>1.97</v>
      </c>
    </row>
    <row r="319" spans="1:2">
      <c r="A319" s="3">
        <f t="shared" si="4"/>
        <v>35548</v>
      </c>
      <c r="B319">
        <v>1.97</v>
      </c>
    </row>
    <row r="320" spans="1:2">
      <c r="A320" s="3">
        <f t="shared" si="4"/>
        <v>35517</v>
      </c>
      <c r="B320">
        <v>1.94</v>
      </c>
    </row>
    <row r="321" spans="1:2">
      <c r="A321" s="3">
        <f t="shared" si="4"/>
        <v>35489</v>
      </c>
      <c r="B321">
        <v>1.93</v>
      </c>
    </row>
    <row r="322" spans="1:2">
      <c r="A322" s="3">
        <f t="shared" si="4"/>
        <v>35458</v>
      </c>
      <c r="B322">
        <v>1.94</v>
      </c>
    </row>
    <row r="323" spans="1:2">
      <c r="A323" s="3">
        <f t="shared" si="4"/>
        <v>35427</v>
      </c>
      <c r="B323">
        <v>1.95</v>
      </c>
    </row>
    <row r="324" spans="1:2">
      <c r="A324" s="3">
        <f t="shared" si="4"/>
        <v>35397</v>
      </c>
      <c r="B324">
        <v>1.98</v>
      </c>
    </row>
    <row r="325" spans="1:2">
      <c r="A325" s="3">
        <f t="shared" ref="A325:A330" si="5">EDATE(A324,-1)</f>
        <v>35366</v>
      </c>
      <c r="B325">
        <v>1.96</v>
      </c>
    </row>
    <row r="326" spans="1:2">
      <c r="A326" s="3">
        <f t="shared" si="5"/>
        <v>35336</v>
      </c>
      <c r="B326">
        <v>1.97</v>
      </c>
    </row>
    <row r="327" spans="1:2">
      <c r="A327" s="3">
        <f t="shared" si="5"/>
        <v>35305</v>
      </c>
      <c r="B327">
        <v>1.96</v>
      </c>
    </row>
    <row r="328" spans="1:2">
      <c r="A328" s="3">
        <f t="shared" si="5"/>
        <v>35274</v>
      </c>
      <c r="B328">
        <v>1.97</v>
      </c>
    </row>
    <row r="329" spans="1:2">
      <c r="A329" s="3">
        <f t="shared" si="5"/>
        <v>35244</v>
      </c>
      <c r="B329">
        <v>1.96</v>
      </c>
    </row>
    <row r="330" spans="1:2">
      <c r="A330" s="3">
        <f t="shared" si="5"/>
        <v>35213</v>
      </c>
      <c r="B330">
        <v>2.0099999999999998</v>
      </c>
    </row>
  </sheetData>
  <sortState xmlns:xlrd2="http://schemas.microsoft.com/office/spreadsheetml/2017/richdata2" ref="A3:B330">
    <sortCondition descending="1" ref="A3:A3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893E-F9BF-7C4B-9D74-FBD5F6F312BC}">
  <dimension ref="A1:B330"/>
  <sheetViews>
    <sheetView workbookViewId="0">
      <selection activeCell="E28" sqref="E28"/>
    </sheetView>
  </sheetViews>
  <sheetFormatPr baseColWidth="10" defaultRowHeight="16"/>
  <sheetData>
    <row r="1" spans="1:2">
      <c r="A1" t="s">
        <v>10</v>
      </c>
    </row>
    <row r="2" spans="1:2">
      <c r="A2" t="s">
        <v>1</v>
      </c>
      <c r="B2" t="s">
        <v>11</v>
      </c>
    </row>
    <row r="3" spans="1:2">
      <c r="A3" s="2">
        <v>45166</v>
      </c>
      <c r="B3" s="1">
        <v>5.0999999999999996</v>
      </c>
    </row>
    <row r="4" spans="1:2">
      <c r="A4" s="2">
        <v>45135</v>
      </c>
      <c r="B4" s="1">
        <v>5.0599999999999996</v>
      </c>
    </row>
    <row r="5" spans="1:2">
      <c r="A5" s="2">
        <v>45105</v>
      </c>
      <c r="B5" s="1">
        <v>4.88</v>
      </c>
    </row>
    <row r="6" spans="1:2">
      <c r="A6" s="2">
        <v>45074</v>
      </c>
      <c r="B6" s="1">
        <v>4.6500000000000004</v>
      </c>
    </row>
    <row r="7" spans="1:2">
      <c r="A7" s="2">
        <v>45044</v>
      </c>
      <c r="B7" s="1">
        <v>4.45</v>
      </c>
    </row>
    <row r="8" spans="1:2">
      <c r="A8" s="2">
        <v>45013</v>
      </c>
      <c r="B8" s="1">
        <v>4.3600000000000003</v>
      </c>
    </row>
    <row r="9" spans="1:2">
      <c r="A9" s="2">
        <v>44985</v>
      </c>
      <c r="B9" s="1">
        <v>3.88</v>
      </c>
    </row>
    <row r="10" spans="1:2">
      <c r="A10" s="2">
        <v>44954</v>
      </c>
      <c r="B10" s="1">
        <v>3.59</v>
      </c>
    </row>
    <row r="11" spans="1:2">
      <c r="A11" s="2">
        <v>44923</v>
      </c>
      <c r="B11" s="1">
        <v>3.45</v>
      </c>
    </row>
    <row r="12" spans="1:2">
      <c r="A12" s="2">
        <v>44893</v>
      </c>
      <c r="B12" s="1">
        <v>3.14</v>
      </c>
    </row>
    <row r="13" spans="1:2">
      <c r="A13" s="2">
        <v>44862</v>
      </c>
      <c r="B13" s="1">
        <v>2.86</v>
      </c>
    </row>
    <row r="14" spans="1:2">
      <c r="A14" s="2">
        <v>44832</v>
      </c>
      <c r="B14" s="1">
        <v>2.67</v>
      </c>
    </row>
    <row r="15" spans="1:2">
      <c r="A15" s="2">
        <v>44801</v>
      </c>
      <c r="B15" s="1">
        <v>1.97</v>
      </c>
    </row>
    <row r="16" spans="1:2">
      <c r="A16" s="2">
        <v>44770</v>
      </c>
      <c r="B16" s="1">
        <v>1.89</v>
      </c>
    </row>
    <row r="17" spans="1:2">
      <c r="A17" s="2">
        <v>44740</v>
      </c>
      <c r="B17" s="1">
        <v>2.19</v>
      </c>
    </row>
    <row r="18" spans="1:2">
      <c r="A18" s="2">
        <v>44709</v>
      </c>
      <c r="B18" s="1">
        <v>1.49</v>
      </c>
    </row>
    <row r="19" spans="1:2">
      <c r="A19" s="2">
        <v>44679</v>
      </c>
      <c r="B19" s="1">
        <v>1.53</v>
      </c>
    </row>
    <row r="20" spans="1:2">
      <c r="A20" s="2">
        <v>44648</v>
      </c>
      <c r="B20" s="1">
        <v>1.5</v>
      </c>
    </row>
    <row r="21" spans="1:2">
      <c r="A21" s="2">
        <v>44620</v>
      </c>
      <c r="B21" s="1">
        <v>1.32</v>
      </c>
    </row>
    <row r="22" spans="1:2">
      <c r="A22" s="2">
        <v>44589</v>
      </c>
      <c r="B22" s="1">
        <v>1.29</v>
      </c>
    </row>
    <row r="23" spans="1:2">
      <c r="A23" s="2">
        <v>44558</v>
      </c>
      <c r="B23" s="1">
        <v>1.2</v>
      </c>
    </row>
    <row r="24" spans="1:2">
      <c r="A24" s="2">
        <v>44528</v>
      </c>
      <c r="B24" s="1">
        <v>1.18</v>
      </c>
    </row>
    <row r="25" spans="1:2">
      <c r="A25" s="2">
        <v>44497</v>
      </c>
      <c r="B25" s="1">
        <v>1.21</v>
      </c>
    </row>
    <row r="26" spans="1:2">
      <c r="A26" s="2">
        <v>44467</v>
      </c>
      <c r="B26" s="1">
        <v>1.36</v>
      </c>
    </row>
    <row r="27" spans="1:2">
      <c r="A27" s="2">
        <v>44436</v>
      </c>
      <c r="B27" s="1">
        <v>1.33</v>
      </c>
    </row>
    <row r="28" spans="1:2">
      <c r="A28" s="2">
        <v>44405</v>
      </c>
      <c r="B28" s="1">
        <v>1.35</v>
      </c>
    </row>
    <row r="29" spans="1:2">
      <c r="A29" s="2">
        <v>44375</v>
      </c>
      <c r="B29" s="1">
        <v>1.28</v>
      </c>
    </row>
    <row r="30" spans="1:2">
      <c r="A30" s="2">
        <v>44344</v>
      </c>
      <c r="B30" s="1">
        <v>1.32</v>
      </c>
    </row>
    <row r="31" spans="1:2">
      <c r="A31" s="2">
        <v>44314</v>
      </c>
      <c r="B31" s="1">
        <v>1.52</v>
      </c>
    </row>
    <row r="32" spans="1:2">
      <c r="A32" s="2">
        <v>44283</v>
      </c>
      <c r="B32" s="1">
        <v>1.0900000000000001</v>
      </c>
    </row>
    <row r="33" spans="1:2">
      <c r="A33" s="2">
        <v>44255</v>
      </c>
      <c r="B33" s="1">
        <v>1.37</v>
      </c>
    </row>
    <row r="34" spans="1:2">
      <c r="A34" s="2">
        <v>44224</v>
      </c>
      <c r="B34" s="1">
        <v>1.36</v>
      </c>
    </row>
    <row r="35" spans="1:2">
      <c r="A35" s="2">
        <v>44193</v>
      </c>
      <c r="B35" s="1">
        <v>1.33</v>
      </c>
    </row>
    <row r="36" spans="1:2">
      <c r="A36" s="2">
        <v>44163</v>
      </c>
      <c r="B36" s="1">
        <v>1.39</v>
      </c>
    </row>
    <row r="37" spans="1:2">
      <c r="A37" s="2">
        <v>44132</v>
      </c>
      <c r="B37" s="1">
        <v>1.37</v>
      </c>
    </row>
    <row r="38" spans="1:2">
      <c r="A38" s="2">
        <v>44102</v>
      </c>
      <c r="B38" s="1">
        <v>1.37</v>
      </c>
    </row>
    <row r="39" spans="1:2">
      <c r="A39" s="2">
        <v>44071</v>
      </c>
      <c r="B39" s="1">
        <v>1.52</v>
      </c>
    </row>
    <row r="40" spans="1:2">
      <c r="A40" s="2">
        <v>44040</v>
      </c>
      <c r="B40" s="1">
        <v>1.43</v>
      </c>
    </row>
    <row r="41" spans="1:2">
      <c r="A41" s="2">
        <v>44010</v>
      </c>
      <c r="B41" s="1">
        <v>1.36</v>
      </c>
    </row>
    <row r="42" spans="1:2">
      <c r="A42" s="2">
        <v>43979</v>
      </c>
      <c r="B42" s="1">
        <v>1.38</v>
      </c>
    </row>
    <row r="43" spans="1:2">
      <c r="A43" s="2">
        <v>43949</v>
      </c>
      <c r="B43" s="1">
        <v>1.35</v>
      </c>
    </row>
    <row r="44" spans="1:2">
      <c r="A44" s="2">
        <v>43918</v>
      </c>
      <c r="B44" s="1">
        <v>1.2</v>
      </c>
    </row>
    <row r="45" spans="1:2">
      <c r="A45" s="2">
        <v>43889</v>
      </c>
      <c r="B45" s="1">
        <v>1.19</v>
      </c>
    </row>
    <row r="46" spans="1:2">
      <c r="A46" s="2">
        <v>43858</v>
      </c>
      <c r="B46" s="1">
        <v>1.24</v>
      </c>
    </row>
    <row r="47" spans="1:2">
      <c r="A47" s="2">
        <v>43827</v>
      </c>
      <c r="B47" s="1">
        <v>1.29</v>
      </c>
    </row>
    <row r="48" spans="1:2">
      <c r="A48" s="2">
        <v>43797</v>
      </c>
      <c r="B48" s="1">
        <v>1.27</v>
      </c>
    </row>
    <row r="49" spans="1:2">
      <c r="A49" s="2">
        <v>43766</v>
      </c>
      <c r="B49" s="1">
        <v>1.22</v>
      </c>
    </row>
    <row r="50" spans="1:2">
      <c r="A50" s="2">
        <v>43736</v>
      </c>
      <c r="B50" s="1">
        <v>1.18</v>
      </c>
    </row>
    <row r="51" spans="1:2">
      <c r="A51" s="2">
        <v>43705</v>
      </c>
      <c r="B51" s="1">
        <v>1.1299999999999999</v>
      </c>
    </row>
    <row r="52" spans="1:2">
      <c r="A52" s="2">
        <v>43674</v>
      </c>
      <c r="B52" s="1">
        <v>1.19</v>
      </c>
    </row>
    <row r="53" spans="1:2">
      <c r="A53" s="2">
        <v>43644</v>
      </c>
      <c r="B53" s="1">
        <v>1.18</v>
      </c>
    </row>
    <row r="54" spans="1:2">
      <c r="A54" s="2">
        <v>43613</v>
      </c>
      <c r="B54" s="1">
        <v>1.19</v>
      </c>
    </row>
    <row r="55" spans="1:2">
      <c r="A55" s="2">
        <v>43583</v>
      </c>
      <c r="B55" s="1">
        <v>1.21</v>
      </c>
    </row>
    <row r="56" spans="1:2">
      <c r="A56" s="2">
        <v>43552</v>
      </c>
      <c r="B56" s="1">
        <v>1.29</v>
      </c>
    </row>
    <row r="57" spans="1:2">
      <c r="A57" s="2">
        <v>43524</v>
      </c>
      <c r="B57" s="1">
        <v>1.25</v>
      </c>
    </row>
    <row r="58" spans="1:2">
      <c r="A58" s="2">
        <v>43493</v>
      </c>
      <c r="B58" s="1">
        <v>1.24</v>
      </c>
    </row>
    <row r="59" spans="1:2">
      <c r="A59" s="2">
        <v>43462</v>
      </c>
      <c r="B59" s="1">
        <v>1.29</v>
      </c>
    </row>
    <row r="60" spans="1:2">
      <c r="A60" s="2">
        <v>43432</v>
      </c>
      <c r="B60" s="1">
        <v>1.27</v>
      </c>
    </row>
    <row r="61" spans="1:2">
      <c r="A61" s="2">
        <v>43401</v>
      </c>
      <c r="B61" s="1">
        <v>1.28</v>
      </c>
    </row>
    <row r="62" spans="1:2">
      <c r="A62" s="2">
        <v>43371</v>
      </c>
      <c r="B62" s="1">
        <v>1.26</v>
      </c>
    </row>
    <row r="63" spans="1:2">
      <c r="A63" s="2">
        <v>43340</v>
      </c>
      <c r="B63" s="1">
        <v>1.18</v>
      </c>
    </row>
    <row r="64" spans="1:2">
      <c r="A64" s="2">
        <v>43309</v>
      </c>
      <c r="B64" s="1">
        <v>1.19</v>
      </c>
    </row>
    <row r="65" spans="1:2">
      <c r="A65" s="2">
        <v>43279</v>
      </c>
      <c r="B65" s="1">
        <v>1.31</v>
      </c>
    </row>
    <row r="66" spans="1:2">
      <c r="A66" s="2">
        <v>43248</v>
      </c>
      <c r="B66" s="1">
        <v>1.2</v>
      </c>
    </row>
    <row r="67" spans="1:2">
      <c r="A67" s="2">
        <v>43218</v>
      </c>
      <c r="B67" s="1">
        <v>1.39</v>
      </c>
    </row>
    <row r="68" spans="1:2">
      <c r="A68" s="2">
        <v>43187</v>
      </c>
      <c r="B68" s="1">
        <v>1.42</v>
      </c>
    </row>
    <row r="69" spans="1:2">
      <c r="A69" s="2">
        <v>43159</v>
      </c>
      <c r="B69" s="1">
        <v>1.32</v>
      </c>
    </row>
    <row r="70" spans="1:2">
      <c r="A70" s="2">
        <v>43128</v>
      </c>
      <c r="B70" s="1">
        <v>1.22</v>
      </c>
    </row>
    <row r="71" spans="1:2">
      <c r="A71" s="2">
        <v>43097</v>
      </c>
      <c r="B71" s="1">
        <v>1.43</v>
      </c>
    </row>
    <row r="72" spans="1:2">
      <c r="A72" s="2">
        <v>43067</v>
      </c>
      <c r="B72" s="1">
        <v>1.4</v>
      </c>
    </row>
    <row r="73" spans="1:2">
      <c r="A73" s="2">
        <v>43036</v>
      </c>
      <c r="B73" s="1">
        <v>1.35</v>
      </c>
    </row>
    <row r="74" spans="1:2">
      <c r="A74" s="2">
        <v>43006</v>
      </c>
      <c r="B74" s="1">
        <v>1.38</v>
      </c>
    </row>
    <row r="75" spans="1:2">
      <c r="A75" s="2">
        <v>42975</v>
      </c>
      <c r="B75" s="1">
        <v>1.38</v>
      </c>
    </row>
    <row r="76" spans="1:2">
      <c r="A76" s="2">
        <v>42944</v>
      </c>
      <c r="B76" s="1">
        <v>1.39</v>
      </c>
    </row>
    <row r="77" spans="1:2">
      <c r="A77" s="2">
        <v>42914</v>
      </c>
      <c r="B77" s="1">
        <v>1.41</v>
      </c>
    </row>
    <row r="78" spans="1:2">
      <c r="A78" s="2">
        <v>42883</v>
      </c>
      <c r="B78" s="1">
        <v>1.35</v>
      </c>
    </row>
    <row r="79" spans="1:2">
      <c r="A79" s="2">
        <v>42853</v>
      </c>
      <c r="B79" s="1">
        <v>1.43</v>
      </c>
    </row>
    <row r="80" spans="1:2">
      <c r="A80" s="2">
        <v>42822</v>
      </c>
      <c r="B80" s="1">
        <v>1.5</v>
      </c>
    </row>
    <row r="81" spans="1:2">
      <c r="A81" s="2">
        <v>42794</v>
      </c>
      <c r="B81" s="1">
        <v>1.33</v>
      </c>
    </row>
    <row r="82" spans="1:2">
      <c r="A82" s="2">
        <v>42763</v>
      </c>
      <c r="B82" s="1">
        <v>1.33</v>
      </c>
    </row>
    <row r="83" spans="1:2">
      <c r="A83" s="2">
        <v>42732</v>
      </c>
      <c r="B83" s="1">
        <v>1.53</v>
      </c>
    </row>
    <row r="84" spans="1:2">
      <c r="A84" s="2">
        <v>42702</v>
      </c>
      <c r="B84" s="1">
        <v>1.45</v>
      </c>
    </row>
    <row r="85" spans="1:2">
      <c r="A85" s="2">
        <v>42671</v>
      </c>
      <c r="B85" s="1">
        <v>1.43</v>
      </c>
    </row>
    <row r="86" spans="1:2">
      <c r="A86" s="2">
        <v>42641</v>
      </c>
      <c r="B86" s="1">
        <v>1.51</v>
      </c>
    </row>
    <row r="87" spans="1:2">
      <c r="A87" s="2">
        <v>42610</v>
      </c>
      <c r="B87" s="1">
        <v>1.43</v>
      </c>
    </row>
    <row r="88" spans="1:2">
      <c r="A88" s="2">
        <v>42579</v>
      </c>
      <c r="B88" s="1">
        <v>1.46</v>
      </c>
    </row>
    <row r="89" spans="1:2">
      <c r="A89" s="2">
        <v>42549</v>
      </c>
      <c r="B89" s="1">
        <v>1.52</v>
      </c>
    </row>
    <row r="90" spans="1:2">
      <c r="A90" s="2">
        <v>42518</v>
      </c>
      <c r="B90" s="1">
        <v>1.47</v>
      </c>
    </row>
    <row r="91" spans="1:2">
      <c r="A91" s="2">
        <v>42488</v>
      </c>
      <c r="B91" s="1">
        <v>1.55</v>
      </c>
    </row>
    <row r="92" spans="1:2">
      <c r="A92" s="2">
        <v>42457</v>
      </c>
      <c r="B92" s="1">
        <v>1.64</v>
      </c>
    </row>
    <row r="93" spans="1:2">
      <c r="A93" s="2">
        <v>42428</v>
      </c>
      <c r="B93" s="1">
        <v>1.54</v>
      </c>
    </row>
    <row r="94" spans="1:2">
      <c r="A94" s="2">
        <v>42397</v>
      </c>
      <c r="B94" s="1">
        <v>1.6</v>
      </c>
    </row>
    <row r="95" spans="1:2">
      <c r="A95" s="2">
        <v>42366</v>
      </c>
      <c r="B95" s="1">
        <v>1.68</v>
      </c>
    </row>
    <row r="96" spans="1:2">
      <c r="A96" s="2">
        <v>42336</v>
      </c>
      <c r="B96" s="1">
        <v>1.67</v>
      </c>
    </row>
    <row r="97" spans="1:2">
      <c r="A97" s="2">
        <v>42305</v>
      </c>
      <c r="B97" s="1">
        <v>1.68</v>
      </c>
    </row>
    <row r="98" spans="1:2">
      <c r="A98" s="2">
        <v>42275</v>
      </c>
      <c r="B98" s="1">
        <v>1.84</v>
      </c>
    </row>
    <row r="99" spans="1:2">
      <c r="A99" s="2">
        <v>42244</v>
      </c>
      <c r="B99" s="1">
        <v>1.62</v>
      </c>
    </row>
    <row r="100" spans="1:2">
      <c r="A100" s="2">
        <v>42213</v>
      </c>
      <c r="B100" s="1">
        <v>1.68</v>
      </c>
    </row>
    <row r="101" spans="1:2">
      <c r="A101" s="2">
        <v>42183</v>
      </c>
      <c r="B101" s="1">
        <v>1.71</v>
      </c>
    </row>
    <row r="102" spans="1:2">
      <c r="A102" s="2">
        <v>42152</v>
      </c>
      <c r="B102" s="1">
        <v>1.66</v>
      </c>
    </row>
    <row r="103" spans="1:2">
      <c r="A103" s="2">
        <v>42122</v>
      </c>
      <c r="B103" s="1">
        <v>1.68</v>
      </c>
    </row>
    <row r="104" spans="1:2">
      <c r="A104" s="2">
        <v>42091</v>
      </c>
      <c r="B104" s="1">
        <v>1.73</v>
      </c>
    </row>
    <row r="105" spans="1:2">
      <c r="A105" s="2">
        <v>42063</v>
      </c>
      <c r="B105" s="1">
        <v>1.59</v>
      </c>
    </row>
    <row r="106" spans="1:2">
      <c r="A106" s="2">
        <v>42032</v>
      </c>
      <c r="B106" s="1">
        <v>1.67</v>
      </c>
    </row>
    <row r="107" spans="1:2">
      <c r="A107" s="2">
        <v>42001</v>
      </c>
      <c r="B107" s="1">
        <v>1.87</v>
      </c>
    </row>
    <row r="108" spans="1:2">
      <c r="A108" s="2">
        <v>41971</v>
      </c>
      <c r="B108" s="1">
        <v>1.87</v>
      </c>
    </row>
    <row r="109" spans="1:2">
      <c r="A109" s="2">
        <v>41940</v>
      </c>
      <c r="B109" s="1">
        <v>1.86</v>
      </c>
    </row>
    <row r="110" spans="1:2">
      <c r="A110" s="2">
        <v>41910</v>
      </c>
      <c r="B110" s="1">
        <v>1.91</v>
      </c>
    </row>
    <row r="111" spans="1:2">
      <c r="A111" s="2">
        <v>41879</v>
      </c>
      <c r="B111" s="1">
        <v>1.89</v>
      </c>
    </row>
    <row r="112" spans="1:2">
      <c r="A112" s="2">
        <v>41848</v>
      </c>
      <c r="B112" s="1">
        <v>1.98</v>
      </c>
    </row>
    <row r="113" spans="1:2">
      <c r="A113" s="2">
        <v>41818</v>
      </c>
      <c r="B113" s="1">
        <v>2.04</v>
      </c>
    </row>
    <row r="114" spans="1:2">
      <c r="A114" s="2">
        <v>41787</v>
      </c>
      <c r="B114" s="1">
        <v>2.13</v>
      </c>
    </row>
    <row r="115" spans="1:2">
      <c r="A115" s="2">
        <v>41757</v>
      </c>
      <c r="B115" s="1">
        <v>2.12</v>
      </c>
    </row>
    <row r="116" spans="1:2">
      <c r="A116" s="2">
        <v>41726</v>
      </c>
      <c r="B116" s="1">
        <v>2.2599999999999998</v>
      </c>
    </row>
    <row r="117" spans="1:2">
      <c r="A117" s="2">
        <v>41698</v>
      </c>
      <c r="B117" s="1">
        <v>2.11</v>
      </c>
    </row>
    <row r="118" spans="1:2">
      <c r="A118" s="2">
        <v>41667</v>
      </c>
      <c r="B118" s="1">
        <v>2.14</v>
      </c>
    </row>
    <row r="119" spans="1:2">
      <c r="A119" s="2">
        <v>41636</v>
      </c>
      <c r="B119" s="1">
        <v>2.19</v>
      </c>
    </row>
    <row r="120" spans="1:2">
      <c r="A120" s="2">
        <v>41606</v>
      </c>
      <c r="B120" s="1">
        <v>2.0699999999999998</v>
      </c>
    </row>
    <row r="121" spans="1:2">
      <c r="A121" s="2">
        <v>41575</v>
      </c>
      <c r="B121" s="1">
        <v>2.13</v>
      </c>
    </row>
    <row r="122" spans="1:2">
      <c r="A122" s="2">
        <v>41545</v>
      </c>
      <c r="B122" s="1">
        <v>2.14</v>
      </c>
    </row>
    <row r="123" spans="1:2">
      <c r="A123" s="2">
        <v>41514</v>
      </c>
      <c r="B123" s="1">
        <v>2.04</v>
      </c>
    </row>
    <row r="124" spans="1:2">
      <c r="A124" s="2">
        <v>41483</v>
      </c>
      <c r="B124" s="1">
        <v>2.09</v>
      </c>
    </row>
    <row r="125" spans="1:2">
      <c r="A125" s="2">
        <v>41453</v>
      </c>
      <c r="B125" s="1">
        <v>2.08</v>
      </c>
    </row>
    <row r="126" spans="1:2">
      <c r="A126" s="2">
        <v>41422</v>
      </c>
      <c r="B126" s="1">
        <v>2.04</v>
      </c>
    </row>
    <row r="127" spans="1:2">
      <c r="A127" s="2">
        <v>41392</v>
      </c>
      <c r="B127" s="1">
        <v>2.13</v>
      </c>
    </row>
    <row r="128" spans="1:2">
      <c r="A128" s="2">
        <v>41361</v>
      </c>
      <c r="B128" s="1">
        <v>2.15</v>
      </c>
    </row>
    <row r="129" spans="1:2">
      <c r="A129" s="2">
        <v>41333</v>
      </c>
      <c r="B129" s="1">
        <v>2.11</v>
      </c>
    </row>
    <row r="130" spans="1:2">
      <c r="A130" s="2">
        <v>41302</v>
      </c>
      <c r="B130" s="1">
        <v>2.14</v>
      </c>
    </row>
    <row r="131" spans="1:2">
      <c r="A131" s="2">
        <v>41271</v>
      </c>
      <c r="B131" s="1">
        <v>2.19</v>
      </c>
    </row>
    <row r="132" spans="1:2">
      <c r="A132" s="2">
        <v>41241</v>
      </c>
      <c r="B132" s="1">
        <v>2.27</v>
      </c>
    </row>
    <row r="133" spans="1:2">
      <c r="A133" s="2">
        <v>41210</v>
      </c>
      <c r="B133" s="1">
        <v>2.2000000000000002</v>
      </c>
    </row>
    <row r="134" spans="1:2">
      <c r="A134" s="2">
        <v>41180</v>
      </c>
      <c r="B134" s="1">
        <v>2.34</v>
      </c>
    </row>
    <row r="135" spans="1:2">
      <c r="A135" s="2">
        <v>41149</v>
      </c>
      <c r="B135" s="1">
        <v>2.36</v>
      </c>
    </row>
    <row r="136" spans="1:2">
      <c r="A136" s="2">
        <v>41118</v>
      </c>
      <c r="B136" s="1">
        <v>2.4900000000000002</v>
      </c>
    </row>
    <row r="137" spans="1:2">
      <c r="A137" s="2">
        <v>41088</v>
      </c>
      <c r="B137" s="1">
        <v>2.62</v>
      </c>
    </row>
    <row r="138" spans="1:2">
      <c r="A138" s="2">
        <v>41057</v>
      </c>
      <c r="B138" s="1">
        <v>2.61</v>
      </c>
    </row>
    <row r="139" spans="1:2">
      <c r="A139" s="2">
        <v>41027</v>
      </c>
      <c r="B139" s="1">
        <v>2.64</v>
      </c>
    </row>
    <row r="140" spans="1:2">
      <c r="A140" s="2">
        <v>40996</v>
      </c>
      <c r="B140" s="1">
        <v>2.71</v>
      </c>
    </row>
    <row r="141" spans="1:2">
      <c r="A141" s="2">
        <v>40967</v>
      </c>
      <c r="B141" s="1">
        <v>2.83</v>
      </c>
    </row>
    <row r="142" spans="1:2">
      <c r="A142" s="2">
        <v>40936</v>
      </c>
      <c r="B142" s="1">
        <v>2.88</v>
      </c>
    </row>
    <row r="143" spans="1:2">
      <c r="A143" s="2">
        <v>40905</v>
      </c>
      <c r="B143" s="1">
        <v>3.17</v>
      </c>
    </row>
    <row r="144" spans="1:2">
      <c r="A144" s="2">
        <v>40875</v>
      </c>
      <c r="B144" s="1">
        <v>3.16</v>
      </c>
    </row>
    <row r="145" spans="1:2">
      <c r="A145" s="2">
        <v>40844</v>
      </c>
      <c r="B145" s="1">
        <v>3.29</v>
      </c>
    </row>
    <row r="146" spans="1:2">
      <c r="A146" s="2">
        <v>40814</v>
      </c>
      <c r="B146" s="1">
        <v>3.2</v>
      </c>
    </row>
    <row r="147" spans="1:2">
      <c r="A147" s="2">
        <v>40783</v>
      </c>
      <c r="B147" s="1">
        <v>3.29</v>
      </c>
    </row>
    <row r="148" spans="1:2">
      <c r="A148" s="2">
        <v>40752</v>
      </c>
      <c r="B148" s="1">
        <v>3.27</v>
      </c>
    </row>
    <row r="149" spans="1:2">
      <c r="A149" s="2">
        <v>40722</v>
      </c>
      <c r="B149" s="1">
        <v>3.29</v>
      </c>
    </row>
    <row r="150" spans="1:2">
      <c r="A150" s="2">
        <v>40691</v>
      </c>
      <c r="B150" s="1">
        <v>3.2</v>
      </c>
    </row>
    <row r="151" spans="1:2">
      <c r="A151" s="2">
        <v>40661</v>
      </c>
      <c r="B151" s="1">
        <v>3.19</v>
      </c>
    </row>
    <row r="152" spans="1:2">
      <c r="A152" s="2">
        <v>40630</v>
      </c>
      <c r="B152" s="1">
        <v>3</v>
      </c>
    </row>
    <row r="153" spans="1:2">
      <c r="A153" s="2">
        <v>40602</v>
      </c>
      <c r="B153" s="1">
        <v>3</v>
      </c>
    </row>
    <row r="154" spans="1:2">
      <c r="A154" s="2">
        <v>40571</v>
      </c>
      <c r="B154" s="1">
        <v>2.77</v>
      </c>
    </row>
    <row r="155" spans="1:2">
      <c r="A155" s="2">
        <v>40540</v>
      </c>
      <c r="B155" s="1">
        <v>2.99</v>
      </c>
    </row>
    <row r="156" spans="1:2">
      <c r="A156" s="2">
        <v>40510</v>
      </c>
      <c r="B156" s="1">
        <v>2.91</v>
      </c>
    </row>
    <row r="157" spans="1:2">
      <c r="A157" s="2">
        <v>40479</v>
      </c>
      <c r="B157" s="1">
        <v>2.67</v>
      </c>
    </row>
    <row r="158" spans="1:2">
      <c r="A158" s="2">
        <v>40449</v>
      </c>
      <c r="B158" s="1">
        <v>2.68</v>
      </c>
    </row>
    <row r="159" spans="1:2">
      <c r="A159" s="2">
        <v>40418</v>
      </c>
      <c r="B159" s="1">
        <v>2.84</v>
      </c>
    </row>
    <row r="160" spans="1:2">
      <c r="A160" s="2">
        <v>40387</v>
      </c>
      <c r="B160" s="1">
        <v>2.65</v>
      </c>
    </row>
    <row r="161" spans="1:2">
      <c r="A161" s="2">
        <v>40357</v>
      </c>
      <c r="B161" s="1">
        <v>2.65</v>
      </c>
    </row>
    <row r="162" spans="1:2">
      <c r="A162" s="2">
        <v>40326</v>
      </c>
      <c r="B162" s="1">
        <v>2.79</v>
      </c>
    </row>
    <row r="163" spans="1:2">
      <c r="A163" s="2">
        <v>40296</v>
      </c>
      <c r="B163" s="1">
        <v>2.69</v>
      </c>
    </row>
    <row r="164" spans="1:2">
      <c r="A164" s="2">
        <v>40265</v>
      </c>
      <c r="B164" s="1">
        <v>2.72</v>
      </c>
    </row>
    <row r="165" spans="1:2">
      <c r="A165" s="2">
        <v>40237</v>
      </c>
      <c r="B165" s="1">
        <v>2.81</v>
      </c>
    </row>
    <row r="166" spans="1:2">
      <c r="A166" s="2">
        <v>40206</v>
      </c>
      <c r="B166" s="1">
        <v>2.75</v>
      </c>
    </row>
    <row r="167" spans="1:2">
      <c r="A167" s="2">
        <v>40175</v>
      </c>
      <c r="B167" s="1">
        <v>2.85</v>
      </c>
    </row>
    <row r="168" spans="1:2">
      <c r="A168" s="2">
        <v>40145</v>
      </c>
      <c r="B168" s="1">
        <v>3.15</v>
      </c>
    </row>
    <row r="169" spans="1:2">
      <c r="A169" s="2">
        <v>40114</v>
      </c>
      <c r="B169" s="1">
        <v>2.87</v>
      </c>
    </row>
    <row r="170" spans="1:2">
      <c r="A170" s="2">
        <v>40084</v>
      </c>
      <c r="B170" s="1">
        <v>2.62</v>
      </c>
    </row>
    <row r="171" spans="1:2">
      <c r="A171" s="2">
        <v>40053</v>
      </c>
      <c r="B171" s="1">
        <v>3.02</v>
      </c>
    </row>
    <row r="172" spans="1:2">
      <c r="A172" s="2">
        <v>40022</v>
      </c>
      <c r="B172" s="1">
        <v>3.01</v>
      </c>
    </row>
    <row r="173" spans="1:2">
      <c r="A173" s="2">
        <v>39992</v>
      </c>
      <c r="B173" s="1">
        <v>3.15</v>
      </c>
    </row>
    <row r="174" spans="1:2">
      <c r="A174" s="2">
        <v>39961</v>
      </c>
      <c r="B174" s="1">
        <v>3.08</v>
      </c>
    </row>
    <row r="175" spans="1:2">
      <c r="A175" s="2">
        <v>39931</v>
      </c>
      <c r="B175" s="1">
        <v>3.1</v>
      </c>
    </row>
    <row r="176" spans="1:2">
      <c r="A176" s="2">
        <v>39900</v>
      </c>
      <c r="B176" s="1">
        <v>3.31</v>
      </c>
    </row>
    <row r="177" spans="1:2">
      <c r="A177" s="2">
        <v>39872</v>
      </c>
      <c r="B177" s="1">
        <v>3.49</v>
      </c>
    </row>
    <row r="178" spans="1:2">
      <c r="A178" s="2">
        <v>39841</v>
      </c>
      <c r="B178" s="1">
        <v>3.85</v>
      </c>
    </row>
    <row r="179" spans="1:2">
      <c r="A179" s="2">
        <v>39810</v>
      </c>
      <c r="B179" s="1">
        <v>4.53</v>
      </c>
    </row>
    <row r="180" spans="1:2">
      <c r="A180" s="2">
        <v>39780</v>
      </c>
      <c r="B180" s="1">
        <v>5.0599999999999996</v>
      </c>
    </row>
    <row r="181" spans="1:2">
      <c r="A181" s="2">
        <v>39749</v>
      </c>
      <c r="B181" s="1">
        <v>5.73</v>
      </c>
    </row>
    <row r="182" spans="1:2">
      <c r="A182" s="2">
        <v>39719</v>
      </c>
      <c r="B182" s="1">
        <v>5.77</v>
      </c>
    </row>
    <row r="183" spans="1:2">
      <c r="A183" s="2">
        <v>39688</v>
      </c>
      <c r="B183" s="1">
        <v>5.57</v>
      </c>
    </row>
    <row r="184" spans="1:2">
      <c r="A184" s="2">
        <v>39657</v>
      </c>
      <c r="B184" s="1">
        <v>5.51</v>
      </c>
    </row>
    <row r="185" spans="1:2">
      <c r="A185" s="2">
        <v>39627</v>
      </c>
      <c r="B185" s="1">
        <v>5.52</v>
      </c>
    </row>
    <row r="186" spans="1:2">
      <c r="A186" s="2">
        <v>39596</v>
      </c>
      <c r="B186" s="1">
        <v>5.39</v>
      </c>
    </row>
    <row r="187" spans="1:2">
      <c r="A187" s="2">
        <v>39566</v>
      </c>
      <c r="B187" s="1">
        <v>5.53</v>
      </c>
    </row>
    <row r="188" spans="1:2">
      <c r="A188" s="2">
        <v>39535</v>
      </c>
      <c r="B188" s="1">
        <v>5.47</v>
      </c>
    </row>
    <row r="189" spans="1:2">
      <c r="A189" s="2">
        <v>39506</v>
      </c>
      <c r="B189" s="1">
        <v>5.26</v>
      </c>
    </row>
    <row r="190" spans="1:2">
      <c r="A190" s="2">
        <v>39475</v>
      </c>
      <c r="B190" s="1">
        <v>5.34</v>
      </c>
    </row>
    <row r="191" spans="1:2">
      <c r="A191" s="2">
        <v>39444</v>
      </c>
      <c r="B191" s="1">
        <v>5.59</v>
      </c>
    </row>
    <row r="192" spans="1:2">
      <c r="A192" s="2">
        <v>39414</v>
      </c>
      <c r="B192" s="1">
        <v>5.34</v>
      </c>
    </row>
    <row r="193" spans="1:2">
      <c r="A193" s="2">
        <v>39383</v>
      </c>
      <c r="B193" s="1">
        <v>5.45</v>
      </c>
    </row>
    <row r="194" spans="1:2">
      <c r="A194" s="2">
        <v>39353</v>
      </c>
      <c r="B194" s="1">
        <v>5.6</v>
      </c>
    </row>
    <row r="195" spans="1:2">
      <c r="A195" s="2">
        <v>39322</v>
      </c>
      <c r="B195" s="1">
        <v>5.38</v>
      </c>
    </row>
    <row r="196" spans="1:2">
      <c r="A196" s="2">
        <v>39291</v>
      </c>
      <c r="B196" s="1">
        <v>5.29</v>
      </c>
    </row>
    <row r="197" spans="1:2">
      <c r="A197" s="2">
        <v>39261</v>
      </c>
      <c r="B197" s="1">
        <v>5.25</v>
      </c>
    </row>
    <row r="198" spans="1:2">
      <c r="A198" s="2">
        <v>39230</v>
      </c>
      <c r="B198" s="1">
        <v>5.05</v>
      </c>
    </row>
    <row r="199" spans="1:2">
      <c r="A199" s="2">
        <v>39200</v>
      </c>
      <c r="B199" s="1">
        <v>5.09</v>
      </c>
    </row>
    <row r="200" spans="1:2">
      <c r="A200" s="2">
        <v>39169</v>
      </c>
      <c r="B200" s="1">
        <v>5.0199999999999996</v>
      </c>
    </row>
    <row r="201" spans="1:2">
      <c r="A201" s="2">
        <v>39141</v>
      </c>
      <c r="B201" s="1">
        <v>4.87</v>
      </c>
    </row>
    <row r="202" spans="1:2">
      <c r="A202" s="2">
        <v>39110</v>
      </c>
      <c r="B202" s="1">
        <v>4.8</v>
      </c>
    </row>
    <row r="203" spans="1:2">
      <c r="A203" s="2">
        <v>39079</v>
      </c>
      <c r="B203" s="1">
        <v>4.75</v>
      </c>
    </row>
    <row r="204" spans="1:2">
      <c r="A204" s="2">
        <v>39049</v>
      </c>
      <c r="B204" s="1">
        <v>4.59</v>
      </c>
    </row>
    <row r="205" spans="1:2">
      <c r="A205" s="2">
        <v>39018</v>
      </c>
      <c r="B205" s="1">
        <v>4.5599999999999996</v>
      </c>
    </row>
    <row r="206" spans="1:2">
      <c r="A206" s="2">
        <v>38988</v>
      </c>
      <c r="B206" s="1">
        <v>4.47</v>
      </c>
    </row>
    <row r="207" spans="1:2">
      <c r="A207" s="2">
        <v>38957</v>
      </c>
      <c r="B207" s="1">
        <v>4.41</v>
      </c>
    </row>
    <row r="208" spans="1:2">
      <c r="A208" s="2">
        <v>38926</v>
      </c>
      <c r="B208" s="1">
        <v>4.28</v>
      </c>
    </row>
    <row r="209" spans="1:2">
      <c r="A209" s="2">
        <v>38896</v>
      </c>
      <c r="B209" s="1">
        <v>4.21</v>
      </c>
    </row>
    <row r="210" spans="1:2">
      <c r="A210" s="2">
        <v>38865</v>
      </c>
      <c r="B210" s="1">
        <v>4.1399999999999997</v>
      </c>
    </row>
    <row r="211" spans="1:2">
      <c r="A211" s="2">
        <v>38835</v>
      </c>
      <c r="B211" s="1">
        <v>3.95</v>
      </c>
    </row>
    <row r="212" spans="1:2">
      <c r="A212" s="2">
        <v>38804</v>
      </c>
      <c r="B212" s="1">
        <v>3.98</v>
      </c>
    </row>
    <row r="213" spans="1:2">
      <c r="A213" s="2">
        <v>38776</v>
      </c>
      <c r="B213" s="1">
        <v>3.81</v>
      </c>
    </row>
    <row r="214" spans="1:2">
      <c r="A214" s="2">
        <v>38745</v>
      </c>
      <c r="B214" s="1">
        <v>3.69</v>
      </c>
    </row>
    <row r="215" spans="1:2">
      <c r="A215" s="2">
        <v>38714</v>
      </c>
      <c r="B215" s="1">
        <v>3.73</v>
      </c>
    </row>
    <row r="216" spans="1:2">
      <c r="A216" s="2">
        <v>38684</v>
      </c>
      <c r="B216" s="1">
        <v>3.63</v>
      </c>
    </row>
    <row r="217" spans="1:2">
      <c r="A217" s="2">
        <v>38653</v>
      </c>
      <c r="B217" s="1">
        <v>3.46</v>
      </c>
    </row>
    <row r="218" spans="1:2">
      <c r="A218" s="2">
        <v>38623</v>
      </c>
      <c r="B218" s="1">
        <v>3.5</v>
      </c>
    </row>
    <row r="219" spans="1:2">
      <c r="A219" s="2">
        <v>38592</v>
      </c>
      <c r="B219" s="1">
        <v>3.48</v>
      </c>
    </row>
    <row r="220" spans="1:2">
      <c r="A220" s="2">
        <v>38561</v>
      </c>
      <c r="B220" s="1">
        <v>3.47</v>
      </c>
    </row>
    <row r="221" spans="1:2">
      <c r="A221" s="2">
        <v>38531</v>
      </c>
      <c r="B221" s="1">
        <v>3.46</v>
      </c>
    </row>
    <row r="222" spans="1:2">
      <c r="A222" s="2">
        <v>38500</v>
      </c>
      <c r="B222" s="1">
        <v>3.43</v>
      </c>
    </row>
    <row r="223" spans="1:2">
      <c r="A223" s="2">
        <v>38470</v>
      </c>
      <c r="B223" s="1">
        <v>3.44</v>
      </c>
    </row>
    <row r="224" spans="1:2">
      <c r="A224" s="2">
        <v>38439</v>
      </c>
      <c r="B224" s="1">
        <v>3.54</v>
      </c>
    </row>
    <row r="225" spans="1:2">
      <c r="A225" s="2">
        <v>38411</v>
      </c>
      <c r="B225" s="1">
        <v>3.68</v>
      </c>
    </row>
    <row r="226" spans="1:2">
      <c r="A226" s="2">
        <v>38380</v>
      </c>
      <c r="B226" s="1">
        <v>3.65</v>
      </c>
    </row>
    <row r="227" spans="1:2">
      <c r="A227" s="2">
        <v>38349</v>
      </c>
      <c r="B227" s="1">
        <v>3.71</v>
      </c>
    </row>
    <row r="228" spans="1:2">
      <c r="A228" s="2">
        <v>38319</v>
      </c>
      <c r="B228" s="1">
        <v>3.6</v>
      </c>
    </row>
    <row r="229" spans="1:2">
      <c r="A229" s="2">
        <v>38288</v>
      </c>
      <c r="B229" s="1">
        <v>3.7</v>
      </c>
    </row>
    <row r="230" spans="1:2">
      <c r="A230" s="2">
        <v>38258</v>
      </c>
      <c r="B230" s="1">
        <v>3.7</v>
      </c>
    </row>
    <row r="231" spans="1:2">
      <c r="A231" s="2">
        <v>38227</v>
      </c>
      <c r="B231" s="1">
        <v>3.66</v>
      </c>
    </row>
    <row r="232" spans="1:2">
      <c r="A232" s="2">
        <v>38196</v>
      </c>
      <c r="B232" s="1">
        <v>3.72</v>
      </c>
    </row>
    <row r="233" spans="1:2">
      <c r="A233" s="2">
        <v>38166</v>
      </c>
      <c r="B233" s="1">
        <v>3.73</v>
      </c>
    </row>
    <row r="234" spans="1:2">
      <c r="A234" s="2">
        <v>38135</v>
      </c>
      <c r="B234" s="1">
        <v>3.75</v>
      </c>
    </row>
    <row r="235" spans="1:2">
      <c r="A235" s="2">
        <v>38105</v>
      </c>
      <c r="B235" s="1">
        <v>3.69</v>
      </c>
    </row>
    <row r="236" spans="1:2">
      <c r="A236" s="2">
        <v>38074</v>
      </c>
      <c r="B236" s="1">
        <v>3.66</v>
      </c>
    </row>
    <row r="237" spans="1:2">
      <c r="A237" s="2">
        <v>38045</v>
      </c>
      <c r="B237" s="1">
        <v>3.68</v>
      </c>
    </row>
    <row r="238" spans="1:2">
      <c r="A238" s="2">
        <v>38014</v>
      </c>
      <c r="B238" s="1">
        <v>3.76</v>
      </c>
    </row>
    <row r="239" spans="1:2">
      <c r="A239" s="2">
        <v>37983</v>
      </c>
      <c r="B239" s="1">
        <v>3.77</v>
      </c>
    </row>
    <row r="240" spans="1:2">
      <c r="A240" s="2">
        <v>37953</v>
      </c>
      <c r="B240" s="1">
        <v>3.6</v>
      </c>
    </row>
    <row r="241" spans="1:2">
      <c r="A241" s="2">
        <v>37922</v>
      </c>
      <c r="B241" s="1">
        <v>3.71</v>
      </c>
    </row>
    <row r="242" spans="1:2">
      <c r="A242" s="2">
        <v>37892</v>
      </c>
      <c r="B242" s="1">
        <v>3.69</v>
      </c>
    </row>
    <row r="243" spans="1:2">
      <c r="A243" s="2">
        <v>37861</v>
      </c>
      <c r="B243" s="1">
        <v>3.76</v>
      </c>
    </row>
    <row r="244" spans="1:2">
      <c r="A244" s="2">
        <v>37830</v>
      </c>
      <c r="B244" s="1">
        <v>3.72</v>
      </c>
    </row>
    <row r="245" spans="1:2">
      <c r="A245" s="2">
        <v>37800</v>
      </c>
      <c r="B245" s="1">
        <v>3.64</v>
      </c>
    </row>
    <row r="246" spans="1:2">
      <c r="A246" s="2">
        <v>37769</v>
      </c>
      <c r="B246" s="1">
        <v>4.01</v>
      </c>
    </row>
    <row r="247" spans="1:2">
      <c r="A247" s="2">
        <v>37739</v>
      </c>
      <c r="B247" s="1">
        <v>4.24</v>
      </c>
    </row>
    <row r="248" spans="1:2">
      <c r="A248" s="2">
        <v>37708</v>
      </c>
      <c r="B248" s="1">
        <v>4.2699999999999996</v>
      </c>
    </row>
    <row r="249" spans="1:2">
      <c r="A249" s="2">
        <v>37680</v>
      </c>
      <c r="B249" s="1">
        <v>4.26</v>
      </c>
    </row>
    <row r="250" spans="1:2">
      <c r="A250" s="2">
        <v>37652</v>
      </c>
      <c r="B250" s="1">
        <v>4.3899999999999997</v>
      </c>
    </row>
    <row r="251" spans="1:2">
      <c r="A251" s="3"/>
    </row>
    <row r="252" spans="1:2">
      <c r="A252" s="3"/>
    </row>
    <row r="253" spans="1:2">
      <c r="A253" s="3"/>
    </row>
    <row r="254" spans="1:2">
      <c r="A254" s="3"/>
    </row>
    <row r="255" spans="1:2">
      <c r="A255" s="3"/>
    </row>
    <row r="256" spans="1:2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</sheetData>
  <sortState xmlns:xlrd2="http://schemas.microsoft.com/office/spreadsheetml/2017/richdata2" ref="A251:D331">
    <sortCondition descending="1" ref="A251:A3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508B-7DA7-064A-A59F-323C29BC3B7F}">
  <dimension ref="A1:B323"/>
  <sheetViews>
    <sheetView workbookViewId="0">
      <selection sqref="A1:B1048576"/>
    </sheetView>
  </sheetViews>
  <sheetFormatPr baseColWidth="10" defaultRowHeight="16"/>
  <sheetData>
    <row r="1" spans="1:2">
      <c r="A1" t="s">
        <v>10</v>
      </c>
    </row>
    <row r="2" spans="1:2">
      <c r="A2" t="s">
        <v>1</v>
      </c>
      <c r="B2" t="s">
        <v>11</v>
      </c>
    </row>
    <row r="3" spans="1:2">
      <c r="A3" s="2">
        <v>44954</v>
      </c>
      <c r="B3" s="1">
        <v>3.59</v>
      </c>
    </row>
    <row r="4" spans="1:2">
      <c r="A4" s="2">
        <v>44923</v>
      </c>
      <c r="B4" s="1">
        <v>3.45</v>
      </c>
    </row>
    <row r="5" spans="1:2">
      <c r="A5" s="2">
        <v>44893</v>
      </c>
      <c r="B5" s="1">
        <v>3.14</v>
      </c>
    </row>
    <row r="6" spans="1:2">
      <c r="A6" s="2">
        <v>44862</v>
      </c>
      <c r="B6" s="1">
        <v>2.86</v>
      </c>
    </row>
    <row r="7" spans="1:2">
      <c r="A7" s="2">
        <v>44832</v>
      </c>
      <c r="B7" s="1">
        <v>2.67</v>
      </c>
    </row>
    <row r="8" spans="1:2">
      <c r="A8" s="2">
        <v>44801</v>
      </c>
      <c r="B8" s="1">
        <v>1.97</v>
      </c>
    </row>
    <row r="9" spans="1:2">
      <c r="A9" s="2">
        <v>44770</v>
      </c>
      <c r="B9" s="1">
        <v>1.89</v>
      </c>
    </row>
    <row r="10" spans="1:2">
      <c r="A10" s="2">
        <v>44740</v>
      </c>
      <c r="B10" s="1">
        <v>2.19</v>
      </c>
    </row>
    <row r="11" spans="1:2">
      <c r="A11" s="2">
        <v>44709</v>
      </c>
      <c r="B11" s="1">
        <v>1.49</v>
      </c>
    </row>
    <row r="12" spans="1:2">
      <c r="A12" s="2">
        <v>44679</v>
      </c>
      <c r="B12" s="1">
        <v>1.53</v>
      </c>
    </row>
    <row r="13" spans="1:2">
      <c r="A13" s="2">
        <v>44648</v>
      </c>
      <c r="B13" s="1">
        <v>1.5</v>
      </c>
    </row>
    <row r="14" spans="1:2">
      <c r="A14" s="2">
        <v>44620</v>
      </c>
      <c r="B14" s="1">
        <v>1.32</v>
      </c>
    </row>
    <row r="15" spans="1:2">
      <c r="A15" s="2">
        <v>44589</v>
      </c>
      <c r="B15" s="1">
        <v>1.29</v>
      </c>
    </row>
    <row r="16" spans="1:2">
      <c r="A16" s="2">
        <v>44558</v>
      </c>
      <c r="B16" s="1">
        <v>1.2</v>
      </c>
    </row>
    <row r="17" spans="1:2">
      <c r="A17" s="2">
        <v>44528</v>
      </c>
      <c r="B17" s="1">
        <v>1.18</v>
      </c>
    </row>
    <row r="18" spans="1:2">
      <c r="A18" s="2">
        <v>44497</v>
      </c>
      <c r="B18" s="1">
        <v>1.21</v>
      </c>
    </row>
    <row r="19" spans="1:2">
      <c r="A19" s="2">
        <v>44467</v>
      </c>
      <c r="B19" s="1">
        <v>1.36</v>
      </c>
    </row>
    <row r="20" spans="1:2">
      <c r="A20" s="2">
        <v>44436</v>
      </c>
      <c r="B20" s="1">
        <v>1.33</v>
      </c>
    </row>
    <row r="21" spans="1:2">
      <c r="A21" s="2">
        <v>44405</v>
      </c>
      <c r="B21" s="1">
        <v>1.35</v>
      </c>
    </row>
    <row r="22" spans="1:2">
      <c r="A22" s="2">
        <v>44375</v>
      </c>
      <c r="B22" s="1">
        <v>1.28</v>
      </c>
    </row>
    <row r="23" spans="1:2">
      <c r="A23" s="2">
        <v>44344</v>
      </c>
      <c r="B23" s="1">
        <v>1.32</v>
      </c>
    </row>
    <row r="24" spans="1:2">
      <c r="A24" s="2">
        <v>44314</v>
      </c>
      <c r="B24" s="1">
        <v>1.52</v>
      </c>
    </row>
    <row r="25" spans="1:2">
      <c r="A25" s="2">
        <v>44283</v>
      </c>
      <c r="B25" s="1">
        <v>1.0900000000000001</v>
      </c>
    </row>
    <row r="26" spans="1:2">
      <c r="A26" s="2">
        <v>44255</v>
      </c>
      <c r="B26" s="1">
        <v>1.37</v>
      </c>
    </row>
    <row r="27" spans="1:2">
      <c r="A27" s="2">
        <v>44224</v>
      </c>
      <c r="B27" s="1">
        <v>1.36</v>
      </c>
    </row>
    <row r="28" spans="1:2">
      <c r="A28" s="2">
        <v>44193</v>
      </c>
      <c r="B28" s="1">
        <v>1.33</v>
      </c>
    </row>
    <row r="29" spans="1:2">
      <c r="A29" s="2">
        <v>44163</v>
      </c>
      <c r="B29" s="1">
        <v>1.39</v>
      </c>
    </row>
    <row r="30" spans="1:2">
      <c r="A30" s="2">
        <v>44132</v>
      </c>
      <c r="B30" s="1">
        <v>1.37</v>
      </c>
    </row>
    <row r="31" spans="1:2">
      <c r="A31" s="2">
        <v>44102</v>
      </c>
      <c r="B31" s="1">
        <v>1.37</v>
      </c>
    </row>
    <row r="32" spans="1:2">
      <c r="A32" s="2">
        <v>44071</v>
      </c>
      <c r="B32" s="1">
        <v>1.52</v>
      </c>
    </row>
    <row r="33" spans="1:2">
      <c r="A33" s="2">
        <v>44040</v>
      </c>
      <c r="B33" s="1">
        <v>1.43</v>
      </c>
    </row>
    <row r="34" spans="1:2">
      <c r="A34" s="2">
        <v>44010</v>
      </c>
      <c r="B34" s="1">
        <v>1.36</v>
      </c>
    </row>
    <row r="35" spans="1:2">
      <c r="A35" s="2">
        <v>43979</v>
      </c>
      <c r="B35" s="1">
        <v>1.38</v>
      </c>
    </row>
    <row r="36" spans="1:2">
      <c r="A36" s="2">
        <v>43949</v>
      </c>
      <c r="B36" s="1">
        <v>1.35</v>
      </c>
    </row>
    <row r="37" spans="1:2">
      <c r="A37" s="2">
        <v>43918</v>
      </c>
      <c r="B37" s="1">
        <v>1.2</v>
      </c>
    </row>
    <row r="38" spans="1:2">
      <c r="A38" s="2">
        <v>43889</v>
      </c>
      <c r="B38" s="1">
        <v>1.19</v>
      </c>
    </row>
    <row r="39" spans="1:2">
      <c r="A39" s="2">
        <v>43858</v>
      </c>
      <c r="B39" s="1">
        <v>1.24</v>
      </c>
    </row>
    <row r="40" spans="1:2">
      <c r="A40" s="2">
        <v>43827</v>
      </c>
      <c r="B40" s="1">
        <v>1.29</v>
      </c>
    </row>
    <row r="41" spans="1:2">
      <c r="A41" s="2">
        <v>43797</v>
      </c>
      <c r="B41" s="1">
        <v>1.27</v>
      </c>
    </row>
    <row r="42" spans="1:2">
      <c r="A42" s="2">
        <v>43766</v>
      </c>
      <c r="B42" s="1">
        <v>1.22</v>
      </c>
    </row>
    <row r="43" spans="1:2">
      <c r="A43" s="2">
        <v>43736</v>
      </c>
      <c r="B43" s="1">
        <v>1.18</v>
      </c>
    </row>
    <row r="44" spans="1:2">
      <c r="A44" s="2">
        <v>43705</v>
      </c>
      <c r="B44" s="1">
        <v>1.1299999999999999</v>
      </c>
    </row>
    <row r="45" spans="1:2">
      <c r="A45" s="2">
        <v>43674</v>
      </c>
      <c r="B45" s="1">
        <v>1.19</v>
      </c>
    </row>
    <row r="46" spans="1:2">
      <c r="A46" s="2">
        <v>43644</v>
      </c>
      <c r="B46" s="1">
        <v>1.18</v>
      </c>
    </row>
    <row r="47" spans="1:2">
      <c r="A47" s="2">
        <v>43613</v>
      </c>
      <c r="B47" s="1">
        <v>1.19</v>
      </c>
    </row>
    <row r="48" spans="1:2">
      <c r="A48" s="2">
        <v>43583</v>
      </c>
      <c r="B48" s="1">
        <v>1.21</v>
      </c>
    </row>
    <row r="49" spans="1:2">
      <c r="A49" s="2">
        <v>43552</v>
      </c>
      <c r="B49" s="1">
        <v>1.29</v>
      </c>
    </row>
    <row r="50" spans="1:2">
      <c r="A50" s="2">
        <v>43524</v>
      </c>
      <c r="B50" s="1">
        <v>1.25</v>
      </c>
    </row>
    <row r="51" spans="1:2">
      <c r="A51" s="2">
        <v>43493</v>
      </c>
      <c r="B51" s="1">
        <v>1.24</v>
      </c>
    </row>
    <row r="52" spans="1:2">
      <c r="A52" s="2">
        <v>43462</v>
      </c>
      <c r="B52" s="1">
        <v>1.29</v>
      </c>
    </row>
    <row r="53" spans="1:2">
      <c r="A53" s="2">
        <v>43432</v>
      </c>
      <c r="B53" s="1">
        <v>1.27</v>
      </c>
    </row>
    <row r="54" spans="1:2">
      <c r="A54" s="2">
        <v>43401</v>
      </c>
      <c r="B54" s="1">
        <v>1.28</v>
      </c>
    </row>
    <row r="55" spans="1:2">
      <c r="A55" s="2">
        <v>43371</v>
      </c>
      <c r="B55" s="1">
        <v>1.26</v>
      </c>
    </row>
    <row r="56" spans="1:2">
      <c r="A56" s="2">
        <v>43340</v>
      </c>
      <c r="B56" s="1">
        <v>1.18</v>
      </c>
    </row>
    <row r="57" spans="1:2">
      <c r="A57" s="2">
        <v>43309</v>
      </c>
      <c r="B57" s="1">
        <v>1.19</v>
      </c>
    </row>
    <row r="58" spans="1:2">
      <c r="A58" s="2">
        <v>43279</v>
      </c>
      <c r="B58" s="1">
        <v>1.31</v>
      </c>
    </row>
    <row r="59" spans="1:2">
      <c r="A59" s="2">
        <v>43248</v>
      </c>
      <c r="B59" s="1">
        <v>1.2</v>
      </c>
    </row>
    <row r="60" spans="1:2">
      <c r="A60" s="2">
        <v>43218</v>
      </c>
      <c r="B60" s="1">
        <v>1.39</v>
      </c>
    </row>
    <row r="61" spans="1:2">
      <c r="A61" s="2">
        <v>43187</v>
      </c>
      <c r="B61" s="1">
        <v>1.42</v>
      </c>
    </row>
    <row r="62" spans="1:2">
      <c r="A62" s="2">
        <v>43159</v>
      </c>
      <c r="B62" s="1">
        <v>1.32</v>
      </c>
    </row>
    <row r="63" spans="1:2">
      <c r="A63" s="2">
        <v>43128</v>
      </c>
      <c r="B63" s="1">
        <v>1.22</v>
      </c>
    </row>
    <row r="64" spans="1:2">
      <c r="A64" s="2">
        <v>43097</v>
      </c>
      <c r="B64" s="1">
        <v>1.43</v>
      </c>
    </row>
    <row r="65" spans="1:2">
      <c r="A65" s="2">
        <v>43067</v>
      </c>
      <c r="B65" s="1">
        <v>1.4</v>
      </c>
    </row>
    <row r="66" spans="1:2">
      <c r="A66" s="2">
        <v>43036</v>
      </c>
      <c r="B66" s="1">
        <v>1.35</v>
      </c>
    </row>
    <row r="67" spans="1:2">
      <c r="A67" s="2">
        <v>43006</v>
      </c>
      <c r="B67" s="1">
        <v>1.38</v>
      </c>
    </row>
    <row r="68" spans="1:2">
      <c r="A68" s="2">
        <v>42975</v>
      </c>
      <c r="B68" s="1">
        <v>1.38</v>
      </c>
    </row>
    <row r="69" spans="1:2">
      <c r="A69" s="2">
        <v>42944</v>
      </c>
      <c r="B69" s="1">
        <v>1.39</v>
      </c>
    </row>
    <row r="70" spans="1:2">
      <c r="A70" s="2">
        <v>42914</v>
      </c>
      <c r="B70" s="1">
        <v>1.41</v>
      </c>
    </row>
    <row r="71" spans="1:2">
      <c r="A71" s="2">
        <v>42883</v>
      </c>
      <c r="B71" s="1">
        <v>1.35</v>
      </c>
    </row>
    <row r="72" spans="1:2">
      <c r="A72" s="2">
        <v>42853</v>
      </c>
      <c r="B72" s="1">
        <v>1.43</v>
      </c>
    </row>
    <row r="73" spans="1:2">
      <c r="A73" s="2">
        <v>42822</v>
      </c>
      <c r="B73" s="1">
        <v>1.5</v>
      </c>
    </row>
    <row r="74" spans="1:2">
      <c r="A74" s="2">
        <v>42794</v>
      </c>
      <c r="B74" s="1">
        <v>1.33</v>
      </c>
    </row>
    <row r="75" spans="1:2">
      <c r="A75" s="2">
        <v>42763</v>
      </c>
      <c r="B75" s="1">
        <v>1.33</v>
      </c>
    </row>
    <row r="76" spans="1:2">
      <c r="A76" s="2">
        <v>42732</v>
      </c>
      <c r="B76" s="1">
        <v>1.53</v>
      </c>
    </row>
    <row r="77" spans="1:2">
      <c r="A77" s="2">
        <v>42702</v>
      </c>
      <c r="B77" s="1">
        <v>1.45</v>
      </c>
    </row>
    <row r="78" spans="1:2">
      <c r="A78" s="2">
        <v>42671</v>
      </c>
      <c r="B78" s="1">
        <v>1.43</v>
      </c>
    </row>
    <row r="79" spans="1:2">
      <c r="A79" s="2">
        <v>42641</v>
      </c>
      <c r="B79" s="1">
        <v>1.51</v>
      </c>
    </row>
    <row r="80" spans="1:2">
      <c r="A80" s="2">
        <v>42610</v>
      </c>
      <c r="B80" s="1">
        <v>1.43</v>
      </c>
    </row>
    <row r="81" spans="1:2">
      <c r="A81" s="2">
        <v>42579</v>
      </c>
      <c r="B81" s="1">
        <v>1.46</v>
      </c>
    </row>
    <row r="82" spans="1:2">
      <c r="A82" s="2">
        <v>42549</v>
      </c>
      <c r="B82" s="1">
        <v>1.52</v>
      </c>
    </row>
    <row r="83" spans="1:2">
      <c r="A83" s="2">
        <v>42518</v>
      </c>
      <c r="B83" s="1">
        <v>1.47</v>
      </c>
    </row>
    <row r="84" spans="1:2">
      <c r="A84" s="2">
        <v>42488</v>
      </c>
      <c r="B84" s="1">
        <v>1.55</v>
      </c>
    </row>
    <row r="85" spans="1:2">
      <c r="A85" s="2">
        <v>42457</v>
      </c>
      <c r="B85" s="1">
        <v>1.64</v>
      </c>
    </row>
    <row r="86" spans="1:2">
      <c r="A86" s="2">
        <v>42428</v>
      </c>
      <c r="B86" s="1">
        <v>1.54</v>
      </c>
    </row>
    <row r="87" spans="1:2">
      <c r="A87" s="2">
        <v>42397</v>
      </c>
      <c r="B87" s="1">
        <v>1.6</v>
      </c>
    </row>
    <row r="88" spans="1:2">
      <c r="A88" s="2">
        <v>42366</v>
      </c>
      <c r="B88" s="1">
        <v>1.68</v>
      </c>
    </row>
    <row r="89" spans="1:2">
      <c r="A89" s="2">
        <v>42336</v>
      </c>
      <c r="B89" s="1">
        <v>1.67</v>
      </c>
    </row>
    <row r="90" spans="1:2">
      <c r="A90" s="2">
        <v>42305</v>
      </c>
      <c r="B90" s="1">
        <v>1.68</v>
      </c>
    </row>
    <row r="91" spans="1:2">
      <c r="A91" s="2">
        <v>42275</v>
      </c>
      <c r="B91" s="1">
        <v>1.84</v>
      </c>
    </row>
    <row r="92" spans="1:2">
      <c r="A92" s="2">
        <v>42244</v>
      </c>
      <c r="B92" s="1">
        <v>1.62</v>
      </c>
    </row>
    <row r="93" spans="1:2">
      <c r="A93" s="2">
        <v>42213</v>
      </c>
      <c r="B93" s="1">
        <v>1.68</v>
      </c>
    </row>
    <row r="94" spans="1:2">
      <c r="A94" s="2">
        <v>42183</v>
      </c>
      <c r="B94" s="1">
        <v>1.71</v>
      </c>
    </row>
    <row r="95" spans="1:2">
      <c r="A95" s="2">
        <v>42152</v>
      </c>
      <c r="B95" s="1">
        <v>1.66</v>
      </c>
    </row>
    <row r="96" spans="1:2">
      <c r="A96" s="2">
        <v>42122</v>
      </c>
      <c r="B96" s="1">
        <v>1.68</v>
      </c>
    </row>
    <row r="97" spans="1:2">
      <c r="A97" s="2">
        <v>42091</v>
      </c>
      <c r="B97" s="1">
        <v>1.73</v>
      </c>
    </row>
    <row r="98" spans="1:2">
      <c r="A98" s="2">
        <v>42063</v>
      </c>
      <c r="B98" s="1">
        <v>1.59</v>
      </c>
    </row>
    <row r="99" spans="1:2">
      <c r="A99" s="2">
        <v>42032</v>
      </c>
      <c r="B99" s="1">
        <v>1.67</v>
      </c>
    </row>
    <row r="100" spans="1:2">
      <c r="A100" s="2">
        <v>42001</v>
      </c>
      <c r="B100" s="1">
        <v>1.87</v>
      </c>
    </row>
    <row r="101" spans="1:2">
      <c r="A101" s="2">
        <v>41971</v>
      </c>
      <c r="B101" s="1">
        <v>1.87</v>
      </c>
    </row>
    <row r="102" spans="1:2">
      <c r="A102" s="2">
        <v>41940</v>
      </c>
      <c r="B102" s="1">
        <v>1.86</v>
      </c>
    </row>
    <row r="103" spans="1:2">
      <c r="A103" s="2">
        <v>41910</v>
      </c>
      <c r="B103" s="1">
        <v>1.91</v>
      </c>
    </row>
    <row r="104" spans="1:2">
      <c r="A104" s="2">
        <v>41879</v>
      </c>
      <c r="B104" s="1">
        <v>1.89</v>
      </c>
    </row>
    <row r="105" spans="1:2">
      <c r="A105" s="2">
        <v>41848</v>
      </c>
      <c r="B105" s="1">
        <v>1.98</v>
      </c>
    </row>
    <row r="106" spans="1:2">
      <c r="A106" s="2">
        <v>41818</v>
      </c>
      <c r="B106" s="1">
        <v>2.04</v>
      </c>
    </row>
    <row r="107" spans="1:2">
      <c r="A107" s="2">
        <v>41787</v>
      </c>
      <c r="B107" s="1">
        <v>2.13</v>
      </c>
    </row>
    <row r="108" spans="1:2">
      <c r="A108" s="2">
        <v>41757</v>
      </c>
      <c r="B108" s="1">
        <v>2.12</v>
      </c>
    </row>
    <row r="109" spans="1:2">
      <c r="A109" s="2">
        <v>41726</v>
      </c>
      <c r="B109" s="1">
        <v>2.2599999999999998</v>
      </c>
    </row>
    <row r="110" spans="1:2">
      <c r="A110" s="2">
        <v>41698</v>
      </c>
      <c r="B110" s="1">
        <v>2.11</v>
      </c>
    </row>
    <row r="111" spans="1:2">
      <c r="A111" s="2">
        <v>41667</v>
      </c>
      <c r="B111" s="1">
        <v>2.14</v>
      </c>
    </row>
    <row r="112" spans="1:2">
      <c r="A112" s="2">
        <v>41636</v>
      </c>
      <c r="B112" s="1">
        <v>2.19</v>
      </c>
    </row>
    <row r="113" spans="1:2">
      <c r="A113" s="2">
        <v>41606</v>
      </c>
      <c r="B113" s="1">
        <v>2.0699999999999998</v>
      </c>
    </row>
    <row r="114" spans="1:2">
      <c r="A114" s="2">
        <v>41575</v>
      </c>
      <c r="B114" s="1">
        <v>2.13</v>
      </c>
    </row>
    <row r="115" spans="1:2">
      <c r="A115" s="2">
        <v>41545</v>
      </c>
      <c r="B115" s="1">
        <v>2.14</v>
      </c>
    </row>
    <row r="116" spans="1:2">
      <c r="A116" s="2">
        <v>41514</v>
      </c>
      <c r="B116" s="1">
        <v>2.04</v>
      </c>
    </row>
    <row r="117" spans="1:2">
      <c r="A117" s="2">
        <v>41483</v>
      </c>
      <c r="B117" s="1">
        <v>2.09</v>
      </c>
    </row>
    <row r="118" spans="1:2">
      <c r="A118" s="2">
        <v>41453</v>
      </c>
      <c r="B118" s="1">
        <v>2.08</v>
      </c>
    </row>
    <row r="119" spans="1:2">
      <c r="A119" s="2">
        <v>41422</v>
      </c>
      <c r="B119" s="1">
        <v>2.04</v>
      </c>
    </row>
    <row r="120" spans="1:2">
      <c r="A120" s="2">
        <v>41392</v>
      </c>
      <c r="B120" s="1">
        <v>2.13</v>
      </c>
    </row>
    <row r="121" spans="1:2">
      <c r="A121" s="2">
        <v>41361</v>
      </c>
      <c r="B121" s="1">
        <v>2.15</v>
      </c>
    </row>
    <row r="122" spans="1:2">
      <c r="A122" s="2">
        <v>41333</v>
      </c>
      <c r="B122" s="1">
        <v>2.11</v>
      </c>
    </row>
    <row r="123" spans="1:2">
      <c r="A123" s="2">
        <v>41302</v>
      </c>
      <c r="B123" s="1">
        <v>2.14</v>
      </c>
    </row>
    <row r="124" spans="1:2">
      <c r="A124" s="2">
        <v>41271</v>
      </c>
      <c r="B124" s="1">
        <v>2.19</v>
      </c>
    </row>
    <row r="125" spans="1:2">
      <c r="A125" s="2">
        <v>41241</v>
      </c>
      <c r="B125" s="1">
        <v>2.27</v>
      </c>
    </row>
    <row r="126" spans="1:2">
      <c r="A126" s="2">
        <v>41210</v>
      </c>
      <c r="B126" s="1">
        <v>2.2000000000000002</v>
      </c>
    </row>
    <row r="127" spans="1:2">
      <c r="A127" s="2">
        <v>41180</v>
      </c>
      <c r="B127" s="1">
        <v>2.34</v>
      </c>
    </row>
    <row r="128" spans="1:2">
      <c r="A128" s="2">
        <v>41149</v>
      </c>
      <c r="B128" s="1">
        <v>2.36</v>
      </c>
    </row>
    <row r="129" spans="1:2">
      <c r="A129" s="2">
        <v>41118</v>
      </c>
      <c r="B129" s="1">
        <v>2.4900000000000002</v>
      </c>
    </row>
    <row r="130" spans="1:2">
      <c r="A130" s="2">
        <v>41088</v>
      </c>
      <c r="B130" s="1">
        <v>2.62</v>
      </c>
    </row>
    <row r="131" spans="1:2">
      <c r="A131" s="2">
        <v>41057</v>
      </c>
      <c r="B131" s="1">
        <v>2.61</v>
      </c>
    </row>
    <row r="132" spans="1:2">
      <c r="A132" s="2">
        <v>41027</v>
      </c>
      <c r="B132" s="1">
        <v>2.64</v>
      </c>
    </row>
    <row r="133" spans="1:2">
      <c r="A133" s="2">
        <v>40996</v>
      </c>
      <c r="B133" s="1">
        <v>2.71</v>
      </c>
    </row>
    <row r="134" spans="1:2">
      <c r="A134" s="2">
        <v>40967</v>
      </c>
      <c r="B134" s="1">
        <v>2.83</v>
      </c>
    </row>
    <row r="135" spans="1:2">
      <c r="A135" s="2">
        <v>40936</v>
      </c>
      <c r="B135" s="1">
        <v>2.88</v>
      </c>
    </row>
    <row r="136" spans="1:2">
      <c r="A136" s="2">
        <v>40905</v>
      </c>
      <c r="B136" s="1">
        <v>3.17</v>
      </c>
    </row>
    <row r="137" spans="1:2">
      <c r="A137" s="2">
        <v>40875</v>
      </c>
      <c r="B137" s="1">
        <v>3.16</v>
      </c>
    </row>
    <row r="138" spans="1:2">
      <c r="A138" s="2">
        <v>40844</v>
      </c>
      <c r="B138" s="1">
        <v>3.29</v>
      </c>
    </row>
    <row r="139" spans="1:2">
      <c r="A139" s="2">
        <v>40814</v>
      </c>
      <c r="B139" s="1">
        <v>3.2</v>
      </c>
    </row>
    <row r="140" spans="1:2">
      <c r="A140" s="2">
        <v>40783</v>
      </c>
      <c r="B140" s="1">
        <v>3.29</v>
      </c>
    </row>
    <row r="141" spans="1:2">
      <c r="A141" s="2">
        <v>40752</v>
      </c>
      <c r="B141" s="1">
        <v>3.27</v>
      </c>
    </row>
    <row r="142" spans="1:2">
      <c r="A142" s="2">
        <v>40722</v>
      </c>
      <c r="B142" s="1">
        <v>3.29</v>
      </c>
    </row>
    <row r="143" spans="1:2">
      <c r="A143" s="2">
        <v>40691</v>
      </c>
      <c r="B143" s="1">
        <v>3.2</v>
      </c>
    </row>
    <row r="144" spans="1:2">
      <c r="A144" s="2">
        <v>40661</v>
      </c>
      <c r="B144" s="1">
        <v>3.19</v>
      </c>
    </row>
    <row r="145" spans="1:2">
      <c r="A145" s="2">
        <v>40630</v>
      </c>
      <c r="B145" s="1">
        <v>3</v>
      </c>
    </row>
    <row r="146" spans="1:2">
      <c r="A146" s="2">
        <v>40602</v>
      </c>
      <c r="B146" s="1">
        <v>3</v>
      </c>
    </row>
    <row r="147" spans="1:2">
      <c r="A147" s="2">
        <v>40571</v>
      </c>
      <c r="B147" s="1">
        <v>2.77</v>
      </c>
    </row>
    <row r="148" spans="1:2">
      <c r="A148" s="2">
        <v>40540</v>
      </c>
      <c r="B148" s="1">
        <v>2.99</v>
      </c>
    </row>
    <row r="149" spans="1:2">
      <c r="A149" s="2">
        <v>40510</v>
      </c>
      <c r="B149" s="1">
        <v>2.91</v>
      </c>
    </row>
    <row r="150" spans="1:2">
      <c r="A150" s="2">
        <v>40479</v>
      </c>
      <c r="B150" s="1">
        <v>2.67</v>
      </c>
    </row>
    <row r="151" spans="1:2">
      <c r="A151" s="2">
        <v>40449</v>
      </c>
      <c r="B151" s="1">
        <v>2.68</v>
      </c>
    </row>
    <row r="152" spans="1:2">
      <c r="A152" s="2">
        <v>40418</v>
      </c>
      <c r="B152" s="1">
        <v>2.84</v>
      </c>
    </row>
    <row r="153" spans="1:2">
      <c r="A153" s="2">
        <v>40387</v>
      </c>
      <c r="B153" s="1">
        <v>2.65</v>
      </c>
    </row>
    <row r="154" spans="1:2">
      <c r="A154" s="2">
        <v>40357</v>
      </c>
      <c r="B154" s="1">
        <v>2.65</v>
      </c>
    </row>
    <row r="155" spans="1:2">
      <c r="A155" s="2">
        <v>40326</v>
      </c>
      <c r="B155" s="1">
        <v>2.79</v>
      </c>
    </row>
    <row r="156" spans="1:2">
      <c r="A156" s="2">
        <v>40296</v>
      </c>
      <c r="B156" s="1">
        <v>2.69</v>
      </c>
    </row>
    <row r="157" spans="1:2">
      <c r="A157" s="2">
        <v>40265</v>
      </c>
      <c r="B157" s="1">
        <v>2.72</v>
      </c>
    </row>
    <row r="158" spans="1:2">
      <c r="A158" s="2">
        <v>40237</v>
      </c>
      <c r="B158" s="1">
        <v>2.81</v>
      </c>
    </row>
    <row r="159" spans="1:2">
      <c r="A159" s="2">
        <v>40206</v>
      </c>
      <c r="B159" s="1">
        <v>2.75</v>
      </c>
    </row>
    <row r="160" spans="1:2">
      <c r="A160" s="2">
        <v>40175</v>
      </c>
      <c r="B160" s="1">
        <v>2.85</v>
      </c>
    </row>
    <row r="161" spans="1:2">
      <c r="A161" s="2">
        <v>40145</v>
      </c>
      <c r="B161" s="1">
        <v>3.15</v>
      </c>
    </row>
    <row r="162" spans="1:2">
      <c r="A162" s="2">
        <v>40114</v>
      </c>
      <c r="B162" s="1">
        <v>2.87</v>
      </c>
    </row>
    <row r="163" spans="1:2">
      <c r="A163" s="2">
        <v>40084</v>
      </c>
      <c r="B163" s="1">
        <v>2.62</v>
      </c>
    </row>
    <row r="164" spans="1:2">
      <c r="A164" s="2">
        <v>40053</v>
      </c>
      <c r="B164" s="1">
        <v>3.02</v>
      </c>
    </row>
    <row r="165" spans="1:2">
      <c r="A165" s="2">
        <v>40022</v>
      </c>
      <c r="B165" s="1">
        <v>3.01</v>
      </c>
    </row>
    <row r="166" spans="1:2">
      <c r="A166" s="2">
        <v>39992</v>
      </c>
      <c r="B166" s="1">
        <v>3.15</v>
      </c>
    </row>
    <row r="167" spans="1:2">
      <c r="A167" s="2">
        <v>39961</v>
      </c>
      <c r="B167" s="1">
        <v>3.08</v>
      </c>
    </row>
    <row r="168" spans="1:2">
      <c r="A168" s="2">
        <v>39931</v>
      </c>
      <c r="B168" s="1">
        <v>3.1</v>
      </c>
    </row>
    <row r="169" spans="1:2">
      <c r="A169" s="2">
        <v>39900</v>
      </c>
      <c r="B169" s="1">
        <v>3.31</v>
      </c>
    </row>
    <row r="170" spans="1:2">
      <c r="A170" s="2">
        <v>39872</v>
      </c>
      <c r="B170" s="1">
        <v>3.49</v>
      </c>
    </row>
    <row r="171" spans="1:2">
      <c r="A171" s="2">
        <v>39841</v>
      </c>
      <c r="B171" s="1">
        <v>3.85</v>
      </c>
    </row>
    <row r="172" spans="1:2">
      <c r="A172" s="2">
        <v>39810</v>
      </c>
      <c r="B172" s="1">
        <v>4.53</v>
      </c>
    </row>
    <row r="173" spans="1:2">
      <c r="A173" s="2">
        <v>39780</v>
      </c>
      <c r="B173" s="1">
        <v>5.0599999999999996</v>
      </c>
    </row>
    <row r="174" spans="1:2">
      <c r="A174" s="2">
        <v>39749</v>
      </c>
      <c r="B174" s="1">
        <v>5.73</v>
      </c>
    </row>
    <row r="175" spans="1:2">
      <c r="A175" s="2">
        <v>39719</v>
      </c>
      <c r="B175" s="1">
        <v>5.77</v>
      </c>
    </row>
    <row r="176" spans="1:2">
      <c r="A176" s="2">
        <v>39688</v>
      </c>
      <c r="B176" s="1">
        <v>5.57</v>
      </c>
    </row>
    <row r="177" spans="1:2">
      <c r="A177" s="2">
        <v>39657</v>
      </c>
      <c r="B177" s="1">
        <v>5.51</v>
      </c>
    </row>
    <row r="178" spans="1:2">
      <c r="A178" s="2">
        <v>39627</v>
      </c>
      <c r="B178" s="1">
        <v>5.52</v>
      </c>
    </row>
    <row r="179" spans="1:2">
      <c r="A179" s="2">
        <v>39596</v>
      </c>
      <c r="B179" s="1">
        <v>5.39</v>
      </c>
    </row>
    <row r="180" spans="1:2">
      <c r="A180" s="2">
        <v>39566</v>
      </c>
      <c r="B180" s="1">
        <v>5.53</v>
      </c>
    </row>
    <row r="181" spans="1:2">
      <c r="A181" s="2">
        <v>39535</v>
      </c>
      <c r="B181" s="1">
        <v>5.47</v>
      </c>
    </row>
    <row r="182" spans="1:2">
      <c r="A182" s="2">
        <v>39506</v>
      </c>
      <c r="B182" s="1">
        <v>5.26</v>
      </c>
    </row>
    <row r="183" spans="1:2">
      <c r="A183" s="2">
        <v>39475</v>
      </c>
      <c r="B183" s="1">
        <v>5.34</v>
      </c>
    </row>
    <row r="184" spans="1:2">
      <c r="A184" s="2">
        <v>39444</v>
      </c>
      <c r="B184" s="1">
        <v>5.59</v>
      </c>
    </row>
    <row r="185" spans="1:2">
      <c r="A185" s="2">
        <v>39414</v>
      </c>
      <c r="B185" s="1">
        <v>5.34</v>
      </c>
    </row>
    <row r="186" spans="1:2">
      <c r="A186" s="2">
        <v>39383</v>
      </c>
      <c r="B186" s="1">
        <v>5.45</v>
      </c>
    </row>
    <row r="187" spans="1:2">
      <c r="A187" s="2">
        <v>39353</v>
      </c>
      <c r="B187" s="1">
        <v>5.6</v>
      </c>
    </row>
    <row r="188" spans="1:2">
      <c r="A188" s="2">
        <v>39322</v>
      </c>
      <c r="B188" s="1">
        <v>5.38</v>
      </c>
    </row>
    <row r="189" spans="1:2">
      <c r="A189" s="2">
        <v>39291</v>
      </c>
      <c r="B189" s="1">
        <v>5.29</v>
      </c>
    </row>
    <row r="190" spans="1:2">
      <c r="A190" s="2">
        <v>39261</v>
      </c>
      <c r="B190" s="1">
        <v>5.25</v>
      </c>
    </row>
    <row r="191" spans="1:2">
      <c r="A191" s="2">
        <v>39230</v>
      </c>
      <c r="B191" s="1">
        <v>5.05</v>
      </c>
    </row>
    <row r="192" spans="1:2">
      <c r="A192" s="2">
        <v>39200</v>
      </c>
      <c r="B192" s="1">
        <v>5.09</v>
      </c>
    </row>
    <row r="193" spans="1:2">
      <c r="A193" s="2">
        <v>39169</v>
      </c>
      <c r="B193" s="1">
        <v>5.0199999999999996</v>
      </c>
    </row>
    <row r="194" spans="1:2">
      <c r="A194" s="2">
        <v>39141</v>
      </c>
      <c r="B194" s="1">
        <v>4.87</v>
      </c>
    </row>
    <row r="195" spans="1:2">
      <c r="A195" s="2">
        <v>39110</v>
      </c>
      <c r="B195" s="1">
        <v>4.8</v>
      </c>
    </row>
    <row r="196" spans="1:2">
      <c r="A196" s="2">
        <v>39079</v>
      </c>
      <c r="B196" s="1">
        <v>4.75</v>
      </c>
    </row>
    <row r="197" spans="1:2">
      <c r="A197" s="2">
        <v>39049</v>
      </c>
      <c r="B197" s="1">
        <v>4.59</v>
      </c>
    </row>
    <row r="198" spans="1:2">
      <c r="A198" s="2">
        <v>39018</v>
      </c>
      <c r="B198" s="1">
        <v>4.5599999999999996</v>
      </c>
    </row>
    <row r="199" spans="1:2">
      <c r="A199" s="2">
        <v>38988</v>
      </c>
      <c r="B199" s="1">
        <v>4.47</v>
      </c>
    </row>
    <row r="200" spans="1:2">
      <c r="A200" s="2">
        <v>38957</v>
      </c>
      <c r="B200" s="1">
        <v>4.41</v>
      </c>
    </row>
    <row r="201" spans="1:2">
      <c r="A201" s="2">
        <v>38926</v>
      </c>
      <c r="B201" s="1">
        <v>4.28</v>
      </c>
    </row>
    <row r="202" spans="1:2">
      <c r="A202" s="2">
        <v>38896</v>
      </c>
      <c r="B202" s="1">
        <v>4.21</v>
      </c>
    </row>
    <row r="203" spans="1:2">
      <c r="A203" s="2">
        <v>38865</v>
      </c>
      <c r="B203" s="1">
        <v>4.1399999999999997</v>
      </c>
    </row>
    <row r="204" spans="1:2">
      <c r="A204" s="2">
        <v>38835</v>
      </c>
      <c r="B204" s="1">
        <v>3.95</v>
      </c>
    </row>
    <row r="205" spans="1:2">
      <c r="A205" s="2">
        <v>38804</v>
      </c>
      <c r="B205" s="1">
        <v>3.98</v>
      </c>
    </row>
    <row r="206" spans="1:2">
      <c r="A206" s="2">
        <v>38776</v>
      </c>
      <c r="B206" s="1">
        <v>3.81</v>
      </c>
    </row>
    <row r="207" spans="1:2">
      <c r="A207" s="2">
        <v>38745</v>
      </c>
      <c r="B207" s="1">
        <v>3.69</v>
      </c>
    </row>
    <row r="208" spans="1:2">
      <c r="A208" s="2">
        <v>38714</v>
      </c>
      <c r="B208" s="1">
        <v>3.73</v>
      </c>
    </row>
    <row r="209" spans="1:2">
      <c r="A209" s="2">
        <v>38684</v>
      </c>
      <c r="B209" s="1">
        <v>3.63</v>
      </c>
    </row>
    <row r="210" spans="1:2">
      <c r="A210" s="2">
        <v>38653</v>
      </c>
      <c r="B210" s="1">
        <v>3.46</v>
      </c>
    </row>
    <row r="211" spans="1:2">
      <c r="A211" s="2">
        <v>38623</v>
      </c>
      <c r="B211" s="1">
        <v>3.5</v>
      </c>
    </row>
    <row r="212" spans="1:2">
      <c r="A212" s="2">
        <v>38592</v>
      </c>
      <c r="B212" s="1">
        <v>3.48</v>
      </c>
    </row>
    <row r="213" spans="1:2">
      <c r="A213" s="2">
        <v>38561</v>
      </c>
      <c r="B213" s="1">
        <v>3.47</v>
      </c>
    </row>
    <row r="214" spans="1:2">
      <c r="A214" s="2">
        <v>38531</v>
      </c>
      <c r="B214" s="1">
        <v>3.46</v>
      </c>
    </row>
    <row r="215" spans="1:2">
      <c r="A215" s="2">
        <v>38500</v>
      </c>
      <c r="B215" s="1">
        <v>3.43</v>
      </c>
    </row>
    <row r="216" spans="1:2">
      <c r="A216" s="2">
        <v>38470</v>
      </c>
      <c r="B216" s="1">
        <v>3.44</v>
      </c>
    </row>
    <row r="217" spans="1:2">
      <c r="A217" s="2">
        <v>38439</v>
      </c>
      <c r="B217" s="1">
        <v>3.54</v>
      </c>
    </row>
    <row r="218" spans="1:2">
      <c r="A218" s="2">
        <v>38411</v>
      </c>
      <c r="B218" s="1">
        <v>3.68</v>
      </c>
    </row>
    <row r="219" spans="1:2">
      <c r="A219" s="2">
        <v>38380</v>
      </c>
      <c r="B219" s="1">
        <v>3.65</v>
      </c>
    </row>
    <row r="220" spans="1:2">
      <c r="A220" s="2">
        <v>38349</v>
      </c>
      <c r="B220" s="1">
        <v>3.71</v>
      </c>
    </row>
    <row r="221" spans="1:2">
      <c r="A221" s="2">
        <v>38319</v>
      </c>
      <c r="B221" s="1">
        <v>3.6</v>
      </c>
    </row>
    <row r="222" spans="1:2">
      <c r="A222" s="2">
        <v>38288</v>
      </c>
      <c r="B222" s="1">
        <v>3.7</v>
      </c>
    </row>
    <row r="223" spans="1:2">
      <c r="A223" s="2">
        <v>38258</v>
      </c>
      <c r="B223" s="1">
        <v>3.7</v>
      </c>
    </row>
    <row r="224" spans="1:2">
      <c r="A224" s="2">
        <v>38227</v>
      </c>
      <c r="B224" s="1">
        <v>3.66</v>
      </c>
    </row>
    <row r="225" spans="1:2">
      <c r="A225" s="2">
        <v>38196</v>
      </c>
      <c r="B225" s="1">
        <v>3.72</v>
      </c>
    </row>
    <row r="226" spans="1:2">
      <c r="A226" s="2">
        <v>38166</v>
      </c>
      <c r="B226" s="1">
        <v>3.73</v>
      </c>
    </row>
    <row r="227" spans="1:2">
      <c r="A227" s="2">
        <v>38135</v>
      </c>
      <c r="B227" s="1">
        <v>3.75</v>
      </c>
    </row>
    <row r="228" spans="1:2">
      <c r="A228" s="2">
        <v>38105</v>
      </c>
      <c r="B228" s="1">
        <v>3.69</v>
      </c>
    </row>
    <row r="229" spans="1:2">
      <c r="A229" s="2">
        <v>38074</v>
      </c>
      <c r="B229" s="1">
        <v>3.66</v>
      </c>
    </row>
    <row r="230" spans="1:2">
      <c r="A230" s="2">
        <v>38045</v>
      </c>
      <c r="B230" s="1">
        <v>3.68</v>
      </c>
    </row>
    <row r="231" spans="1:2">
      <c r="A231" s="2">
        <v>38014</v>
      </c>
      <c r="B231" s="1">
        <v>3.76</v>
      </c>
    </row>
    <row r="232" spans="1:2">
      <c r="A232" s="2">
        <v>37983</v>
      </c>
      <c r="B232" s="1">
        <v>3.77</v>
      </c>
    </row>
    <row r="233" spans="1:2">
      <c r="A233" s="2">
        <v>37953</v>
      </c>
      <c r="B233" s="1">
        <v>3.6</v>
      </c>
    </row>
    <row r="234" spans="1:2">
      <c r="A234" s="2">
        <v>37922</v>
      </c>
      <c r="B234" s="1">
        <v>3.71</v>
      </c>
    </row>
    <row r="235" spans="1:2">
      <c r="A235" s="2">
        <v>37892</v>
      </c>
      <c r="B235" s="1">
        <v>3.69</v>
      </c>
    </row>
    <row r="236" spans="1:2">
      <c r="A236" s="2">
        <v>37861</v>
      </c>
      <c r="B236" s="1">
        <v>3.76</v>
      </c>
    </row>
    <row r="237" spans="1:2">
      <c r="A237" s="2">
        <v>37830</v>
      </c>
      <c r="B237" s="1">
        <v>3.72</v>
      </c>
    </row>
    <row r="238" spans="1:2">
      <c r="A238" s="2">
        <v>37800</v>
      </c>
      <c r="B238" s="1">
        <v>3.64</v>
      </c>
    </row>
    <row r="239" spans="1:2">
      <c r="A239" s="2">
        <v>37769</v>
      </c>
      <c r="B239" s="1">
        <v>4.01</v>
      </c>
    </row>
    <row r="240" spans="1:2">
      <c r="A240" s="2">
        <v>37739</v>
      </c>
      <c r="B240" s="1">
        <v>4.24</v>
      </c>
    </row>
    <row r="241" spans="1:2">
      <c r="A241" s="2">
        <v>37708</v>
      </c>
      <c r="B241" s="1">
        <v>4.2699999999999996</v>
      </c>
    </row>
    <row r="242" spans="1:2">
      <c r="A242" s="2">
        <v>37680</v>
      </c>
      <c r="B242" s="1">
        <v>4.26</v>
      </c>
    </row>
    <row r="243" spans="1:2">
      <c r="A243" s="2">
        <v>37649</v>
      </c>
      <c r="B243" s="1">
        <v>4.3899999999999997</v>
      </c>
    </row>
    <row r="244" spans="1:2">
      <c r="A244" s="2">
        <v>37618</v>
      </c>
      <c r="B244">
        <v>4.1467166666666673</v>
      </c>
    </row>
    <row r="245" spans="1:2">
      <c r="A245" s="2">
        <v>37588</v>
      </c>
      <c r="B245">
        <v>4.3806166666666666</v>
      </c>
    </row>
    <row r="246" spans="1:2">
      <c r="A246" s="2">
        <v>37557</v>
      </c>
      <c r="B246">
        <v>4.3806166666666666</v>
      </c>
    </row>
    <row r="247" spans="1:2">
      <c r="A247" s="2">
        <v>37527</v>
      </c>
      <c r="B247">
        <v>4.5116166666666668</v>
      </c>
    </row>
    <row r="248" spans="1:2">
      <c r="A248" s="2">
        <v>37496</v>
      </c>
      <c r="B248">
        <v>4.6238166666666674</v>
      </c>
    </row>
    <row r="249" spans="1:2">
      <c r="A249" s="2">
        <v>37465</v>
      </c>
      <c r="B249">
        <v>4.5864166666666666</v>
      </c>
    </row>
    <row r="250" spans="1:2">
      <c r="A250" s="2">
        <v>37435</v>
      </c>
      <c r="B250">
        <v>4.4928166666666671</v>
      </c>
    </row>
    <row r="251" spans="1:2">
      <c r="A251" s="2">
        <v>37404</v>
      </c>
      <c r="B251">
        <v>4.5022166666666674</v>
      </c>
    </row>
    <row r="252" spans="1:2">
      <c r="A252" s="2">
        <v>37374</v>
      </c>
      <c r="B252">
        <v>4.4367166666666673</v>
      </c>
    </row>
    <row r="253" spans="1:2">
      <c r="A253" s="2">
        <v>37343</v>
      </c>
      <c r="B253">
        <v>4.4554166666666672</v>
      </c>
    </row>
    <row r="254" spans="1:2">
      <c r="A254" s="2">
        <v>37315</v>
      </c>
      <c r="B254">
        <v>4.5116166666666668</v>
      </c>
    </row>
    <row r="255" spans="1:2">
      <c r="A255" s="2">
        <v>37284</v>
      </c>
      <c r="B255">
        <v>4.3058166666666668</v>
      </c>
    </row>
    <row r="256" spans="1:2">
      <c r="A256" s="2">
        <v>37253</v>
      </c>
      <c r="B256">
        <v>4.4461166666666667</v>
      </c>
    </row>
    <row r="257" spans="1:2">
      <c r="A257" s="2">
        <v>37223</v>
      </c>
      <c r="B257">
        <v>4.4741166666666672</v>
      </c>
    </row>
    <row r="258" spans="1:2">
      <c r="A258" s="2">
        <v>37192</v>
      </c>
      <c r="B258">
        <v>4.6332166666666668</v>
      </c>
    </row>
    <row r="259" spans="1:2">
      <c r="A259" s="2">
        <v>37162</v>
      </c>
      <c r="B259">
        <v>4.8296166666666673</v>
      </c>
    </row>
    <row r="260" spans="1:2">
      <c r="A260" s="2">
        <v>37131</v>
      </c>
      <c r="B260">
        <v>5.1757166666666672</v>
      </c>
    </row>
    <row r="261" spans="1:2">
      <c r="A261" s="2">
        <v>37100</v>
      </c>
      <c r="B261">
        <v>5.1102166666666671</v>
      </c>
    </row>
    <row r="262" spans="1:2">
      <c r="A262" s="2">
        <v>37070</v>
      </c>
      <c r="B262">
        <v>5.1196166666666674</v>
      </c>
    </row>
    <row r="263" spans="1:2">
      <c r="A263" s="2">
        <v>37039</v>
      </c>
      <c r="B263">
        <v>5.4751166666666666</v>
      </c>
    </row>
    <row r="264" spans="1:2">
      <c r="A264" s="2">
        <v>37009</v>
      </c>
      <c r="B264">
        <v>5.5312166666666673</v>
      </c>
    </row>
    <row r="265" spans="1:2">
      <c r="A265" s="2">
        <v>36978</v>
      </c>
      <c r="B265">
        <v>5.3815166666666672</v>
      </c>
    </row>
    <row r="266" spans="1:2">
      <c r="A266" s="2">
        <v>36950</v>
      </c>
      <c r="B266">
        <v>5.7370166666666673</v>
      </c>
    </row>
    <row r="267" spans="1:2">
      <c r="A267" s="2">
        <v>36919</v>
      </c>
      <c r="B267">
        <v>5.5780166666666666</v>
      </c>
    </row>
    <row r="268" spans="1:2">
      <c r="A268" s="2">
        <v>36888</v>
      </c>
      <c r="B268">
        <v>5.4283166666666673</v>
      </c>
    </row>
    <row r="269" spans="1:2">
      <c r="A269" s="2">
        <v>36858</v>
      </c>
      <c r="B269">
        <v>5.643416666666667</v>
      </c>
    </row>
    <row r="270" spans="1:2">
      <c r="A270" s="2">
        <v>36827</v>
      </c>
      <c r="B270">
        <v>5.6341166666666673</v>
      </c>
    </row>
    <row r="271" spans="1:2">
      <c r="A271" s="2">
        <v>36797</v>
      </c>
      <c r="B271">
        <v>5.2225166666666674</v>
      </c>
    </row>
    <row r="272" spans="1:2">
      <c r="A272" s="2">
        <v>36766</v>
      </c>
      <c r="B272">
        <v>5.3535166666666667</v>
      </c>
    </row>
    <row r="273" spans="1:2">
      <c r="A273" s="2">
        <v>36735</v>
      </c>
      <c r="B273">
        <v>5.2973166666666671</v>
      </c>
    </row>
    <row r="274" spans="1:2">
      <c r="A274" s="2">
        <v>36705</v>
      </c>
      <c r="B274">
        <v>5.2225166666666674</v>
      </c>
    </row>
    <row r="275" spans="1:2">
      <c r="A275" s="2">
        <v>36674</v>
      </c>
      <c r="B275">
        <v>5.0167166666666674</v>
      </c>
    </row>
    <row r="276" spans="1:2">
      <c r="A276" s="2">
        <v>36644</v>
      </c>
      <c r="B276">
        <v>4.6519166666666667</v>
      </c>
    </row>
    <row r="277" spans="1:2">
      <c r="A277" s="2">
        <v>36613</v>
      </c>
      <c r="B277">
        <v>4.6238166666666674</v>
      </c>
    </row>
    <row r="278" spans="1:2">
      <c r="A278" s="2">
        <v>36584</v>
      </c>
      <c r="B278">
        <v>4.7080166666666674</v>
      </c>
    </row>
    <row r="279" spans="1:2">
      <c r="A279" s="2">
        <v>36553</v>
      </c>
      <c r="B279">
        <v>4.4367166666666673</v>
      </c>
    </row>
    <row r="280" spans="1:2">
      <c r="A280" s="2">
        <v>36522</v>
      </c>
      <c r="B280">
        <v>4.2964166666666674</v>
      </c>
    </row>
    <row r="281" spans="1:2">
      <c r="A281" s="2">
        <v>36492</v>
      </c>
      <c r="B281">
        <v>4.4741166666666672</v>
      </c>
    </row>
    <row r="282" spans="1:2">
      <c r="A282" s="2">
        <v>36461</v>
      </c>
      <c r="B282">
        <v>4.4180166666666674</v>
      </c>
    </row>
    <row r="283" spans="1:2">
      <c r="A283" s="2">
        <v>36431</v>
      </c>
      <c r="B283">
        <v>4.1093166666666674</v>
      </c>
    </row>
    <row r="284" spans="1:2">
      <c r="A284" s="2">
        <v>36400</v>
      </c>
      <c r="B284">
        <v>4.2309166666666673</v>
      </c>
    </row>
    <row r="285" spans="1:2">
      <c r="A285" s="2">
        <v>36369</v>
      </c>
      <c r="B285">
        <v>3.8567166666666663</v>
      </c>
    </row>
    <row r="286" spans="1:2">
      <c r="A286" s="2">
        <v>36339</v>
      </c>
      <c r="B286">
        <v>3.8100166666666664</v>
      </c>
    </row>
    <row r="287" spans="1:2">
      <c r="A287" s="2">
        <v>36308</v>
      </c>
      <c r="B287">
        <v>3.903516666666667</v>
      </c>
    </row>
    <row r="288" spans="1:2">
      <c r="A288" s="2">
        <v>36278</v>
      </c>
      <c r="B288">
        <v>4.1000166666666669</v>
      </c>
    </row>
    <row r="289" spans="1:2">
      <c r="A289" s="2">
        <v>36247</v>
      </c>
      <c r="B289">
        <v>4.2122166666666674</v>
      </c>
    </row>
    <row r="290" spans="1:2">
      <c r="A290" s="2">
        <v>36219</v>
      </c>
      <c r="B290">
        <v>4.3245166666666668</v>
      </c>
    </row>
    <row r="291" spans="1:2">
      <c r="A291" s="2">
        <v>36188</v>
      </c>
      <c r="B291">
        <v>4.4835166666666666</v>
      </c>
    </row>
    <row r="292" spans="1:2">
      <c r="A292" s="3"/>
    </row>
    <row r="293" spans="1:2">
      <c r="A293" s="3"/>
    </row>
    <row r="294" spans="1:2">
      <c r="A294" s="3"/>
    </row>
    <row r="295" spans="1:2">
      <c r="A295" s="3"/>
    </row>
    <row r="296" spans="1:2">
      <c r="A296" s="3"/>
    </row>
    <row r="297" spans="1:2">
      <c r="A297" s="3"/>
    </row>
    <row r="298" spans="1:2">
      <c r="A298" s="3"/>
    </row>
    <row r="299" spans="1:2">
      <c r="A299" s="3"/>
    </row>
    <row r="300" spans="1:2">
      <c r="A300" s="3"/>
    </row>
    <row r="301" spans="1:2">
      <c r="A301" s="3"/>
    </row>
    <row r="302" spans="1:2">
      <c r="A302" s="3"/>
    </row>
    <row r="303" spans="1:2">
      <c r="A303" s="3"/>
    </row>
    <row r="304" spans="1:2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E0C8-F2E7-3745-B3D3-FD5567816BEB}">
  <dimension ref="A1:B84"/>
  <sheetViews>
    <sheetView workbookViewId="0">
      <selection activeCell="B1" sqref="B1"/>
    </sheetView>
  </sheetViews>
  <sheetFormatPr baseColWidth="10" defaultRowHeight="16"/>
  <cols>
    <col min="2" max="2" width="19.83203125" bestFit="1" customWidth="1"/>
  </cols>
  <sheetData>
    <row r="1" spans="1:2">
      <c r="A1" t="s">
        <v>1</v>
      </c>
      <c r="B1" t="s">
        <v>11</v>
      </c>
    </row>
    <row r="2" spans="1:2">
      <c r="A2" s="3">
        <v>45013</v>
      </c>
      <c r="B2">
        <v>4.3600000000000003</v>
      </c>
    </row>
    <row r="3" spans="1:2">
      <c r="A3" s="3">
        <v>44923</v>
      </c>
      <c r="B3">
        <v>3.45</v>
      </c>
    </row>
    <row r="4" spans="1:2">
      <c r="A4" s="3">
        <v>44832</v>
      </c>
      <c r="B4">
        <v>2.67</v>
      </c>
    </row>
    <row r="5" spans="1:2">
      <c r="A5" s="3">
        <v>44740</v>
      </c>
      <c r="B5">
        <v>2.19</v>
      </c>
    </row>
    <row r="6" spans="1:2">
      <c r="A6" s="3">
        <v>44648</v>
      </c>
      <c r="B6">
        <v>1.5</v>
      </c>
    </row>
    <row r="7" spans="1:2">
      <c r="A7" s="3">
        <v>44558</v>
      </c>
      <c r="B7">
        <v>1.2</v>
      </c>
    </row>
    <row r="8" spans="1:2">
      <c r="A8" s="3">
        <v>44467</v>
      </c>
      <c r="B8">
        <v>1.36</v>
      </c>
    </row>
    <row r="9" spans="1:2">
      <c r="A9" s="3">
        <v>44375</v>
      </c>
      <c r="B9">
        <v>1.28</v>
      </c>
    </row>
    <row r="10" spans="1:2">
      <c r="A10" s="3">
        <v>44283</v>
      </c>
      <c r="B10">
        <v>1.0900000000000001</v>
      </c>
    </row>
    <row r="11" spans="1:2">
      <c r="A11" s="3">
        <v>44193</v>
      </c>
      <c r="B11">
        <v>1.33</v>
      </c>
    </row>
    <row r="12" spans="1:2">
      <c r="A12" s="3">
        <v>44102</v>
      </c>
      <c r="B12">
        <v>1.37</v>
      </c>
    </row>
    <row r="13" spans="1:2">
      <c r="A13" s="3">
        <v>44010</v>
      </c>
      <c r="B13">
        <v>1.36</v>
      </c>
    </row>
    <row r="14" spans="1:2">
      <c r="A14" s="3">
        <v>43918</v>
      </c>
      <c r="B14">
        <v>1.2</v>
      </c>
    </row>
    <row r="15" spans="1:2">
      <c r="A15" s="3">
        <v>43827</v>
      </c>
      <c r="B15">
        <v>1.29</v>
      </c>
    </row>
    <row r="16" spans="1:2">
      <c r="A16" s="3">
        <v>43736</v>
      </c>
      <c r="B16">
        <v>1.18</v>
      </c>
    </row>
    <row r="17" spans="1:2">
      <c r="A17" s="3">
        <v>43644</v>
      </c>
      <c r="B17">
        <v>1.18</v>
      </c>
    </row>
    <row r="18" spans="1:2">
      <c r="A18" s="3">
        <v>43552</v>
      </c>
      <c r="B18">
        <v>1.29</v>
      </c>
    </row>
    <row r="19" spans="1:2">
      <c r="A19" s="3">
        <v>43462</v>
      </c>
      <c r="B19">
        <v>1.29</v>
      </c>
    </row>
    <row r="20" spans="1:2">
      <c r="A20" s="3">
        <v>43371</v>
      </c>
      <c r="B20">
        <v>1.26</v>
      </c>
    </row>
    <row r="21" spans="1:2">
      <c r="A21" s="3">
        <v>43279</v>
      </c>
      <c r="B21">
        <v>1.31</v>
      </c>
    </row>
    <row r="22" spans="1:2">
      <c r="A22" s="3">
        <v>43187</v>
      </c>
      <c r="B22">
        <v>1.42</v>
      </c>
    </row>
    <row r="23" spans="1:2">
      <c r="A23" s="3">
        <v>43097</v>
      </c>
      <c r="B23">
        <v>1.43</v>
      </c>
    </row>
    <row r="24" spans="1:2">
      <c r="A24" s="3">
        <v>43006</v>
      </c>
      <c r="B24">
        <v>1.38</v>
      </c>
    </row>
    <row r="25" spans="1:2">
      <c r="A25" s="3">
        <v>42914</v>
      </c>
      <c r="B25">
        <v>1.41</v>
      </c>
    </row>
    <row r="26" spans="1:2">
      <c r="A26" s="3">
        <v>42822</v>
      </c>
      <c r="B26">
        <v>1.5</v>
      </c>
    </row>
    <row r="27" spans="1:2">
      <c r="A27" s="3">
        <v>42732</v>
      </c>
      <c r="B27">
        <v>1.53</v>
      </c>
    </row>
    <row r="28" spans="1:2">
      <c r="A28" s="3">
        <v>42641</v>
      </c>
      <c r="B28">
        <v>1.51</v>
      </c>
    </row>
    <row r="29" spans="1:2">
      <c r="A29" s="3">
        <v>42549</v>
      </c>
      <c r="B29">
        <v>1.52</v>
      </c>
    </row>
    <row r="30" spans="1:2">
      <c r="A30" s="3">
        <v>42457</v>
      </c>
      <c r="B30">
        <v>1.64</v>
      </c>
    </row>
    <row r="31" spans="1:2">
      <c r="A31" s="3">
        <v>42366</v>
      </c>
      <c r="B31">
        <v>1.68</v>
      </c>
    </row>
    <row r="32" spans="1:2">
      <c r="A32" s="3">
        <v>42275</v>
      </c>
      <c r="B32">
        <v>1.84</v>
      </c>
    </row>
    <row r="33" spans="1:2">
      <c r="A33" s="3">
        <v>42183</v>
      </c>
      <c r="B33">
        <v>1.71</v>
      </c>
    </row>
    <row r="34" spans="1:2">
      <c r="A34" s="3">
        <v>42091</v>
      </c>
      <c r="B34">
        <v>1.73</v>
      </c>
    </row>
    <row r="35" spans="1:2">
      <c r="A35" s="3">
        <v>42001</v>
      </c>
      <c r="B35">
        <v>1.87</v>
      </c>
    </row>
    <row r="36" spans="1:2">
      <c r="A36" s="3">
        <v>41910</v>
      </c>
      <c r="B36">
        <v>1.91</v>
      </c>
    </row>
    <row r="37" spans="1:2">
      <c r="A37" s="3">
        <v>41818</v>
      </c>
      <c r="B37">
        <v>2.04</v>
      </c>
    </row>
    <row r="38" spans="1:2">
      <c r="A38" s="3">
        <v>41726</v>
      </c>
      <c r="B38">
        <v>2.2599999999999998</v>
      </c>
    </row>
    <row r="39" spans="1:2">
      <c r="A39" s="3">
        <v>41636</v>
      </c>
      <c r="B39">
        <v>2.19</v>
      </c>
    </row>
    <row r="40" spans="1:2">
      <c r="A40" s="3">
        <v>41545</v>
      </c>
      <c r="B40">
        <v>2.14</v>
      </c>
    </row>
    <row r="41" spans="1:2">
      <c r="A41" s="3">
        <v>41453</v>
      </c>
      <c r="B41">
        <v>2.08</v>
      </c>
    </row>
    <row r="42" spans="1:2">
      <c r="A42" s="3">
        <v>41361</v>
      </c>
      <c r="B42">
        <v>2.15</v>
      </c>
    </row>
    <row r="43" spans="1:2">
      <c r="A43" s="3">
        <v>41271</v>
      </c>
      <c r="B43">
        <v>2.19</v>
      </c>
    </row>
    <row r="44" spans="1:2">
      <c r="A44" s="3">
        <v>41180</v>
      </c>
      <c r="B44">
        <v>2.34</v>
      </c>
    </row>
    <row r="45" spans="1:2">
      <c r="A45" s="3">
        <v>41088</v>
      </c>
      <c r="B45">
        <v>2.62</v>
      </c>
    </row>
    <row r="46" spans="1:2">
      <c r="A46" s="3">
        <v>40996</v>
      </c>
      <c r="B46">
        <v>2.71</v>
      </c>
    </row>
    <row r="47" spans="1:2">
      <c r="A47" s="3">
        <v>40905</v>
      </c>
      <c r="B47">
        <v>3.17</v>
      </c>
    </row>
    <row r="48" spans="1:2">
      <c r="A48" s="3">
        <v>40814</v>
      </c>
      <c r="B48">
        <v>3.2</v>
      </c>
    </row>
    <row r="49" spans="1:2">
      <c r="A49" s="3">
        <v>40722</v>
      </c>
      <c r="B49">
        <v>3.29</v>
      </c>
    </row>
    <row r="50" spans="1:2">
      <c r="A50" s="3">
        <v>40630</v>
      </c>
      <c r="B50">
        <v>3</v>
      </c>
    </row>
    <row r="51" spans="1:2">
      <c r="A51" s="3">
        <v>40540</v>
      </c>
      <c r="B51">
        <v>2.99</v>
      </c>
    </row>
    <row r="52" spans="1:2">
      <c r="A52" s="3">
        <v>40449</v>
      </c>
      <c r="B52">
        <v>2.68</v>
      </c>
    </row>
    <row r="53" spans="1:2">
      <c r="A53" s="3">
        <v>40357</v>
      </c>
      <c r="B53">
        <v>2.65</v>
      </c>
    </row>
    <row r="54" spans="1:2">
      <c r="A54" s="3">
        <v>40265</v>
      </c>
      <c r="B54">
        <v>2.72</v>
      </c>
    </row>
    <row r="55" spans="1:2">
      <c r="A55" s="3">
        <v>40175</v>
      </c>
      <c r="B55">
        <v>2.85</v>
      </c>
    </row>
    <row r="56" spans="1:2">
      <c r="A56" s="3">
        <v>40084</v>
      </c>
      <c r="B56">
        <v>2.62</v>
      </c>
    </row>
    <row r="57" spans="1:2">
      <c r="A57" s="3">
        <v>39992</v>
      </c>
      <c r="B57">
        <v>3.15</v>
      </c>
    </row>
    <row r="58" spans="1:2">
      <c r="A58" s="3">
        <v>39900</v>
      </c>
      <c r="B58">
        <v>3.31</v>
      </c>
    </row>
    <row r="59" spans="1:2">
      <c r="A59" s="3">
        <v>39810</v>
      </c>
      <c r="B59">
        <v>4.53</v>
      </c>
    </row>
    <row r="60" spans="1:2">
      <c r="A60" s="3">
        <v>39719</v>
      </c>
      <c r="B60">
        <v>5.77</v>
      </c>
    </row>
    <row r="61" spans="1:2">
      <c r="A61" s="3">
        <v>39627</v>
      </c>
      <c r="B61">
        <v>5.52</v>
      </c>
    </row>
    <row r="62" spans="1:2">
      <c r="A62" s="3">
        <v>39535</v>
      </c>
      <c r="B62">
        <v>5.47</v>
      </c>
    </row>
    <row r="63" spans="1:2">
      <c r="A63" s="3">
        <v>39444</v>
      </c>
      <c r="B63">
        <v>5.59</v>
      </c>
    </row>
    <row r="64" spans="1:2">
      <c r="A64" s="3">
        <v>39353</v>
      </c>
      <c r="B64">
        <v>5.6</v>
      </c>
    </row>
    <row r="65" spans="1:2">
      <c r="A65" s="3">
        <v>39261</v>
      </c>
      <c r="B65">
        <v>5.25</v>
      </c>
    </row>
    <row r="66" spans="1:2">
      <c r="A66" s="3">
        <v>39169</v>
      </c>
      <c r="B66">
        <v>5.0199999999999996</v>
      </c>
    </row>
    <row r="67" spans="1:2">
      <c r="A67" s="3">
        <v>39079</v>
      </c>
      <c r="B67">
        <v>4.75</v>
      </c>
    </row>
    <row r="68" spans="1:2">
      <c r="A68" s="3">
        <v>38988</v>
      </c>
      <c r="B68">
        <v>4.47</v>
      </c>
    </row>
    <row r="69" spans="1:2">
      <c r="A69" s="3">
        <v>38896</v>
      </c>
      <c r="B69">
        <v>4.21</v>
      </c>
    </row>
    <row r="70" spans="1:2">
      <c r="A70" s="3">
        <v>38804</v>
      </c>
      <c r="B70">
        <v>3.98</v>
      </c>
    </row>
    <row r="71" spans="1:2">
      <c r="A71" s="3">
        <v>38714</v>
      </c>
      <c r="B71">
        <v>3.73</v>
      </c>
    </row>
    <row r="72" spans="1:2">
      <c r="A72" s="3">
        <v>38623</v>
      </c>
      <c r="B72">
        <v>3.5</v>
      </c>
    </row>
    <row r="73" spans="1:2">
      <c r="A73" s="3">
        <v>38531</v>
      </c>
      <c r="B73">
        <v>3.46</v>
      </c>
    </row>
    <row r="74" spans="1:2">
      <c r="A74" s="3">
        <v>38439</v>
      </c>
      <c r="B74">
        <v>3.54</v>
      </c>
    </row>
    <row r="75" spans="1:2">
      <c r="A75" s="3">
        <v>38349</v>
      </c>
      <c r="B75">
        <v>3.71</v>
      </c>
    </row>
    <row r="76" spans="1:2">
      <c r="A76" s="3">
        <v>38258</v>
      </c>
      <c r="B76">
        <v>3.7</v>
      </c>
    </row>
    <row r="77" spans="1:2">
      <c r="A77" s="3">
        <v>38166</v>
      </c>
      <c r="B77">
        <v>3.73</v>
      </c>
    </row>
    <row r="78" spans="1:2">
      <c r="A78" s="3">
        <v>38074</v>
      </c>
      <c r="B78">
        <v>3.66</v>
      </c>
    </row>
    <row r="79" spans="1:2">
      <c r="A79" s="3">
        <v>37983</v>
      </c>
      <c r="B79">
        <v>3.77</v>
      </c>
    </row>
    <row r="80" spans="1:2">
      <c r="A80" s="3">
        <v>37892</v>
      </c>
      <c r="B80">
        <v>3.69</v>
      </c>
    </row>
    <row r="81" spans="1:2">
      <c r="A81" s="3">
        <v>37800</v>
      </c>
      <c r="B81">
        <v>3.64</v>
      </c>
    </row>
    <row r="82" spans="1:2">
      <c r="A82" s="3">
        <v>37708</v>
      </c>
      <c r="B82">
        <v>4.2699999999999996</v>
      </c>
    </row>
    <row r="84" spans="1:2">
      <c r="B84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677B-55F9-2543-ABDA-85352C8225E2}">
  <dimension ref="A1:B527"/>
  <sheetViews>
    <sheetView workbookViewId="0"/>
  </sheetViews>
  <sheetFormatPr baseColWidth="10" defaultRowHeight="16"/>
  <sheetData>
    <row r="1" spans="1:2">
      <c r="A1" t="s">
        <v>13</v>
      </c>
    </row>
    <row r="2" spans="1:2">
      <c r="A2" t="s">
        <v>1</v>
      </c>
      <c r="B2" t="s">
        <v>12</v>
      </c>
    </row>
    <row r="3" spans="1:2">
      <c r="A3" s="6">
        <v>45166</v>
      </c>
      <c r="B3" s="7">
        <v>2678700000000</v>
      </c>
    </row>
    <row r="4" spans="1:2">
      <c r="A4" s="6">
        <v>45135</v>
      </c>
      <c r="B4" s="7">
        <v>2700400000000</v>
      </c>
    </row>
    <row r="5" spans="1:2">
      <c r="A5" s="6">
        <v>45105</v>
      </c>
      <c r="B5" s="7">
        <v>2722600000000</v>
      </c>
    </row>
    <row r="6" spans="1:2">
      <c r="A6" s="6">
        <v>45074</v>
      </c>
      <c r="B6" s="7">
        <v>2752400000000</v>
      </c>
    </row>
    <row r="7" spans="1:2">
      <c r="A7" s="6">
        <v>45044</v>
      </c>
      <c r="B7" s="7">
        <v>2757600000000</v>
      </c>
    </row>
    <row r="8" spans="1:2">
      <c r="A8" s="6">
        <v>45013</v>
      </c>
      <c r="B8" s="7">
        <v>2769600000000</v>
      </c>
    </row>
    <row r="9" spans="1:2">
      <c r="A9" s="6">
        <v>44985</v>
      </c>
      <c r="B9" s="7">
        <v>2816800000000</v>
      </c>
    </row>
    <row r="10" spans="1:2">
      <c r="A10" s="6">
        <v>44954</v>
      </c>
      <c r="B10" s="7">
        <v>2849300000000</v>
      </c>
    </row>
    <row r="11" spans="1:2">
      <c r="A11" s="6">
        <v>44923</v>
      </c>
      <c r="B11" s="7">
        <v>2881600000000</v>
      </c>
    </row>
    <row r="12" spans="1:2">
      <c r="A12" s="6">
        <v>44893</v>
      </c>
      <c r="B12" s="7">
        <v>2920800000000</v>
      </c>
    </row>
    <row r="13" spans="1:2">
      <c r="A13" s="6">
        <v>44862</v>
      </c>
      <c r="B13" s="7">
        <v>2912100000000</v>
      </c>
    </row>
    <row r="14" spans="1:2">
      <c r="A14" s="6">
        <v>44832</v>
      </c>
      <c r="B14" s="7">
        <v>2944000000000</v>
      </c>
    </row>
    <row r="15" spans="1:2">
      <c r="A15" s="6">
        <v>44801</v>
      </c>
      <c r="B15" s="7">
        <v>2999500000000</v>
      </c>
    </row>
    <row r="16" spans="1:2">
      <c r="A16" s="6">
        <v>44770</v>
      </c>
      <c r="B16" s="7">
        <v>2941900000000</v>
      </c>
    </row>
    <row r="17" spans="1:2">
      <c r="A17" s="6">
        <v>44740</v>
      </c>
      <c r="B17" s="7">
        <v>2934800000000</v>
      </c>
    </row>
    <row r="18" spans="1:2">
      <c r="A18" s="6">
        <v>44709</v>
      </c>
      <c r="B18" s="7">
        <v>2914000000000</v>
      </c>
    </row>
    <row r="19" spans="1:2">
      <c r="A19" s="6">
        <v>44679</v>
      </c>
      <c r="B19" s="7">
        <v>2892400000000</v>
      </c>
    </row>
    <row r="20" spans="1:2">
      <c r="A20" s="6">
        <v>44648</v>
      </c>
      <c r="B20" s="7">
        <v>2892900000000</v>
      </c>
    </row>
    <row r="21" spans="1:2">
      <c r="A21" s="6">
        <v>44620</v>
      </c>
      <c r="B21" s="7">
        <v>2900000000000</v>
      </c>
    </row>
    <row r="22" spans="1:2">
      <c r="A22" s="6">
        <v>44589</v>
      </c>
      <c r="B22" s="7">
        <v>2876400000000</v>
      </c>
    </row>
    <row r="23" spans="1:2">
      <c r="A23" s="6">
        <v>44558</v>
      </c>
      <c r="B23" s="7">
        <v>2853400000000</v>
      </c>
    </row>
    <row r="24" spans="1:2">
      <c r="A24" s="6">
        <v>44528</v>
      </c>
      <c r="B24" s="7">
        <v>2866100000000</v>
      </c>
    </row>
    <row r="25" spans="1:2">
      <c r="A25" s="6">
        <v>44497</v>
      </c>
      <c r="B25" s="7">
        <v>2824100000000</v>
      </c>
    </row>
    <row r="26" spans="1:2">
      <c r="A26" s="6">
        <v>44467</v>
      </c>
      <c r="B26" s="7">
        <v>2820300000000</v>
      </c>
    </row>
    <row r="27" spans="1:2">
      <c r="A27" s="6">
        <v>44436</v>
      </c>
      <c r="B27" s="7">
        <v>2814800000000</v>
      </c>
    </row>
    <row r="28" spans="1:2">
      <c r="A28" s="6">
        <v>44405</v>
      </c>
      <c r="B28" s="7">
        <v>2793900000000</v>
      </c>
    </row>
    <row r="29" spans="1:2">
      <c r="A29" s="6">
        <v>44375</v>
      </c>
      <c r="B29" s="7">
        <v>2772300000000</v>
      </c>
    </row>
    <row r="30" spans="1:2">
      <c r="A30" s="6">
        <v>44344</v>
      </c>
      <c r="B30" s="7">
        <v>2764300000000</v>
      </c>
    </row>
    <row r="31" spans="1:2">
      <c r="A31" s="6">
        <v>44314</v>
      </c>
      <c r="B31" s="7">
        <v>2736800000000</v>
      </c>
    </row>
    <row r="32" spans="1:2">
      <c r="A32" s="6">
        <v>44283</v>
      </c>
      <c r="B32" s="7">
        <v>2724100000000</v>
      </c>
    </row>
    <row r="33" spans="1:2">
      <c r="A33" s="6">
        <v>44255</v>
      </c>
      <c r="B33" s="7">
        <v>2698600000000</v>
      </c>
    </row>
    <row r="34" spans="1:2">
      <c r="A34" s="6">
        <v>44224</v>
      </c>
      <c r="B34" s="7">
        <v>2678200000000</v>
      </c>
    </row>
    <row r="35" spans="1:2">
      <c r="A35" s="6">
        <v>44193</v>
      </c>
      <c r="B35" s="7">
        <v>2632800000000</v>
      </c>
    </row>
    <row r="36" spans="1:2">
      <c r="A36" s="6">
        <v>44163</v>
      </c>
      <c r="B36" s="7">
        <v>2639300000000</v>
      </c>
    </row>
    <row r="37" spans="1:2">
      <c r="A37" s="6">
        <v>44132</v>
      </c>
      <c r="B37" s="7">
        <v>2595400000000</v>
      </c>
    </row>
    <row r="38" spans="1:2">
      <c r="A38" s="6">
        <v>44102</v>
      </c>
      <c r="B38" s="7">
        <v>2564600000000</v>
      </c>
    </row>
    <row r="39" spans="1:2">
      <c r="A39" s="6">
        <v>44071</v>
      </c>
      <c r="B39" s="7">
        <v>2537900000000</v>
      </c>
    </row>
    <row r="40" spans="1:2">
      <c r="A40" s="6">
        <v>44040</v>
      </c>
      <c r="B40" s="7">
        <v>2519500000000</v>
      </c>
    </row>
    <row r="41" spans="1:2">
      <c r="A41" s="6">
        <v>44010</v>
      </c>
      <c r="B41" s="7">
        <v>2514800000000</v>
      </c>
    </row>
    <row r="42" spans="1:2">
      <c r="A42" s="6">
        <v>43979</v>
      </c>
      <c r="B42" s="7">
        <v>2505000000000</v>
      </c>
    </row>
    <row r="43" spans="1:2">
      <c r="A43" s="6">
        <v>43949</v>
      </c>
      <c r="B43" s="7">
        <v>2454300000000</v>
      </c>
    </row>
    <row r="44" spans="1:2">
      <c r="A44" s="6">
        <v>43918</v>
      </c>
      <c r="B44" s="7">
        <v>2444000000000</v>
      </c>
    </row>
    <row r="45" spans="1:2">
      <c r="A45" s="6">
        <v>43889</v>
      </c>
      <c r="B45" s="7">
        <v>2350900000000</v>
      </c>
    </row>
    <row r="46" spans="1:2">
      <c r="A46" s="6">
        <v>43858</v>
      </c>
      <c r="B46" s="7">
        <v>2333000000000</v>
      </c>
    </row>
    <row r="47" spans="1:2">
      <c r="A47" s="6">
        <v>43827</v>
      </c>
      <c r="B47" s="7">
        <v>2340100000000</v>
      </c>
    </row>
    <row r="48" spans="1:2">
      <c r="A48" s="6">
        <v>43797</v>
      </c>
      <c r="B48" s="7">
        <v>2341200000000</v>
      </c>
    </row>
    <row r="49" spans="1:2">
      <c r="A49" s="6">
        <v>43766</v>
      </c>
      <c r="B49" s="7">
        <v>2316500000000</v>
      </c>
    </row>
    <row r="50" spans="1:2">
      <c r="A50" s="6">
        <v>43736</v>
      </c>
      <c r="B50" s="7">
        <v>2298500000000</v>
      </c>
    </row>
    <row r="51" spans="1:2">
      <c r="A51" s="6">
        <v>43705</v>
      </c>
      <c r="B51" s="7">
        <v>2297900000000</v>
      </c>
    </row>
    <row r="52" spans="1:2">
      <c r="A52" s="6">
        <v>43674</v>
      </c>
      <c r="B52" s="7">
        <v>2271300000000</v>
      </c>
    </row>
    <row r="53" spans="1:2">
      <c r="A53" s="6">
        <v>43644</v>
      </c>
      <c r="B53" s="7">
        <v>2263600000000</v>
      </c>
    </row>
    <row r="54" spans="1:2">
      <c r="A54" s="6">
        <v>43613</v>
      </c>
      <c r="B54" s="7">
        <v>2254000000000</v>
      </c>
    </row>
    <row r="55" spans="1:2">
      <c r="A55" s="6">
        <v>43583</v>
      </c>
      <c r="B55" s="7">
        <v>2230000000000</v>
      </c>
    </row>
    <row r="56" spans="1:2">
      <c r="A56" s="6">
        <v>43552</v>
      </c>
      <c r="B56" s="7">
        <v>2212100000000</v>
      </c>
    </row>
    <row r="57" spans="1:2">
      <c r="A57" s="6">
        <v>43524</v>
      </c>
      <c r="B57" s="7">
        <v>2189400000000</v>
      </c>
    </row>
    <row r="58" spans="1:2">
      <c r="A58" s="6">
        <v>43493</v>
      </c>
      <c r="B58" s="7">
        <v>2180700000000</v>
      </c>
    </row>
    <row r="59" spans="1:2">
      <c r="A59" s="6">
        <v>43462</v>
      </c>
      <c r="B59" s="7">
        <v>2195000000000</v>
      </c>
    </row>
    <row r="60" spans="1:2">
      <c r="A60" s="6">
        <v>43432</v>
      </c>
      <c r="B60" s="7">
        <v>2196800000000</v>
      </c>
    </row>
    <row r="61" spans="1:2">
      <c r="A61" s="6">
        <v>43401</v>
      </c>
      <c r="B61" s="7">
        <v>2158300000000</v>
      </c>
    </row>
    <row r="62" spans="1:2">
      <c r="A62" s="6">
        <v>43371</v>
      </c>
      <c r="B62" s="7">
        <v>2146500000000</v>
      </c>
    </row>
    <row r="63" spans="1:2">
      <c r="A63" s="6">
        <v>43340</v>
      </c>
      <c r="B63" s="7">
        <v>2119100000000</v>
      </c>
    </row>
    <row r="64" spans="1:2">
      <c r="A64" s="6">
        <v>43309</v>
      </c>
      <c r="B64" s="7">
        <v>2116500000000</v>
      </c>
    </row>
    <row r="65" spans="1:2">
      <c r="A65" s="6">
        <v>43279</v>
      </c>
      <c r="B65" s="7">
        <v>2110100000000</v>
      </c>
    </row>
    <row r="66" spans="1:2">
      <c r="A66" s="6">
        <v>43248</v>
      </c>
      <c r="B66" s="7">
        <v>2116600000000</v>
      </c>
    </row>
    <row r="67" spans="1:2">
      <c r="A67" s="6">
        <v>43218</v>
      </c>
      <c r="B67" s="7">
        <v>2076600000000</v>
      </c>
    </row>
    <row r="68" spans="1:2">
      <c r="A68" s="6">
        <v>43187</v>
      </c>
      <c r="B68" s="7">
        <v>2061300000000</v>
      </c>
    </row>
    <row r="69" spans="1:2">
      <c r="A69" s="6">
        <v>43159</v>
      </c>
      <c r="B69" s="7">
        <v>2062100000000</v>
      </c>
    </row>
    <row r="70" spans="1:2">
      <c r="A70" s="6">
        <v>43128</v>
      </c>
      <c r="B70" s="7">
        <v>2056200000000</v>
      </c>
    </row>
    <row r="71" spans="1:2">
      <c r="A71" s="6">
        <v>43097</v>
      </c>
      <c r="B71" s="7">
        <v>2045500000000</v>
      </c>
    </row>
    <row r="72" spans="1:2">
      <c r="A72" s="6">
        <v>43067</v>
      </c>
      <c r="B72" s="7">
        <v>2056100000000</v>
      </c>
    </row>
    <row r="73" spans="1:2">
      <c r="A73" s="6">
        <v>43036</v>
      </c>
      <c r="B73" s="7">
        <v>2023000000000</v>
      </c>
    </row>
    <row r="74" spans="1:2">
      <c r="A74" s="6">
        <v>43006</v>
      </c>
      <c r="B74" s="7">
        <v>2008200000000</v>
      </c>
    </row>
    <row r="75" spans="1:2">
      <c r="A75" s="6">
        <v>42975</v>
      </c>
      <c r="B75" s="7">
        <v>2002300000000</v>
      </c>
    </row>
    <row r="76" spans="1:2">
      <c r="A76" s="6">
        <v>42944</v>
      </c>
      <c r="B76" s="7">
        <v>1988100000000</v>
      </c>
    </row>
    <row r="77" spans="1:2">
      <c r="A77" s="6">
        <v>42914</v>
      </c>
      <c r="B77" s="7">
        <v>1992100000000</v>
      </c>
    </row>
    <row r="78" spans="1:2">
      <c r="A78" s="6">
        <v>42883</v>
      </c>
      <c r="B78" s="7">
        <v>1972100000000</v>
      </c>
    </row>
    <row r="79" spans="1:2">
      <c r="A79" s="6">
        <v>42853</v>
      </c>
      <c r="B79" s="7">
        <v>1954800000000</v>
      </c>
    </row>
    <row r="80" spans="1:2">
      <c r="A80" s="6">
        <v>42822</v>
      </c>
      <c r="B80" s="7">
        <v>1945100000000</v>
      </c>
    </row>
    <row r="81" spans="1:2">
      <c r="A81" s="6">
        <v>42794</v>
      </c>
      <c r="B81" s="7">
        <v>1943000000000</v>
      </c>
    </row>
    <row r="82" spans="1:2">
      <c r="A82" s="6">
        <v>42763</v>
      </c>
      <c r="B82" s="7">
        <v>1928900000000</v>
      </c>
    </row>
    <row r="83" spans="1:2">
      <c r="A83" s="6">
        <v>42732</v>
      </c>
      <c r="B83" s="7">
        <v>1912600000000</v>
      </c>
    </row>
    <row r="84" spans="1:2">
      <c r="A84" s="6">
        <v>42702</v>
      </c>
      <c r="B84" s="7">
        <v>1917200000000</v>
      </c>
    </row>
    <row r="85" spans="1:2">
      <c r="A85" s="6">
        <v>42671</v>
      </c>
      <c r="B85" s="7">
        <v>1879900000000</v>
      </c>
    </row>
    <row r="86" spans="1:2">
      <c r="A86" s="6">
        <v>42641</v>
      </c>
      <c r="B86" s="7">
        <v>1867600000000</v>
      </c>
    </row>
    <row r="87" spans="1:2">
      <c r="A87" s="6">
        <v>42610</v>
      </c>
      <c r="B87" s="7">
        <v>1864600000000</v>
      </c>
    </row>
    <row r="88" spans="1:2">
      <c r="A88" s="6">
        <v>42579</v>
      </c>
      <c r="B88" s="7">
        <v>1853400000000</v>
      </c>
    </row>
    <row r="89" spans="1:2">
      <c r="A89" s="6">
        <v>42549</v>
      </c>
      <c r="B89" s="7">
        <v>1841300000000</v>
      </c>
    </row>
    <row r="90" spans="1:2">
      <c r="A90" s="6">
        <v>42518</v>
      </c>
      <c r="B90" s="7">
        <v>1839600000000</v>
      </c>
    </row>
    <row r="91" spans="1:2">
      <c r="A91" s="6">
        <v>42488</v>
      </c>
      <c r="B91" s="7">
        <v>1817300000000</v>
      </c>
    </row>
    <row r="92" spans="1:2">
      <c r="A92" s="6">
        <v>42457</v>
      </c>
      <c r="B92" s="7">
        <v>1793100000000</v>
      </c>
    </row>
    <row r="93" spans="1:2">
      <c r="A93" s="6">
        <v>42428</v>
      </c>
      <c r="B93" s="7">
        <v>1807000000000</v>
      </c>
    </row>
    <row r="94" spans="1:2">
      <c r="A94" s="6">
        <v>42397</v>
      </c>
      <c r="B94" s="7">
        <v>1793600000000</v>
      </c>
    </row>
    <row r="95" spans="1:2">
      <c r="A95" s="6">
        <v>42366</v>
      </c>
      <c r="B95" s="7">
        <v>1766100000000</v>
      </c>
    </row>
    <row r="96" spans="1:2">
      <c r="A96" s="6">
        <v>42336</v>
      </c>
      <c r="B96" s="7">
        <v>1788400000000</v>
      </c>
    </row>
    <row r="97" spans="1:2">
      <c r="A97" s="6">
        <v>42305</v>
      </c>
      <c r="B97" s="7">
        <v>1752700000000</v>
      </c>
    </row>
    <row r="98" spans="1:2">
      <c r="A98" s="6">
        <v>42275</v>
      </c>
      <c r="B98" s="7">
        <v>1721400000000</v>
      </c>
    </row>
    <row r="99" spans="1:2">
      <c r="A99" s="6">
        <v>42244</v>
      </c>
      <c r="B99" s="7">
        <v>1707000000000</v>
      </c>
    </row>
    <row r="100" spans="1:2">
      <c r="A100" s="6">
        <v>42213</v>
      </c>
      <c r="B100" s="7">
        <v>1693100000000</v>
      </c>
    </row>
    <row r="101" spans="1:2">
      <c r="A101" s="6">
        <v>42183</v>
      </c>
      <c r="B101" s="7">
        <v>1679600000000</v>
      </c>
    </row>
    <row r="102" spans="1:2">
      <c r="A102" s="6">
        <v>42152</v>
      </c>
      <c r="B102" s="7">
        <v>1674600000000</v>
      </c>
    </row>
    <row r="103" spans="1:2">
      <c r="A103" s="6">
        <v>42122</v>
      </c>
      <c r="B103" s="7">
        <v>1645800000000</v>
      </c>
    </row>
    <row r="104" spans="1:2">
      <c r="A104" s="6">
        <v>42091</v>
      </c>
      <c r="B104" s="7">
        <v>1616800000000</v>
      </c>
    </row>
    <row r="105" spans="1:2">
      <c r="A105" s="6">
        <v>42063</v>
      </c>
      <c r="B105" s="7">
        <v>1610200000000</v>
      </c>
    </row>
    <row r="106" spans="1:2">
      <c r="A106" s="6">
        <v>42032</v>
      </c>
      <c r="B106" s="7">
        <v>1586400000000</v>
      </c>
    </row>
    <row r="107" spans="1:2">
      <c r="A107" s="6">
        <v>42001</v>
      </c>
      <c r="B107" s="7">
        <v>1557800000000</v>
      </c>
    </row>
    <row r="108" spans="1:2">
      <c r="A108" s="6">
        <v>41971</v>
      </c>
      <c r="B108" s="7">
        <v>1575200000000</v>
      </c>
    </row>
    <row r="109" spans="1:2">
      <c r="A109" s="6">
        <v>41940</v>
      </c>
      <c r="B109" s="7">
        <v>1548600000000</v>
      </c>
    </row>
    <row r="110" spans="1:2">
      <c r="A110" s="6">
        <v>41910</v>
      </c>
      <c r="B110" s="7">
        <v>1522900000000</v>
      </c>
    </row>
    <row r="111" spans="1:2">
      <c r="A111" s="6">
        <v>41879</v>
      </c>
      <c r="B111" s="7">
        <v>1515600000000</v>
      </c>
    </row>
    <row r="112" spans="1:2">
      <c r="A112" s="6">
        <v>41848</v>
      </c>
      <c r="B112" s="7">
        <v>1499400000000</v>
      </c>
    </row>
    <row r="113" spans="1:2">
      <c r="A113" s="6">
        <v>41818</v>
      </c>
      <c r="B113" s="7">
        <v>1493300000000</v>
      </c>
    </row>
    <row r="114" spans="1:2">
      <c r="A114" s="6">
        <v>41787</v>
      </c>
      <c r="B114" s="7">
        <v>1501700000000</v>
      </c>
    </row>
    <row r="115" spans="1:2">
      <c r="A115" s="6">
        <v>41757</v>
      </c>
      <c r="B115" s="7">
        <v>1489900000000</v>
      </c>
    </row>
    <row r="116" spans="1:2">
      <c r="A116" s="6">
        <v>41726</v>
      </c>
      <c r="B116" s="7">
        <v>1454100000000</v>
      </c>
    </row>
    <row r="117" spans="1:2">
      <c r="A117" s="6">
        <v>41698</v>
      </c>
      <c r="B117" s="7">
        <v>1462000000000</v>
      </c>
    </row>
    <row r="118" spans="1:2">
      <c r="A118" s="6">
        <v>41667</v>
      </c>
      <c r="B118" s="7">
        <v>1453900000000</v>
      </c>
    </row>
    <row r="119" spans="1:2">
      <c r="A119" s="6">
        <v>41636</v>
      </c>
      <c r="B119" s="7">
        <v>1448100000000</v>
      </c>
    </row>
    <row r="120" spans="1:2">
      <c r="A120" s="6">
        <v>41606</v>
      </c>
      <c r="B120" s="7">
        <v>1462100000000</v>
      </c>
    </row>
    <row r="121" spans="1:2">
      <c r="A121" s="6">
        <v>41575</v>
      </c>
      <c r="B121" s="7">
        <v>1451600000000</v>
      </c>
    </row>
    <row r="122" spans="1:2">
      <c r="A122" s="6">
        <v>41545</v>
      </c>
      <c r="B122" s="7">
        <v>1424800000000</v>
      </c>
    </row>
    <row r="123" spans="1:2">
      <c r="A123" s="6">
        <v>41514</v>
      </c>
      <c r="B123" s="7">
        <v>1412200000000</v>
      </c>
    </row>
    <row r="124" spans="1:2">
      <c r="A124" s="6">
        <v>41483</v>
      </c>
      <c r="B124" s="7">
        <v>1399100000000</v>
      </c>
    </row>
    <row r="125" spans="1:2">
      <c r="A125" s="6">
        <v>41453</v>
      </c>
      <c r="B125" s="7">
        <v>1390300000000</v>
      </c>
    </row>
    <row r="126" spans="1:2">
      <c r="A126" s="6">
        <v>41422</v>
      </c>
      <c r="B126" s="7">
        <v>1391000000000</v>
      </c>
    </row>
    <row r="127" spans="1:2">
      <c r="A127" s="6">
        <v>41392</v>
      </c>
      <c r="B127" s="7">
        <v>1386100000000</v>
      </c>
    </row>
    <row r="128" spans="1:2">
      <c r="A128" s="6">
        <v>41361</v>
      </c>
      <c r="B128" s="7">
        <v>1356600000000</v>
      </c>
    </row>
    <row r="129" spans="1:2">
      <c r="A129" s="6">
        <v>41333</v>
      </c>
      <c r="B129" s="7">
        <v>1366100000000</v>
      </c>
    </row>
    <row r="130" spans="1:2">
      <c r="A130" s="6">
        <v>41302</v>
      </c>
      <c r="B130" s="7">
        <v>1363000000000</v>
      </c>
    </row>
    <row r="131" spans="1:2">
      <c r="A131" s="6">
        <v>41271</v>
      </c>
      <c r="B131" s="7">
        <v>1365700000000</v>
      </c>
    </row>
    <row r="132" spans="1:2">
      <c r="A132" s="6">
        <v>41241</v>
      </c>
      <c r="B132" s="7">
        <v>1373100000000</v>
      </c>
    </row>
    <row r="133" spans="1:2">
      <c r="A133" s="6">
        <v>41210</v>
      </c>
      <c r="B133" s="7">
        <v>1347200000000</v>
      </c>
    </row>
    <row r="134" spans="1:2">
      <c r="A134" s="6">
        <v>41180</v>
      </c>
      <c r="B134" s="7">
        <v>1291600000000</v>
      </c>
    </row>
    <row r="135" spans="1:2">
      <c r="A135" s="6">
        <v>41149</v>
      </c>
      <c r="B135" s="7">
        <v>1268500000000</v>
      </c>
    </row>
    <row r="136" spans="1:2">
      <c r="A136" s="6">
        <v>41118</v>
      </c>
      <c r="B136" s="7">
        <v>1256700000000</v>
      </c>
    </row>
    <row r="137" spans="1:2">
      <c r="A137" s="6">
        <v>41088</v>
      </c>
      <c r="B137" s="7">
        <v>1235700000000</v>
      </c>
    </row>
    <row r="138" spans="1:2">
      <c r="A138" s="6">
        <v>41057</v>
      </c>
      <c r="B138" s="7">
        <v>1218000000000</v>
      </c>
    </row>
    <row r="139" spans="1:2">
      <c r="A139" s="6">
        <v>41027</v>
      </c>
      <c r="B139" s="7">
        <v>1199700000000</v>
      </c>
    </row>
    <row r="140" spans="1:2">
      <c r="A140" s="6">
        <v>40996</v>
      </c>
      <c r="B140" s="7">
        <v>1189100000000</v>
      </c>
    </row>
    <row r="141" spans="1:2">
      <c r="A141" s="6">
        <v>40967</v>
      </c>
      <c r="B141" s="7">
        <v>1180300000000</v>
      </c>
    </row>
    <row r="142" spans="1:2">
      <c r="A142" s="6">
        <v>40936</v>
      </c>
      <c r="B142" s="7">
        <v>1170900000000</v>
      </c>
    </row>
    <row r="143" spans="1:2">
      <c r="A143" s="6">
        <v>40905</v>
      </c>
      <c r="B143" s="7">
        <v>1170400000000</v>
      </c>
    </row>
    <row r="144" spans="1:2">
      <c r="A144" s="6">
        <v>40875</v>
      </c>
      <c r="B144" s="7">
        <v>1171500000000</v>
      </c>
    </row>
    <row r="145" spans="1:2">
      <c r="A145" s="6">
        <v>40844</v>
      </c>
      <c r="B145" s="7">
        <v>1149900000000</v>
      </c>
    </row>
    <row r="146" spans="1:2">
      <c r="A146" s="6">
        <v>40814</v>
      </c>
      <c r="B146" s="7">
        <v>1140500000000</v>
      </c>
    </row>
    <row r="147" spans="1:2">
      <c r="A147" s="6">
        <v>40783</v>
      </c>
      <c r="B147" s="7">
        <v>1131900000000</v>
      </c>
    </row>
    <row r="148" spans="1:2">
      <c r="A148" s="6">
        <v>40752</v>
      </c>
      <c r="B148" s="7">
        <v>1119700000000</v>
      </c>
    </row>
    <row r="149" spans="1:2">
      <c r="A149" s="6">
        <v>40722</v>
      </c>
      <c r="B149" s="7">
        <v>1124100000000</v>
      </c>
    </row>
    <row r="150" spans="1:2">
      <c r="A150" s="6">
        <v>40691</v>
      </c>
      <c r="B150" s="7">
        <v>1116000000000</v>
      </c>
    </row>
    <row r="151" spans="1:2">
      <c r="A151" s="6">
        <v>40661</v>
      </c>
      <c r="B151" s="7">
        <v>1114200000000</v>
      </c>
    </row>
    <row r="152" spans="1:2">
      <c r="A152" s="6">
        <v>40630</v>
      </c>
      <c r="B152" s="7">
        <v>1108600000000</v>
      </c>
    </row>
    <row r="153" spans="1:2">
      <c r="A153" s="6">
        <v>40602</v>
      </c>
      <c r="B153" s="7">
        <v>1105800000000</v>
      </c>
    </row>
    <row r="154" spans="1:2">
      <c r="A154" s="6">
        <v>40571</v>
      </c>
      <c r="B154" s="7">
        <v>1121500000000</v>
      </c>
    </row>
    <row r="155" spans="1:2">
      <c r="A155" s="6">
        <v>40540</v>
      </c>
      <c r="B155" s="7">
        <v>1106700000000</v>
      </c>
    </row>
    <row r="156" spans="1:2">
      <c r="A156" s="6">
        <v>40510</v>
      </c>
      <c r="B156" s="7">
        <v>1116800000000</v>
      </c>
    </row>
    <row r="157" spans="1:2">
      <c r="A157" s="6">
        <v>40479</v>
      </c>
      <c r="B157" s="7">
        <v>1090300000000</v>
      </c>
    </row>
    <row r="158" spans="1:2">
      <c r="A158" s="6">
        <v>40449</v>
      </c>
      <c r="B158" s="7">
        <v>1087900000000</v>
      </c>
    </row>
    <row r="159" spans="1:2">
      <c r="A159" s="6">
        <v>40418</v>
      </c>
      <c r="B159" s="7">
        <v>1087200000000</v>
      </c>
    </row>
    <row r="160" spans="1:2">
      <c r="A160" s="6">
        <v>40387</v>
      </c>
      <c r="B160" s="7">
        <v>1084900000000</v>
      </c>
    </row>
    <row r="161" spans="1:2">
      <c r="A161" s="6">
        <v>40357</v>
      </c>
      <c r="B161" s="7">
        <v>1087600000000</v>
      </c>
    </row>
    <row r="162" spans="1:2">
      <c r="A162" s="6">
        <v>40326</v>
      </c>
      <c r="B162" s="7">
        <v>1085600000000</v>
      </c>
    </row>
    <row r="163" spans="1:2">
      <c r="A163" s="6">
        <v>40296</v>
      </c>
      <c r="B163" s="7">
        <v>1072500000000</v>
      </c>
    </row>
    <row r="164" spans="1:2">
      <c r="A164" s="6">
        <v>40265</v>
      </c>
      <c r="B164" s="7">
        <v>1031800000000</v>
      </c>
    </row>
    <row r="165" spans="1:2">
      <c r="A165" s="6">
        <v>40237</v>
      </c>
      <c r="B165" s="7">
        <v>1046500000000</v>
      </c>
    </row>
    <row r="166" spans="1:2">
      <c r="A166" s="6">
        <v>40206</v>
      </c>
      <c r="B166" s="7">
        <v>1045800000000</v>
      </c>
    </row>
    <row r="167" spans="1:2">
      <c r="A167" s="6">
        <v>40175</v>
      </c>
      <c r="B167" s="7">
        <v>1015900000000</v>
      </c>
    </row>
    <row r="168" spans="1:2">
      <c r="A168" s="6">
        <v>40145</v>
      </c>
      <c r="B168" s="7">
        <v>1031900000000</v>
      </c>
    </row>
    <row r="169" spans="1:2">
      <c r="A169" s="6">
        <v>40114</v>
      </c>
      <c r="B169" s="7">
        <v>1008000000000</v>
      </c>
    </row>
    <row r="170" spans="1:2">
      <c r="A170" s="6">
        <v>40084</v>
      </c>
      <c r="B170" s="7">
        <v>980320000000</v>
      </c>
    </row>
    <row r="171" spans="1:2">
      <c r="A171" s="6">
        <v>40053</v>
      </c>
      <c r="B171" s="7">
        <v>960150000000</v>
      </c>
    </row>
    <row r="172" spans="1:2">
      <c r="A172" s="6">
        <v>40022</v>
      </c>
      <c r="B172" s="7">
        <v>947500000000</v>
      </c>
    </row>
    <row r="173" spans="1:2">
      <c r="A173" s="6">
        <v>39992</v>
      </c>
      <c r="B173" s="7">
        <v>945210000000</v>
      </c>
    </row>
    <row r="174" spans="1:2">
      <c r="A174" s="6">
        <v>39961</v>
      </c>
      <c r="B174" s="7">
        <v>925460000000</v>
      </c>
    </row>
    <row r="175" spans="1:2">
      <c r="A175" s="6">
        <v>39931</v>
      </c>
      <c r="B175" s="7">
        <v>921960000000</v>
      </c>
    </row>
    <row r="176" spans="1:2">
      <c r="A176" s="6">
        <v>39900</v>
      </c>
      <c r="B176" s="7">
        <v>906390000000</v>
      </c>
    </row>
    <row r="177" spans="1:2">
      <c r="A177" s="6">
        <v>39872</v>
      </c>
      <c r="B177" s="7">
        <v>909070000000</v>
      </c>
    </row>
    <row r="178" spans="1:2">
      <c r="A178" s="6">
        <v>39841</v>
      </c>
      <c r="B178" s="7">
        <v>891830000000</v>
      </c>
    </row>
    <row r="179" spans="1:2">
      <c r="A179" s="6">
        <v>39810</v>
      </c>
      <c r="B179" s="7">
        <v>832830000000</v>
      </c>
    </row>
    <row r="180" spans="1:2">
      <c r="A180" s="6">
        <v>39780</v>
      </c>
      <c r="B180" s="7">
        <v>832790000000</v>
      </c>
    </row>
    <row r="181" spans="1:2">
      <c r="A181" s="6">
        <v>39749</v>
      </c>
      <c r="B181" s="7">
        <v>823600000000</v>
      </c>
    </row>
    <row r="182" spans="1:2">
      <c r="A182" s="6">
        <v>39719</v>
      </c>
      <c r="B182" s="7">
        <v>793070000000</v>
      </c>
    </row>
    <row r="183" spans="1:2">
      <c r="A183" s="6">
        <v>39688</v>
      </c>
      <c r="B183" s="7">
        <v>776170000000</v>
      </c>
    </row>
    <row r="184" spans="1:2">
      <c r="A184" s="6">
        <v>39657</v>
      </c>
      <c r="B184" s="7">
        <v>773930000000</v>
      </c>
    </row>
    <row r="185" spans="1:2">
      <c r="A185" s="6">
        <v>39627</v>
      </c>
      <c r="B185" s="7">
        <v>796260000000</v>
      </c>
    </row>
    <row r="186" spans="1:2">
      <c r="A186" s="6">
        <v>39596</v>
      </c>
      <c r="B186" s="7">
        <v>788100000000</v>
      </c>
    </row>
    <row r="187" spans="1:2">
      <c r="A187" s="6">
        <v>39566</v>
      </c>
      <c r="B187" s="7">
        <v>783360000000</v>
      </c>
    </row>
    <row r="188" spans="1:2">
      <c r="A188" s="6">
        <v>39535</v>
      </c>
      <c r="B188" s="7">
        <v>796590000000</v>
      </c>
    </row>
    <row r="189" spans="1:2">
      <c r="A189" s="6">
        <v>39506</v>
      </c>
      <c r="B189" s="7">
        <v>788390000000</v>
      </c>
    </row>
    <row r="190" spans="1:2">
      <c r="A190" s="6">
        <v>39475</v>
      </c>
      <c r="B190" s="7">
        <v>792870000000</v>
      </c>
    </row>
    <row r="191" spans="1:2">
      <c r="A191" s="6">
        <v>39444</v>
      </c>
      <c r="B191" s="7">
        <v>789700000000</v>
      </c>
    </row>
    <row r="192" spans="1:2">
      <c r="A192" s="6">
        <v>39414</v>
      </c>
      <c r="B192" s="7">
        <v>804900000000</v>
      </c>
    </row>
    <row r="193" spans="1:2">
      <c r="A193" s="6">
        <v>39383</v>
      </c>
      <c r="B193" s="7">
        <v>774220000000</v>
      </c>
    </row>
    <row r="194" spans="1:2">
      <c r="A194" s="6">
        <v>39353</v>
      </c>
      <c r="B194" s="7">
        <v>785530000000</v>
      </c>
    </row>
    <row r="195" spans="1:2">
      <c r="A195" s="6">
        <v>39322</v>
      </c>
      <c r="B195" s="7">
        <v>773040000000</v>
      </c>
    </row>
    <row r="196" spans="1:2">
      <c r="A196" s="6">
        <v>39291</v>
      </c>
      <c r="B196" s="7">
        <v>780410000000</v>
      </c>
    </row>
    <row r="197" spans="1:2">
      <c r="A197" s="6">
        <v>39261</v>
      </c>
      <c r="B197" s="7">
        <v>777820000000</v>
      </c>
    </row>
    <row r="198" spans="1:2">
      <c r="A198" s="6">
        <v>39230</v>
      </c>
      <c r="B198" s="7">
        <v>768050000000</v>
      </c>
    </row>
    <row r="199" spans="1:2">
      <c r="A199" s="6">
        <v>39200</v>
      </c>
      <c r="B199" s="7">
        <v>759670000000</v>
      </c>
    </row>
    <row r="200" spans="1:2">
      <c r="A200" s="6">
        <v>39169</v>
      </c>
      <c r="B200" s="7">
        <v>761960000000</v>
      </c>
    </row>
    <row r="201" spans="1:2">
      <c r="A201" s="6">
        <v>39141</v>
      </c>
      <c r="B201" s="7">
        <v>758310000000</v>
      </c>
    </row>
    <row r="202" spans="1:2">
      <c r="A202" s="6">
        <v>39110</v>
      </c>
      <c r="B202" s="7">
        <v>759140000000</v>
      </c>
    </row>
    <row r="203" spans="1:2">
      <c r="A203" s="6">
        <v>39079</v>
      </c>
      <c r="B203" s="7">
        <v>760040000000</v>
      </c>
    </row>
    <row r="204" spans="1:2">
      <c r="A204" s="6">
        <v>39049</v>
      </c>
      <c r="B204" s="7">
        <v>755750000000</v>
      </c>
    </row>
    <row r="205" spans="1:2">
      <c r="A205" s="6">
        <v>39018</v>
      </c>
      <c r="B205" s="7">
        <v>728180000000</v>
      </c>
    </row>
    <row r="206" spans="1:2">
      <c r="A206" s="6">
        <v>38988</v>
      </c>
      <c r="B206" s="7">
        <v>734950000000</v>
      </c>
    </row>
    <row r="207" spans="1:2">
      <c r="A207" s="6">
        <v>38957</v>
      </c>
      <c r="B207" s="7">
        <v>734100000000</v>
      </c>
    </row>
    <row r="208" spans="1:2">
      <c r="A208" s="6">
        <v>38926</v>
      </c>
      <c r="B208" s="7">
        <v>740450000000</v>
      </c>
    </row>
    <row r="209" spans="1:2">
      <c r="A209" s="6">
        <v>38896</v>
      </c>
      <c r="B209" s="7">
        <v>750300000000</v>
      </c>
    </row>
    <row r="210" spans="1:2">
      <c r="A210" s="6">
        <v>38865</v>
      </c>
      <c r="B210" s="7">
        <v>746860000000</v>
      </c>
    </row>
    <row r="211" spans="1:2">
      <c r="A211" s="6">
        <v>38835</v>
      </c>
      <c r="B211" s="7">
        <v>742460000000</v>
      </c>
    </row>
    <row r="212" spans="1:2">
      <c r="A212" s="6">
        <v>38804</v>
      </c>
      <c r="B212" s="7">
        <v>733440000000</v>
      </c>
    </row>
    <row r="213" spans="1:2">
      <c r="A213" s="6">
        <v>38776</v>
      </c>
      <c r="B213" s="7">
        <v>725630000000</v>
      </c>
    </row>
    <row r="214" spans="1:2">
      <c r="A214" s="6">
        <v>38745</v>
      </c>
      <c r="B214" s="7">
        <v>728200000000</v>
      </c>
    </row>
    <row r="215" spans="1:2">
      <c r="A215" s="6">
        <v>38714</v>
      </c>
      <c r="B215" s="7">
        <v>725790000000</v>
      </c>
    </row>
    <row r="216" spans="1:2">
      <c r="A216" s="6">
        <v>38684</v>
      </c>
      <c r="B216" s="7">
        <v>734390000000</v>
      </c>
    </row>
    <row r="217" spans="1:2">
      <c r="A217" s="6">
        <v>38653</v>
      </c>
      <c r="B217" s="7">
        <v>718750000000</v>
      </c>
    </row>
    <row r="218" spans="1:2">
      <c r="A218" s="6">
        <v>38623</v>
      </c>
      <c r="B218" s="7">
        <v>715800000000</v>
      </c>
    </row>
    <row r="219" spans="1:2">
      <c r="A219" s="6">
        <v>38592</v>
      </c>
      <c r="B219" s="7">
        <v>708540000000</v>
      </c>
    </row>
    <row r="220" spans="1:2">
      <c r="A220" s="6">
        <v>38561</v>
      </c>
      <c r="B220" s="7">
        <v>706790000000</v>
      </c>
    </row>
    <row r="221" spans="1:2">
      <c r="A221" s="6">
        <v>38531</v>
      </c>
      <c r="B221" s="7">
        <v>706310000000</v>
      </c>
    </row>
    <row r="222" spans="1:2">
      <c r="A222" s="6">
        <v>38500</v>
      </c>
      <c r="B222" s="7">
        <v>696120000000</v>
      </c>
    </row>
    <row r="223" spans="1:2">
      <c r="A223" s="6">
        <v>38470</v>
      </c>
      <c r="B223" s="7">
        <v>686610000000</v>
      </c>
    </row>
    <row r="224" spans="1:2">
      <c r="A224" s="6">
        <v>38439</v>
      </c>
      <c r="B224" s="7">
        <v>684110000000</v>
      </c>
    </row>
    <row r="225" spans="1:2">
      <c r="A225" s="6">
        <v>38411</v>
      </c>
      <c r="B225" s="7">
        <v>683990000000</v>
      </c>
    </row>
    <row r="226" spans="1:2">
      <c r="A226" s="6">
        <v>38380</v>
      </c>
      <c r="B226" s="7">
        <v>679000000000</v>
      </c>
    </row>
    <row r="227" spans="1:2">
      <c r="A227" s="6">
        <v>38349</v>
      </c>
      <c r="B227" s="7">
        <v>655370000000</v>
      </c>
    </row>
    <row r="228" spans="1:2">
      <c r="A228" s="6">
        <v>38319</v>
      </c>
      <c r="B228" s="7">
        <v>685190000000</v>
      </c>
    </row>
    <row r="229" spans="1:2">
      <c r="A229" s="6">
        <v>38288</v>
      </c>
      <c r="B229" s="7">
        <v>656940000000</v>
      </c>
    </row>
    <row r="230" spans="1:2">
      <c r="A230" s="6">
        <v>38258</v>
      </c>
      <c r="B230" s="7">
        <v>660660000000</v>
      </c>
    </row>
    <row r="231" spans="1:2">
      <c r="A231" s="6">
        <v>38227</v>
      </c>
      <c r="B231" s="7">
        <v>646380000000</v>
      </c>
    </row>
    <row r="232" spans="1:2">
      <c r="A232" s="6">
        <v>38196</v>
      </c>
      <c r="B232" s="7">
        <v>644780000000</v>
      </c>
    </row>
    <row r="233" spans="1:2">
      <c r="A233" s="6">
        <v>38166</v>
      </c>
      <c r="B233" s="7">
        <v>653550000000</v>
      </c>
    </row>
    <row r="234" spans="1:2">
      <c r="A234" s="6">
        <v>38135</v>
      </c>
      <c r="B234" s="7">
        <v>649830000000</v>
      </c>
    </row>
    <row r="235" spans="1:2">
      <c r="A235" s="6">
        <v>38105</v>
      </c>
      <c r="B235" s="7">
        <v>652690000000</v>
      </c>
    </row>
    <row r="236" spans="1:2">
      <c r="A236" s="6">
        <v>38074</v>
      </c>
      <c r="B236" s="7">
        <v>646750000000</v>
      </c>
    </row>
    <row r="237" spans="1:2">
      <c r="A237" s="6">
        <v>38045</v>
      </c>
      <c r="B237" s="7">
        <v>645300000000</v>
      </c>
    </row>
    <row r="238" spans="1:2">
      <c r="A238" s="6">
        <v>38014</v>
      </c>
      <c r="B238" s="7">
        <v>640510000000</v>
      </c>
    </row>
    <row r="239" spans="1:2">
      <c r="A239" s="6">
        <v>37983</v>
      </c>
      <c r="B239" s="7">
        <v>631940000000</v>
      </c>
    </row>
    <row r="240" spans="1:2">
      <c r="A240" s="6">
        <v>37953</v>
      </c>
      <c r="B240" s="7">
        <v>643190000000</v>
      </c>
    </row>
    <row r="241" spans="1:2">
      <c r="A241" s="6">
        <v>37922</v>
      </c>
      <c r="B241" s="7">
        <v>620700000000</v>
      </c>
    </row>
    <row r="242" spans="1:2">
      <c r="A242" s="6">
        <v>37892</v>
      </c>
      <c r="B242" s="7">
        <v>617340000000</v>
      </c>
    </row>
    <row r="243" spans="1:2">
      <c r="A243" s="6">
        <v>37861</v>
      </c>
      <c r="B243" s="7">
        <v>607160000000</v>
      </c>
    </row>
    <row r="244" spans="1:2">
      <c r="A244" s="6">
        <v>37830</v>
      </c>
      <c r="B244" s="7">
        <v>605040000000</v>
      </c>
    </row>
    <row r="245" spans="1:2">
      <c r="A245" s="6">
        <v>37800</v>
      </c>
      <c r="B245" s="7">
        <v>617460000000</v>
      </c>
    </row>
    <row r="246" spans="1:2">
      <c r="A246" s="6">
        <v>37769</v>
      </c>
      <c r="B246" s="7">
        <v>600680000000</v>
      </c>
    </row>
    <row r="247" spans="1:2">
      <c r="A247" s="6">
        <v>37739</v>
      </c>
      <c r="B247" s="7">
        <v>594470000000</v>
      </c>
    </row>
    <row r="248" spans="1:2">
      <c r="A248" s="6">
        <v>37708</v>
      </c>
      <c r="B248" s="7">
        <v>586520000000</v>
      </c>
    </row>
    <row r="249" spans="1:2">
      <c r="A249" s="6">
        <v>37680</v>
      </c>
      <c r="B249" s="7">
        <v>579550000000</v>
      </c>
    </row>
    <row r="250" spans="1:2">
      <c r="A250" s="6">
        <v>37649</v>
      </c>
      <c r="B250" s="7">
        <v>573980000000</v>
      </c>
    </row>
    <row r="251" spans="1:2">
      <c r="A251" s="6">
        <v>37618</v>
      </c>
      <c r="B251" s="7">
        <v>583540000000</v>
      </c>
    </row>
    <row r="252" spans="1:2">
      <c r="A252" s="6">
        <v>37588</v>
      </c>
      <c r="B252" s="7">
        <v>582590000000</v>
      </c>
    </row>
    <row r="253" spans="1:2">
      <c r="A253" s="6">
        <v>37557</v>
      </c>
      <c r="B253" s="7">
        <v>550830000000</v>
      </c>
    </row>
    <row r="254" spans="1:2">
      <c r="A254" s="6">
        <v>37527</v>
      </c>
      <c r="B254" s="7">
        <v>549620000000</v>
      </c>
    </row>
    <row r="255" spans="1:2">
      <c r="A255" s="6">
        <v>37496</v>
      </c>
      <c r="B255" s="7">
        <v>534470000000</v>
      </c>
    </row>
    <row r="256" spans="1:2">
      <c r="A256" s="6">
        <v>37465</v>
      </c>
      <c r="B256" s="7">
        <v>539680000000</v>
      </c>
    </row>
    <row r="257" spans="1:2">
      <c r="A257" s="6">
        <v>37435</v>
      </c>
      <c r="B257" s="7">
        <v>544640000000</v>
      </c>
    </row>
    <row r="258" spans="1:2">
      <c r="A258" s="6">
        <v>37404</v>
      </c>
      <c r="B258" s="7">
        <v>531440000000</v>
      </c>
    </row>
    <row r="259" spans="1:2">
      <c r="A259" s="6">
        <v>37374</v>
      </c>
      <c r="B259" s="7">
        <v>525700000000</v>
      </c>
    </row>
    <row r="260" spans="1:2">
      <c r="A260" s="6">
        <v>37343</v>
      </c>
      <c r="B260" s="7">
        <v>516670000000</v>
      </c>
    </row>
    <row r="261" spans="1:2">
      <c r="A261" s="6">
        <v>37315</v>
      </c>
      <c r="B261" s="7">
        <v>519360000000</v>
      </c>
    </row>
    <row r="262" spans="1:2">
      <c r="A262" s="6">
        <v>37284</v>
      </c>
      <c r="B262" s="7">
        <v>520010000000</v>
      </c>
    </row>
    <row r="263" spans="1:2">
      <c r="A263" s="6">
        <v>37253</v>
      </c>
      <c r="B263" s="7">
        <v>601640000000</v>
      </c>
    </row>
    <row r="264" spans="1:2">
      <c r="A264" s="6">
        <v>37223</v>
      </c>
      <c r="B264" s="7">
        <v>611130000000</v>
      </c>
    </row>
    <row r="265" spans="1:2">
      <c r="A265" s="6">
        <v>37192</v>
      </c>
      <c r="B265" s="7">
        <v>590690000000</v>
      </c>
    </row>
    <row r="266" spans="1:2">
      <c r="A266" s="6">
        <v>37162</v>
      </c>
      <c r="B266" s="7">
        <v>593940000000</v>
      </c>
    </row>
    <row r="267" spans="1:2">
      <c r="A267" s="6">
        <v>37131</v>
      </c>
      <c r="B267" s="7">
        <v>579380000000</v>
      </c>
    </row>
    <row r="268" spans="1:2">
      <c r="A268" s="6">
        <v>37100</v>
      </c>
      <c r="B268" s="7">
        <v>580680000000</v>
      </c>
    </row>
    <row r="269" spans="1:2">
      <c r="A269" s="6">
        <v>37070</v>
      </c>
      <c r="B269" s="7">
        <v>587160000000</v>
      </c>
    </row>
    <row r="270" spans="1:2">
      <c r="A270" s="6">
        <v>37039</v>
      </c>
      <c r="B270" s="7">
        <v>581230000000</v>
      </c>
    </row>
    <row r="271" spans="1:2">
      <c r="A271" s="6">
        <v>37009</v>
      </c>
      <c r="B271" s="7">
        <v>578630000000</v>
      </c>
    </row>
    <row r="272" spans="1:2">
      <c r="A272" s="6">
        <v>36978</v>
      </c>
      <c r="B272" s="7">
        <v>569120000000</v>
      </c>
    </row>
    <row r="273" spans="1:2">
      <c r="A273" s="6">
        <v>36950</v>
      </c>
      <c r="B273" s="7">
        <v>569090000000</v>
      </c>
    </row>
    <row r="274" spans="1:2">
      <c r="A274" s="6">
        <v>36919</v>
      </c>
      <c r="B274" s="7">
        <v>559100000000</v>
      </c>
    </row>
    <row r="275" spans="1:2">
      <c r="A275" s="6">
        <v>36888</v>
      </c>
      <c r="B275" s="7">
        <v>574580000000</v>
      </c>
    </row>
    <row r="276" spans="1:2">
      <c r="A276" s="6">
        <v>36858</v>
      </c>
      <c r="B276" s="7">
        <v>570810000000</v>
      </c>
    </row>
    <row r="277" spans="1:2">
      <c r="A277" s="6">
        <v>36827</v>
      </c>
      <c r="B277" s="7">
        <v>548950000000</v>
      </c>
    </row>
    <row r="278" spans="1:2">
      <c r="A278" s="6">
        <v>36797</v>
      </c>
      <c r="B278" s="7">
        <v>545740000000</v>
      </c>
    </row>
    <row r="279" spans="1:2">
      <c r="A279" s="6">
        <v>36766</v>
      </c>
      <c r="B279" s="7">
        <v>547820000000</v>
      </c>
    </row>
    <row r="280" spans="1:2">
      <c r="A280" s="6">
        <v>36735</v>
      </c>
      <c r="B280" s="7">
        <v>556530000000</v>
      </c>
    </row>
    <row r="281" spans="1:2">
      <c r="A281" s="6">
        <v>36705</v>
      </c>
      <c r="B281" s="7">
        <v>560970000000</v>
      </c>
    </row>
    <row r="282" spans="1:2">
      <c r="A282" s="6">
        <v>36674</v>
      </c>
      <c r="B282" s="7">
        <v>561620000000</v>
      </c>
    </row>
    <row r="283" spans="1:2">
      <c r="A283" s="6">
        <v>36644</v>
      </c>
      <c r="B283" s="7">
        <v>571350000000</v>
      </c>
    </row>
    <row r="284" spans="1:2">
      <c r="A284" s="6">
        <v>36613</v>
      </c>
      <c r="B284" s="7">
        <v>560220000000</v>
      </c>
    </row>
    <row r="285" spans="1:2">
      <c r="A285" s="6">
        <v>36584</v>
      </c>
      <c r="B285" s="7">
        <v>564440000000</v>
      </c>
    </row>
    <row r="286" spans="1:2">
      <c r="A286" s="6">
        <v>36553</v>
      </c>
      <c r="B286" s="7">
        <v>559720000000</v>
      </c>
    </row>
    <row r="287" spans="1:2">
      <c r="A287" s="6">
        <v>36522</v>
      </c>
      <c r="B287" s="7">
        <v>557610000000</v>
      </c>
    </row>
    <row r="288" spans="1:2">
      <c r="A288" s="6">
        <v>36492</v>
      </c>
      <c r="B288" s="7">
        <v>564280000000</v>
      </c>
    </row>
    <row r="289" spans="1:2">
      <c r="A289" s="6">
        <v>36461</v>
      </c>
      <c r="B289" s="7">
        <v>536220000000</v>
      </c>
    </row>
    <row r="290" spans="1:2">
      <c r="A290" s="6">
        <v>36431</v>
      </c>
      <c r="B290" s="7">
        <v>535300000000</v>
      </c>
    </row>
    <row r="291" spans="1:2">
      <c r="A291" s="6">
        <v>36400</v>
      </c>
      <c r="B291" s="7">
        <v>529360000000</v>
      </c>
    </row>
    <row r="292" spans="1:2">
      <c r="A292" s="6">
        <v>36369</v>
      </c>
      <c r="B292" s="7">
        <v>530240000000</v>
      </c>
    </row>
    <row r="293" spans="1:2">
      <c r="A293" s="6">
        <v>36339</v>
      </c>
      <c r="B293" s="7">
        <v>535040000000</v>
      </c>
    </row>
    <row r="294" spans="1:2">
      <c r="A294" s="6">
        <v>36308</v>
      </c>
      <c r="B294" s="7">
        <v>524700000000</v>
      </c>
    </row>
    <row r="295" spans="1:2">
      <c r="A295" s="6">
        <v>36278</v>
      </c>
      <c r="B295" s="7">
        <v>512820000000</v>
      </c>
    </row>
    <row r="296" spans="1:2">
      <c r="A296" s="6">
        <v>36247</v>
      </c>
      <c r="B296" s="7">
        <v>505140000000</v>
      </c>
    </row>
    <row r="297" spans="1:2">
      <c r="A297" s="6">
        <v>36219</v>
      </c>
      <c r="B297" s="7">
        <v>506440000000</v>
      </c>
    </row>
    <row r="298" spans="1:2">
      <c r="A298" s="6">
        <v>36188</v>
      </c>
      <c r="B298" s="7">
        <v>504250000000</v>
      </c>
    </row>
    <row r="299" spans="1:2">
      <c r="A299" s="6">
        <v>36157</v>
      </c>
      <c r="B299" s="7">
        <v>513350000000</v>
      </c>
    </row>
    <row r="300" spans="1:2">
      <c r="A300" s="6">
        <v>36127</v>
      </c>
      <c r="B300" s="7">
        <v>501360000000</v>
      </c>
    </row>
    <row r="301" spans="1:2">
      <c r="A301" s="6">
        <v>36096</v>
      </c>
      <c r="B301" s="7">
        <v>474950000000</v>
      </c>
    </row>
    <row r="302" spans="1:2">
      <c r="A302" s="6">
        <v>36066</v>
      </c>
      <c r="B302" s="7">
        <v>466900000000</v>
      </c>
    </row>
    <row r="303" spans="1:2">
      <c r="A303" s="6">
        <v>36035</v>
      </c>
      <c r="B303" s="7">
        <v>465430000000</v>
      </c>
    </row>
    <row r="304" spans="1:2">
      <c r="A304" s="6">
        <v>36004</v>
      </c>
      <c r="B304" s="7">
        <v>457030000000</v>
      </c>
    </row>
    <row r="305" spans="1:2">
      <c r="A305" s="6">
        <v>35974</v>
      </c>
      <c r="B305" s="7">
        <v>463470000000</v>
      </c>
    </row>
    <row r="306" spans="1:2">
      <c r="A306" s="6">
        <v>35943</v>
      </c>
      <c r="B306" s="7">
        <v>456360000000</v>
      </c>
    </row>
    <row r="307" spans="1:2">
      <c r="A307" s="6">
        <v>35913</v>
      </c>
      <c r="B307" s="7">
        <v>456740000000</v>
      </c>
    </row>
    <row r="308" spans="1:2">
      <c r="A308" s="6">
        <v>35882</v>
      </c>
      <c r="B308" s="7">
        <v>449500000000</v>
      </c>
    </row>
    <row r="309" spans="1:2">
      <c r="A309" s="6">
        <v>35854</v>
      </c>
      <c r="B309" s="7">
        <v>447130000000</v>
      </c>
    </row>
    <row r="310" spans="1:2">
      <c r="A310" s="6">
        <v>35823</v>
      </c>
      <c r="B310" s="7">
        <v>443240000000</v>
      </c>
    </row>
    <row r="311" spans="1:2">
      <c r="A311" s="6">
        <v>35792</v>
      </c>
      <c r="B311" s="7">
        <v>465010000000</v>
      </c>
    </row>
    <row r="312" spans="1:2">
      <c r="A312" s="6">
        <v>35762</v>
      </c>
      <c r="B312" s="7">
        <v>457340000000</v>
      </c>
    </row>
    <row r="313" spans="1:2">
      <c r="A313" s="6">
        <v>35731</v>
      </c>
      <c r="B313" s="7">
        <v>438210000000</v>
      </c>
    </row>
    <row r="314" spans="1:2">
      <c r="A314" s="6">
        <v>35701</v>
      </c>
      <c r="B314" s="7">
        <v>437280000000</v>
      </c>
    </row>
    <row r="315" spans="1:2">
      <c r="A315" s="6">
        <v>35670</v>
      </c>
      <c r="B315" s="7">
        <v>435690000000</v>
      </c>
    </row>
    <row r="316" spans="1:2">
      <c r="A316" s="6">
        <v>35639</v>
      </c>
      <c r="B316" s="7">
        <v>436280000000</v>
      </c>
    </row>
    <row r="317" spans="1:2">
      <c r="A317" s="6">
        <v>35609</v>
      </c>
      <c r="B317" s="7">
        <v>436930000000</v>
      </c>
    </row>
    <row r="318" spans="1:2">
      <c r="A318" s="6">
        <v>35578</v>
      </c>
      <c r="B318" s="7">
        <v>429830000000</v>
      </c>
    </row>
    <row r="319" spans="1:2">
      <c r="A319" s="6">
        <v>35548</v>
      </c>
      <c r="B319" s="7">
        <v>425290000000</v>
      </c>
    </row>
    <row r="320" spans="1:2">
      <c r="A320" s="6">
        <v>35517</v>
      </c>
      <c r="B320" s="7">
        <v>423610000000</v>
      </c>
    </row>
    <row r="321" spans="1:2">
      <c r="A321" s="6">
        <v>35489</v>
      </c>
      <c r="B321" s="7">
        <v>423430000000</v>
      </c>
    </row>
    <row r="322" spans="1:2">
      <c r="A322" s="6">
        <v>35458</v>
      </c>
      <c r="B322" s="7">
        <v>421670000000</v>
      </c>
    </row>
    <row r="323" spans="1:2">
      <c r="A323" s="6">
        <v>35427</v>
      </c>
      <c r="B323" s="7">
        <v>456860000000</v>
      </c>
    </row>
    <row r="324" spans="1:2">
      <c r="A324" s="6">
        <v>35397</v>
      </c>
      <c r="B324" s="7">
        <v>430390000000</v>
      </c>
    </row>
    <row r="325" spans="1:2">
      <c r="A325" s="6">
        <v>35366</v>
      </c>
      <c r="B325" s="7">
        <v>409400000000</v>
      </c>
    </row>
    <row r="326" spans="1:2">
      <c r="A326" s="6">
        <v>35336</v>
      </c>
      <c r="B326" s="7">
        <v>405450000000</v>
      </c>
    </row>
    <row r="327" spans="1:2">
      <c r="A327" s="6">
        <v>35305</v>
      </c>
      <c r="B327" s="7">
        <v>397230000000</v>
      </c>
    </row>
    <row r="328" spans="1:2">
      <c r="A328" s="6">
        <v>35274</v>
      </c>
      <c r="B328" s="7">
        <v>396970000000</v>
      </c>
    </row>
    <row r="329" spans="1:2">
      <c r="A329" s="6">
        <v>35244</v>
      </c>
      <c r="B329" s="7">
        <v>397790000000</v>
      </c>
    </row>
    <row r="330" spans="1:2">
      <c r="A330" s="6">
        <v>35213</v>
      </c>
      <c r="B330" s="7">
        <v>392470000000</v>
      </c>
    </row>
    <row r="331" spans="1:2">
      <c r="A331" s="6">
        <v>35183</v>
      </c>
      <c r="B331" s="7">
        <v>391180000000</v>
      </c>
    </row>
    <row r="332" spans="1:2">
      <c r="A332" s="6">
        <v>35152</v>
      </c>
      <c r="B332" s="7">
        <v>386100000000</v>
      </c>
    </row>
    <row r="333" spans="1:2">
      <c r="A333" s="6">
        <v>35123</v>
      </c>
      <c r="B333" s="7">
        <v>386260000000</v>
      </c>
    </row>
    <row r="334" spans="1:2">
      <c r="A334" s="6">
        <v>35092</v>
      </c>
      <c r="B334" s="7">
        <v>383190000000</v>
      </c>
    </row>
    <row r="335" spans="1:2">
      <c r="A335" s="6">
        <v>35061</v>
      </c>
      <c r="B335" s="7">
        <v>405030000000</v>
      </c>
    </row>
    <row r="336" spans="1:2">
      <c r="A336" s="6">
        <v>35031</v>
      </c>
      <c r="B336" s="7">
        <v>391290000000</v>
      </c>
    </row>
    <row r="337" spans="1:2">
      <c r="A337" s="6">
        <v>35000</v>
      </c>
      <c r="B337" s="7">
        <v>368820000000</v>
      </c>
    </row>
    <row r="338" spans="1:2">
      <c r="A338" s="6">
        <v>34970</v>
      </c>
      <c r="B338" s="7">
        <v>364010000000</v>
      </c>
    </row>
    <row r="339" spans="1:2">
      <c r="A339" s="6">
        <v>34939</v>
      </c>
      <c r="B339" s="7">
        <v>360790000000</v>
      </c>
    </row>
    <row r="340" spans="1:2">
      <c r="A340" s="6">
        <v>34908</v>
      </c>
      <c r="B340" s="7">
        <v>361630000000</v>
      </c>
    </row>
    <row r="341" spans="1:2">
      <c r="A341" s="6">
        <v>34878</v>
      </c>
      <c r="B341" s="7">
        <v>360780000000</v>
      </c>
    </row>
    <row r="342" spans="1:2">
      <c r="A342" s="6">
        <v>34847</v>
      </c>
      <c r="B342" s="7">
        <v>358260000000</v>
      </c>
    </row>
    <row r="343" spans="1:2">
      <c r="A343" s="6">
        <v>34817</v>
      </c>
      <c r="B343" s="7">
        <v>353500000000</v>
      </c>
    </row>
    <row r="344" spans="1:2">
      <c r="A344" s="6">
        <v>34786</v>
      </c>
      <c r="B344" s="7">
        <v>349240000000</v>
      </c>
    </row>
    <row r="345" spans="1:2">
      <c r="A345" s="6">
        <v>34758</v>
      </c>
      <c r="B345" s="7">
        <v>355080000000</v>
      </c>
    </row>
    <row r="346" spans="1:2">
      <c r="A346" s="6">
        <v>34727</v>
      </c>
      <c r="B346" s="7">
        <v>355870000000</v>
      </c>
    </row>
    <row r="347" spans="1:2">
      <c r="A347" s="6">
        <v>34696</v>
      </c>
      <c r="B347" s="7">
        <v>378780000000</v>
      </c>
    </row>
    <row r="348" spans="1:2">
      <c r="A348" s="6">
        <v>34666</v>
      </c>
      <c r="B348" s="7">
        <v>374410000000</v>
      </c>
    </row>
    <row r="349" spans="1:2">
      <c r="A349" s="6">
        <v>34635</v>
      </c>
      <c r="B349" s="7">
        <v>355320000000</v>
      </c>
    </row>
    <row r="350" spans="1:2">
      <c r="A350" s="6">
        <v>34605</v>
      </c>
      <c r="B350" s="7">
        <v>350080000000</v>
      </c>
    </row>
    <row r="351" spans="1:2">
      <c r="A351" s="6">
        <v>34574</v>
      </c>
      <c r="B351" s="7">
        <v>347680000000</v>
      </c>
    </row>
    <row r="352" spans="1:2">
      <c r="A352" s="6">
        <v>34543</v>
      </c>
      <c r="B352" s="7">
        <v>347110000000</v>
      </c>
    </row>
    <row r="353" spans="1:2">
      <c r="A353" s="6">
        <v>34513</v>
      </c>
      <c r="B353" s="7">
        <v>350480000000</v>
      </c>
    </row>
    <row r="354" spans="1:2">
      <c r="A354" s="6">
        <v>34482</v>
      </c>
      <c r="B354" s="7">
        <v>344570000000</v>
      </c>
    </row>
    <row r="355" spans="1:2">
      <c r="A355" s="6">
        <v>34452</v>
      </c>
      <c r="B355" s="7">
        <v>341570000000</v>
      </c>
    </row>
    <row r="356" spans="1:2">
      <c r="A356" s="6">
        <v>34421</v>
      </c>
      <c r="B356" s="7">
        <v>336530000000</v>
      </c>
    </row>
    <row r="357" spans="1:2">
      <c r="A357" s="6">
        <v>34393</v>
      </c>
      <c r="B357" s="7">
        <v>340930000000</v>
      </c>
    </row>
    <row r="358" spans="1:2">
      <c r="A358" s="6">
        <v>34362</v>
      </c>
      <c r="B358" s="7">
        <v>343980000000</v>
      </c>
    </row>
    <row r="359" spans="1:2">
      <c r="A359" s="6">
        <v>34331</v>
      </c>
      <c r="B359" s="7">
        <v>360890000000</v>
      </c>
    </row>
    <row r="360" spans="1:2">
      <c r="A360" s="6">
        <v>34301</v>
      </c>
      <c r="B360" s="7">
        <v>354040000000</v>
      </c>
    </row>
    <row r="361" spans="1:2">
      <c r="A361" s="6">
        <v>34270</v>
      </c>
      <c r="B361" s="7">
        <v>326650000000</v>
      </c>
    </row>
    <row r="362" spans="1:2">
      <c r="A362" s="6">
        <v>34240</v>
      </c>
      <c r="B362" s="7">
        <v>322390000000</v>
      </c>
    </row>
    <row r="363" spans="1:2">
      <c r="A363" s="6">
        <v>34209</v>
      </c>
      <c r="B363" s="7">
        <v>319190000000</v>
      </c>
    </row>
    <row r="364" spans="1:2">
      <c r="A364" s="6">
        <v>34178</v>
      </c>
      <c r="B364" s="7">
        <v>315940000000</v>
      </c>
    </row>
    <row r="365" spans="1:2">
      <c r="A365" s="6">
        <v>34148</v>
      </c>
      <c r="B365" s="7">
        <v>316210000000</v>
      </c>
    </row>
    <row r="366" spans="1:2">
      <c r="A366" s="6">
        <v>34117</v>
      </c>
      <c r="B366" s="7">
        <v>311200000000</v>
      </c>
    </row>
    <row r="367" spans="1:2">
      <c r="A367" s="6">
        <v>34087</v>
      </c>
      <c r="B367" s="7">
        <v>307900000000</v>
      </c>
    </row>
    <row r="368" spans="1:2">
      <c r="A368" s="6">
        <v>34056</v>
      </c>
      <c r="B368" s="7">
        <v>305360000000</v>
      </c>
    </row>
    <row r="369" spans="1:2">
      <c r="A369" s="6">
        <v>34028</v>
      </c>
      <c r="B369" s="7">
        <v>307070000000</v>
      </c>
    </row>
    <row r="370" spans="1:2">
      <c r="A370" s="6">
        <v>33997</v>
      </c>
      <c r="B370" s="7">
        <v>306150000000</v>
      </c>
    </row>
    <row r="371" spans="1:2">
      <c r="A371" s="6">
        <v>33966</v>
      </c>
      <c r="B371" s="7">
        <v>331890000000</v>
      </c>
    </row>
    <row r="372" spans="1:2">
      <c r="A372" s="6">
        <v>33936</v>
      </c>
      <c r="B372" s="7">
        <v>327040000000</v>
      </c>
    </row>
    <row r="373" spans="1:2">
      <c r="A373" s="6">
        <v>33905</v>
      </c>
      <c r="B373" s="7">
        <v>297290000000</v>
      </c>
    </row>
    <row r="374" spans="1:2">
      <c r="A374" s="6">
        <v>33875</v>
      </c>
      <c r="B374" s="7">
        <v>294360000000</v>
      </c>
    </row>
    <row r="375" spans="1:2">
      <c r="A375" s="6">
        <v>33844</v>
      </c>
      <c r="B375" s="7">
        <v>290440000000</v>
      </c>
    </row>
    <row r="376" spans="1:2">
      <c r="A376" s="6">
        <v>33813</v>
      </c>
      <c r="B376" s="7">
        <v>286940000000</v>
      </c>
    </row>
    <row r="377" spans="1:2">
      <c r="A377" s="6">
        <v>33783</v>
      </c>
      <c r="B377" s="7">
        <v>289020000000</v>
      </c>
    </row>
    <row r="378" spans="1:2">
      <c r="A378" s="6">
        <v>33752</v>
      </c>
      <c r="B378" s="7">
        <v>284470000000</v>
      </c>
    </row>
    <row r="379" spans="1:2">
      <c r="A379" s="6">
        <v>33722</v>
      </c>
      <c r="B379" s="7">
        <v>282160000000</v>
      </c>
    </row>
    <row r="380" spans="1:2">
      <c r="A380" s="6">
        <v>33691</v>
      </c>
      <c r="B380" s="7">
        <v>278480000000</v>
      </c>
    </row>
    <row r="381" spans="1:2">
      <c r="A381" s="6">
        <v>33662</v>
      </c>
      <c r="B381" s="7">
        <v>278260000000</v>
      </c>
    </row>
    <row r="382" spans="1:2">
      <c r="A382" s="6">
        <v>33631</v>
      </c>
      <c r="B382" s="7">
        <v>277870000000</v>
      </c>
    </row>
    <row r="383" spans="1:2">
      <c r="A383" s="6">
        <v>33600</v>
      </c>
      <c r="B383" s="7">
        <v>304490000000</v>
      </c>
    </row>
    <row r="384" spans="1:2">
      <c r="A384" s="6">
        <v>33570</v>
      </c>
      <c r="B384" s="7">
        <v>293520000000</v>
      </c>
    </row>
    <row r="385" spans="1:2">
      <c r="A385" s="6">
        <v>33539</v>
      </c>
      <c r="B385" s="7">
        <v>279150000000</v>
      </c>
    </row>
    <row r="386" spans="1:2">
      <c r="A386" s="6">
        <v>33509</v>
      </c>
      <c r="B386" s="7">
        <v>284530000000</v>
      </c>
    </row>
    <row r="387" spans="1:2">
      <c r="A387" s="6">
        <v>33478</v>
      </c>
      <c r="B387" s="7">
        <v>276330000000</v>
      </c>
    </row>
    <row r="388" spans="1:2">
      <c r="A388" s="6">
        <v>33447</v>
      </c>
      <c r="B388" s="7">
        <v>285250000000</v>
      </c>
    </row>
    <row r="389" spans="1:2">
      <c r="A389" s="6">
        <v>33417</v>
      </c>
      <c r="B389" s="7">
        <v>281910000000</v>
      </c>
    </row>
    <row r="390" spans="1:2">
      <c r="A390" s="6">
        <v>33386</v>
      </c>
      <c r="B390" s="7">
        <v>273680000000</v>
      </c>
    </row>
    <row r="391" spans="1:2">
      <c r="A391" s="6">
        <v>33356</v>
      </c>
      <c r="B391" s="7">
        <v>271960000000</v>
      </c>
    </row>
    <row r="392" spans="1:2">
      <c r="A392" s="6">
        <v>33325</v>
      </c>
      <c r="B392" s="7">
        <v>272500000000</v>
      </c>
    </row>
    <row r="393" spans="1:2">
      <c r="A393" s="6">
        <v>33297</v>
      </c>
      <c r="B393" s="7">
        <v>281760000000</v>
      </c>
    </row>
    <row r="394" spans="1:2">
      <c r="A394" s="6">
        <v>33266</v>
      </c>
      <c r="B394" s="7">
        <v>277270000000</v>
      </c>
    </row>
    <row r="395" spans="1:2">
      <c r="A395" s="6">
        <v>33235</v>
      </c>
      <c r="B395" s="7">
        <v>292180000000</v>
      </c>
    </row>
    <row r="396" spans="1:2">
      <c r="A396" s="6">
        <v>33205</v>
      </c>
      <c r="B396" s="7">
        <v>267470000000</v>
      </c>
    </row>
    <row r="397" spans="1:2">
      <c r="A397" s="6">
        <v>33174</v>
      </c>
      <c r="B397" s="7">
        <v>253450000000</v>
      </c>
    </row>
    <row r="398" spans="1:2">
      <c r="A398" s="6">
        <v>33144</v>
      </c>
      <c r="B398" s="7">
        <v>257790000000</v>
      </c>
    </row>
    <row r="399" spans="1:2">
      <c r="A399" s="6">
        <v>33113</v>
      </c>
      <c r="B399" s="7">
        <v>250320000000</v>
      </c>
    </row>
    <row r="400" spans="1:2">
      <c r="A400" s="6">
        <v>33082</v>
      </c>
      <c r="B400" s="7">
        <v>256520000000</v>
      </c>
    </row>
    <row r="401" spans="1:2">
      <c r="A401" s="6">
        <v>33052</v>
      </c>
      <c r="B401" s="7">
        <v>243740000000</v>
      </c>
    </row>
    <row r="402" spans="1:2">
      <c r="A402" s="6">
        <v>33021</v>
      </c>
      <c r="B402" s="7">
        <v>220010000000</v>
      </c>
    </row>
    <row r="403" spans="1:2">
      <c r="A403" s="6">
        <v>32991</v>
      </c>
      <c r="B403" s="7">
        <v>215300000000</v>
      </c>
    </row>
    <row r="404" spans="1:2">
      <c r="A404" s="6">
        <v>32960</v>
      </c>
      <c r="B404" s="7">
        <v>210220000000</v>
      </c>
    </row>
    <row r="405" spans="1:2">
      <c r="A405" s="6">
        <v>32932</v>
      </c>
      <c r="B405" s="7">
        <v>220530000000</v>
      </c>
    </row>
    <row r="406" spans="1:2">
      <c r="A406" s="6">
        <v>32901</v>
      </c>
      <c r="B406" s="7">
        <v>218530000000</v>
      </c>
    </row>
    <row r="407" spans="1:2">
      <c r="A407" s="6">
        <v>32870</v>
      </c>
      <c r="B407" s="7">
        <v>227240000000</v>
      </c>
    </row>
    <row r="408" spans="1:2">
      <c r="A408" s="6">
        <v>32840</v>
      </c>
      <c r="B408" s="7">
        <v>228710000000</v>
      </c>
    </row>
    <row r="409" spans="1:2">
      <c r="A409" s="6">
        <v>32809</v>
      </c>
      <c r="B409" s="7">
        <v>211800000000</v>
      </c>
    </row>
    <row r="410" spans="1:2">
      <c r="A410" s="6">
        <v>32779</v>
      </c>
      <c r="B410" s="7">
        <v>207750000000</v>
      </c>
    </row>
    <row r="411" spans="1:2">
      <c r="A411" s="6">
        <v>32748</v>
      </c>
      <c r="B411" s="7">
        <v>213750000000</v>
      </c>
    </row>
    <row r="412" spans="1:2">
      <c r="A412" s="6">
        <v>32717</v>
      </c>
      <c r="B412" s="7">
        <v>216100000000</v>
      </c>
    </row>
    <row r="413" spans="1:2">
      <c r="A413" s="6">
        <v>32687</v>
      </c>
      <c r="B413" s="7">
        <v>209190000000</v>
      </c>
    </row>
    <row r="414" spans="1:2">
      <c r="A414" s="6">
        <v>32656</v>
      </c>
      <c r="B414" s="7">
        <v>212500000000</v>
      </c>
    </row>
    <row r="415" spans="1:2">
      <c r="A415" s="6">
        <v>32626</v>
      </c>
      <c r="B415" s="7">
        <v>205550000000</v>
      </c>
    </row>
    <row r="416" spans="1:2">
      <c r="A416" s="6">
        <v>32595</v>
      </c>
      <c r="B416" s="7">
        <v>204790000000</v>
      </c>
    </row>
    <row r="417" spans="1:2">
      <c r="A417" s="6">
        <v>32567</v>
      </c>
      <c r="B417" s="7">
        <v>213160000000</v>
      </c>
    </row>
    <row r="418" spans="1:2">
      <c r="A418" s="6">
        <v>32536</v>
      </c>
      <c r="B418" s="7">
        <v>211890000000</v>
      </c>
    </row>
    <row r="419" spans="1:2">
      <c r="A419" s="6">
        <v>32505</v>
      </c>
      <c r="B419" s="7">
        <v>214020000000</v>
      </c>
    </row>
    <row r="420" spans="1:2">
      <c r="A420" s="6">
        <v>32475</v>
      </c>
      <c r="B420" s="7">
        <v>219590000000</v>
      </c>
    </row>
    <row r="421" spans="1:2">
      <c r="A421" s="6">
        <v>32444</v>
      </c>
      <c r="B421" s="7">
        <v>202290000000</v>
      </c>
    </row>
    <row r="422" spans="1:2">
      <c r="A422" s="6">
        <v>32414</v>
      </c>
      <c r="B422" s="7">
        <v>198310000000</v>
      </c>
    </row>
    <row r="423" spans="1:2">
      <c r="A423" s="6">
        <v>32383</v>
      </c>
      <c r="B423" s="7">
        <v>203630000000</v>
      </c>
    </row>
    <row r="424" spans="1:2">
      <c r="A424" s="6">
        <v>32352</v>
      </c>
      <c r="B424" s="7">
        <v>204450000000</v>
      </c>
    </row>
    <row r="425" spans="1:2">
      <c r="A425" s="6">
        <v>32322</v>
      </c>
      <c r="B425" s="7">
        <v>205340000000</v>
      </c>
    </row>
    <row r="426" spans="1:2">
      <c r="A426" s="6">
        <v>32291</v>
      </c>
      <c r="B426" s="7">
        <v>200650000000</v>
      </c>
    </row>
    <row r="427" spans="1:2">
      <c r="A427" s="6">
        <v>32261</v>
      </c>
      <c r="B427" s="7">
        <v>191090000000</v>
      </c>
    </row>
    <row r="428" spans="1:2">
      <c r="A428" s="6">
        <v>32230</v>
      </c>
      <c r="B428" s="7">
        <v>187950000000</v>
      </c>
    </row>
    <row r="429" spans="1:2">
      <c r="A429" s="6">
        <v>32201</v>
      </c>
      <c r="B429" s="7">
        <v>194520000000</v>
      </c>
    </row>
    <row r="430" spans="1:2">
      <c r="A430" s="6">
        <v>32170</v>
      </c>
      <c r="B430" s="7">
        <v>190220000000</v>
      </c>
    </row>
    <row r="431" spans="1:2">
      <c r="A431" s="6">
        <v>32139</v>
      </c>
      <c r="B431" s="7">
        <v>191830000000</v>
      </c>
    </row>
    <row r="432" spans="1:2">
      <c r="A432" s="6">
        <v>32109</v>
      </c>
      <c r="B432" s="7">
        <v>201940000000</v>
      </c>
    </row>
    <row r="433" spans="1:2">
      <c r="A433" s="6">
        <v>32078</v>
      </c>
      <c r="B433" s="7">
        <v>183550000000</v>
      </c>
    </row>
    <row r="434" spans="1:2">
      <c r="A434" s="6">
        <v>32048</v>
      </c>
      <c r="B434" s="7">
        <v>188000000000</v>
      </c>
    </row>
    <row r="435" spans="1:2">
      <c r="A435" s="6">
        <v>32017</v>
      </c>
      <c r="B435" s="7">
        <v>187900000000</v>
      </c>
    </row>
    <row r="436" spans="1:2">
      <c r="A436" s="6">
        <v>31986</v>
      </c>
      <c r="B436" s="7">
        <v>181060000000</v>
      </c>
    </row>
    <row r="437" spans="1:2">
      <c r="A437" s="6">
        <v>31956</v>
      </c>
      <c r="B437" s="7">
        <v>188080000000</v>
      </c>
    </row>
    <row r="438" spans="1:2">
      <c r="A438" s="6">
        <v>31925</v>
      </c>
      <c r="B438" s="7">
        <v>181150000000</v>
      </c>
    </row>
    <row r="439" spans="1:2">
      <c r="A439" s="6">
        <v>31895</v>
      </c>
      <c r="B439" s="7">
        <v>174290000000</v>
      </c>
    </row>
    <row r="440" spans="1:2">
      <c r="A440" s="6">
        <v>31864</v>
      </c>
      <c r="B440" s="7">
        <v>175740000000</v>
      </c>
    </row>
    <row r="441" spans="1:2">
      <c r="A441" s="6">
        <v>31836</v>
      </c>
      <c r="B441" s="7">
        <v>171420000000</v>
      </c>
    </row>
    <row r="442" spans="1:2">
      <c r="A442" s="6">
        <v>31805</v>
      </c>
      <c r="B442" s="7">
        <v>169720000000</v>
      </c>
    </row>
    <row r="443" spans="1:2">
      <c r="A443" s="6">
        <v>31774</v>
      </c>
      <c r="B443" s="7">
        <v>178870000000</v>
      </c>
    </row>
    <row r="444" spans="1:2">
      <c r="A444" s="6">
        <v>31744</v>
      </c>
      <c r="B444" s="7">
        <v>183550000000</v>
      </c>
    </row>
    <row r="445" spans="1:2">
      <c r="A445" s="6">
        <v>31713</v>
      </c>
      <c r="B445" s="7">
        <v>166870000000</v>
      </c>
    </row>
    <row r="446" spans="1:2">
      <c r="A446" s="6">
        <v>31683</v>
      </c>
      <c r="B446" s="7">
        <v>172240000000</v>
      </c>
    </row>
    <row r="447" spans="1:2">
      <c r="A447" s="6">
        <v>31652</v>
      </c>
      <c r="B447" s="7">
        <v>169720000000</v>
      </c>
    </row>
    <row r="448" spans="1:2">
      <c r="A448" s="6">
        <v>31621</v>
      </c>
      <c r="B448" s="7">
        <v>170090000000</v>
      </c>
    </row>
    <row r="449" spans="1:2">
      <c r="A449" s="6">
        <v>31591</v>
      </c>
      <c r="B449" s="7">
        <v>170150000000</v>
      </c>
    </row>
    <row r="450" spans="1:2">
      <c r="A450" s="6">
        <v>31560</v>
      </c>
      <c r="B450" s="7">
        <v>161840000000</v>
      </c>
    </row>
    <row r="451" spans="1:2">
      <c r="A451" s="6">
        <v>31530</v>
      </c>
      <c r="B451" s="7">
        <v>160350000000</v>
      </c>
    </row>
    <row r="452" spans="1:2">
      <c r="A452" s="6">
        <v>31499</v>
      </c>
      <c r="B452" s="7">
        <v>162610000000</v>
      </c>
    </row>
    <row r="453" spans="1:2">
      <c r="A453" s="6">
        <v>31471</v>
      </c>
      <c r="B453" s="7">
        <v>156130000000</v>
      </c>
    </row>
    <row r="454" spans="1:2">
      <c r="A454" s="6">
        <v>31440</v>
      </c>
      <c r="B454" s="7">
        <v>155690000000</v>
      </c>
    </row>
    <row r="455" spans="1:2">
      <c r="A455" s="6">
        <v>31409</v>
      </c>
      <c r="B455" s="7">
        <v>164430000000</v>
      </c>
    </row>
    <row r="456" spans="1:2">
      <c r="A456" s="6">
        <v>31379</v>
      </c>
      <c r="B456" s="7">
        <v>161430000000</v>
      </c>
    </row>
    <row r="457" spans="1:2">
      <c r="A457" s="6">
        <v>31348</v>
      </c>
      <c r="B457" s="7">
        <v>153210000000</v>
      </c>
    </row>
    <row r="458" spans="1:2">
      <c r="A458" s="6">
        <v>31318</v>
      </c>
      <c r="B458" s="7">
        <v>155230000000</v>
      </c>
    </row>
    <row r="459" spans="1:2">
      <c r="A459" s="6">
        <v>31287</v>
      </c>
      <c r="B459" s="7">
        <v>148580000000</v>
      </c>
    </row>
    <row r="460" spans="1:2">
      <c r="A460" s="6">
        <v>31256</v>
      </c>
      <c r="B460" s="7">
        <v>153490000000</v>
      </c>
    </row>
    <row r="461" spans="1:2">
      <c r="A461" s="6">
        <v>31226</v>
      </c>
      <c r="B461" s="7">
        <v>153400000000</v>
      </c>
    </row>
    <row r="462" spans="1:2">
      <c r="A462" s="6">
        <v>31195</v>
      </c>
      <c r="B462" s="7">
        <v>146340000000</v>
      </c>
    </row>
    <row r="463" spans="1:2">
      <c r="A463" s="6">
        <v>31165</v>
      </c>
      <c r="B463" s="7">
        <v>144410000000</v>
      </c>
    </row>
    <row r="464" spans="1:2">
      <c r="A464" s="6">
        <v>31134</v>
      </c>
      <c r="B464" s="7">
        <v>148300000000</v>
      </c>
    </row>
    <row r="465" spans="1:2">
      <c r="A465" s="6">
        <v>31106</v>
      </c>
      <c r="B465" s="7">
        <v>150530000000</v>
      </c>
    </row>
    <row r="466" spans="1:2">
      <c r="A466" s="6">
        <v>31075</v>
      </c>
      <c r="B466" s="7">
        <v>150050000000</v>
      </c>
    </row>
    <row r="467" spans="1:2">
      <c r="A467" s="6">
        <v>31044</v>
      </c>
      <c r="B467" s="7">
        <v>155220000000</v>
      </c>
    </row>
    <row r="468" spans="1:2">
      <c r="A468" s="6">
        <v>31014</v>
      </c>
      <c r="B468" s="7">
        <v>153180000000</v>
      </c>
    </row>
    <row r="469" spans="1:2">
      <c r="A469" s="6">
        <v>30983</v>
      </c>
      <c r="B469" s="7">
        <v>144550000000</v>
      </c>
    </row>
    <row r="470" spans="1:2">
      <c r="A470" s="6">
        <v>30953</v>
      </c>
      <c r="B470" s="7">
        <v>148710000000</v>
      </c>
    </row>
    <row r="471" spans="1:2">
      <c r="A471" s="6">
        <v>30922</v>
      </c>
      <c r="B471" s="7">
        <v>142530000000</v>
      </c>
    </row>
    <row r="472" spans="1:2">
      <c r="A472" s="6">
        <v>30891</v>
      </c>
      <c r="B472" s="7">
        <v>148570000000</v>
      </c>
    </row>
    <row r="473" spans="1:2">
      <c r="A473" s="6">
        <v>30861</v>
      </c>
      <c r="B473" s="7">
        <v>145070000000</v>
      </c>
    </row>
    <row r="474" spans="1:2">
      <c r="A474" s="6">
        <v>30830</v>
      </c>
      <c r="B474" s="7">
        <v>146230000000</v>
      </c>
    </row>
    <row r="475" spans="1:2">
      <c r="A475" s="6">
        <v>30800</v>
      </c>
      <c r="B475" s="7">
        <v>142080000000</v>
      </c>
    </row>
    <row r="476" spans="1:2">
      <c r="A476" s="6">
        <v>30769</v>
      </c>
      <c r="B476" s="7">
        <v>139130000000</v>
      </c>
    </row>
    <row r="477" spans="1:2">
      <c r="A477" s="6">
        <v>30740</v>
      </c>
      <c r="B477" s="7">
        <v>145080000000</v>
      </c>
    </row>
    <row r="478" spans="1:2">
      <c r="A478" s="6">
        <v>30709</v>
      </c>
      <c r="B478" s="7">
        <v>145580000000</v>
      </c>
    </row>
    <row r="479" spans="1:2">
      <c r="A479" s="6">
        <v>30678</v>
      </c>
      <c r="B479" s="7">
        <v>146440000000</v>
      </c>
    </row>
    <row r="480" spans="1:2">
      <c r="A480" s="6">
        <v>30648</v>
      </c>
      <c r="B480" s="7">
        <v>154480000000</v>
      </c>
    </row>
    <row r="481" spans="1:2">
      <c r="A481" s="6">
        <v>30617</v>
      </c>
      <c r="B481" s="7">
        <v>141790000000</v>
      </c>
    </row>
    <row r="482" spans="1:2">
      <c r="A482" s="6">
        <v>30587</v>
      </c>
      <c r="B482" s="7">
        <v>139790000000</v>
      </c>
    </row>
    <row r="483" spans="1:2">
      <c r="A483" s="6">
        <v>30556</v>
      </c>
      <c r="B483" s="7">
        <v>144640000000</v>
      </c>
    </row>
    <row r="484" spans="1:2">
      <c r="A484" s="6">
        <v>30525</v>
      </c>
      <c r="B484" s="7">
        <v>146070000000</v>
      </c>
    </row>
    <row r="485" spans="1:2">
      <c r="A485" s="6">
        <v>30495</v>
      </c>
      <c r="B485" s="7">
        <v>146390000000</v>
      </c>
    </row>
    <row r="486" spans="1:2">
      <c r="A486" s="6">
        <v>30464</v>
      </c>
      <c r="B486" s="7">
        <v>142780000000</v>
      </c>
    </row>
    <row r="487" spans="1:2">
      <c r="A487" s="6">
        <v>30434</v>
      </c>
      <c r="B487" s="7">
        <v>135850000000</v>
      </c>
    </row>
    <row r="488" spans="1:2">
      <c r="A488" s="6">
        <v>30403</v>
      </c>
      <c r="B488" s="7">
        <v>133910000000</v>
      </c>
    </row>
    <row r="489" spans="1:2">
      <c r="A489" s="6">
        <v>30375</v>
      </c>
      <c r="B489" s="7">
        <v>137710000000</v>
      </c>
    </row>
    <row r="490" spans="1:2">
      <c r="A490" s="6">
        <v>30344</v>
      </c>
      <c r="B490" s="7">
        <v>136300000000</v>
      </c>
    </row>
    <row r="491" spans="1:2">
      <c r="A491" s="6">
        <v>30313</v>
      </c>
      <c r="B491" s="7">
        <v>135140000000</v>
      </c>
    </row>
    <row r="492" spans="1:2">
      <c r="A492" s="6">
        <v>30283</v>
      </c>
      <c r="B492" s="7">
        <v>142600000000</v>
      </c>
    </row>
    <row r="493" spans="1:2">
      <c r="A493" s="6">
        <v>30252</v>
      </c>
      <c r="B493" s="7">
        <v>129030000000</v>
      </c>
    </row>
    <row r="494" spans="1:2">
      <c r="A494" s="6">
        <v>30222</v>
      </c>
      <c r="B494" s="7">
        <v>131740000000</v>
      </c>
    </row>
    <row r="495" spans="1:2">
      <c r="A495" s="6">
        <v>30191</v>
      </c>
      <c r="B495" s="7">
        <v>131590000000</v>
      </c>
    </row>
    <row r="496" spans="1:2">
      <c r="A496" s="6">
        <v>30160</v>
      </c>
      <c r="B496" s="7">
        <v>127330000000</v>
      </c>
    </row>
    <row r="497" spans="1:2">
      <c r="A497" s="6">
        <v>30130</v>
      </c>
      <c r="B497" s="7">
        <v>132580000000</v>
      </c>
    </row>
    <row r="498" spans="1:2">
      <c r="A498" s="6">
        <v>30099</v>
      </c>
      <c r="B498" s="7">
        <v>128590000000</v>
      </c>
    </row>
    <row r="499" spans="1:2">
      <c r="A499" s="6">
        <v>30069</v>
      </c>
      <c r="B499" s="7">
        <v>123040000000</v>
      </c>
    </row>
    <row r="500" spans="1:2">
      <c r="A500" s="6">
        <v>30038</v>
      </c>
      <c r="B500" s="7">
        <v>125700000000</v>
      </c>
    </row>
    <row r="501" spans="1:2">
      <c r="A501" s="6">
        <v>30010</v>
      </c>
      <c r="B501" s="7">
        <v>126080000000</v>
      </c>
    </row>
    <row r="502" spans="1:2">
      <c r="A502" s="6">
        <v>29979</v>
      </c>
      <c r="B502" s="7">
        <v>125810000000</v>
      </c>
    </row>
    <row r="503" spans="1:2">
      <c r="A503" s="6">
        <v>29948</v>
      </c>
      <c r="B503" s="7">
        <v>125940000000</v>
      </c>
    </row>
    <row r="504" spans="1:2">
      <c r="A504" s="6">
        <v>29918</v>
      </c>
      <c r="B504" s="7">
        <v>134570000000</v>
      </c>
    </row>
    <row r="505" spans="1:2">
      <c r="A505" s="6">
        <v>29887</v>
      </c>
      <c r="B505" s="7">
        <v>120650000000</v>
      </c>
    </row>
    <row r="506" spans="1:2">
      <c r="A506" s="6">
        <v>29857</v>
      </c>
      <c r="B506" s="7">
        <v>125250000000</v>
      </c>
    </row>
    <row r="507" spans="1:2">
      <c r="A507" s="6">
        <v>29826</v>
      </c>
      <c r="B507" s="7">
        <v>125910000000</v>
      </c>
    </row>
    <row r="508" spans="1:2">
      <c r="A508" s="6">
        <v>29795</v>
      </c>
      <c r="B508" s="7">
        <v>122780000000</v>
      </c>
    </row>
    <row r="509" spans="1:2">
      <c r="A509" s="6">
        <v>29765</v>
      </c>
      <c r="B509" s="7">
        <v>128800000000</v>
      </c>
    </row>
    <row r="510" spans="1:2">
      <c r="A510" s="6">
        <v>29734</v>
      </c>
      <c r="B510" s="7">
        <v>125210000000</v>
      </c>
    </row>
    <row r="511" spans="1:2">
      <c r="A511" s="6">
        <v>29704</v>
      </c>
      <c r="B511" s="7">
        <v>120300000000</v>
      </c>
    </row>
    <row r="512" spans="1:2">
      <c r="A512" s="6">
        <v>29673</v>
      </c>
      <c r="B512" s="7">
        <v>124270000000</v>
      </c>
    </row>
    <row r="513" spans="1:2">
      <c r="A513" s="6">
        <v>29645</v>
      </c>
      <c r="B513" s="7">
        <v>123250000000</v>
      </c>
    </row>
    <row r="514" spans="1:2">
      <c r="A514" s="6">
        <v>29615</v>
      </c>
      <c r="B514" s="7">
        <v>123200000000</v>
      </c>
    </row>
    <row r="515" spans="1:2">
      <c r="A515" s="6">
        <v>29584</v>
      </c>
      <c r="B515" s="7">
        <v>127590000000</v>
      </c>
    </row>
    <row r="516" spans="1:2">
      <c r="A516" s="6">
        <v>29554</v>
      </c>
      <c r="B516" s="7">
        <v>137200000000</v>
      </c>
    </row>
    <row r="517" spans="1:2">
      <c r="A517" s="6">
        <v>29523</v>
      </c>
      <c r="B517" s="7">
        <v>123020000000</v>
      </c>
    </row>
    <row r="518" spans="1:2">
      <c r="A518" s="6">
        <v>29493</v>
      </c>
      <c r="B518" s="7">
        <v>126780000000</v>
      </c>
    </row>
    <row r="519" spans="1:2">
      <c r="A519" s="6">
        <v>29462</v>
      </c>
      <c r="B519" s="7">
        <v>124670000000</v>
      </c>
    </row>
    <row r="520" spans="1:2">
      <c r="A520" s="6">
        <v>29431</v>
      </c>
      <c r="B520" s="7">
        <v>125590000000</v>
      </c>
    </row>
    <row r="521" spans="1:2">
      <c r="A521" s="6">
        <v>29401</v>
      </c>
      <c r="B521" s="7">
        <v>126470000000</v>
      </c>
    </row>
    <row r="522" spans="1:2">
      <c r="A522" s="6">
        <v>29370</v>
      </c>
      <c r="B522" s="7">
        <v>120310000000</v>
      </c>
    </row>
    <row r="523" spans="1:2">
      <c r="A523" s="6">
        <v>29340</v>
      </c>
      <c r="B523" s="7">
        <v>119350000000</v>
      </c>
    </row>
    <row r="524" spans="1:2">
      <c r="A524" s="6">
        <v>29309</v>
      </c>
      <c r="B524" s="7">
        <v>122080000000</v>
      </c>
    </row>
    <row r="525" spans="1:2">
      <c r="A525" s="6">
        <v>29280</v>
      </c>
      <c r="B525" s="7">
        <v>119000000000</v>
      </c>
    </row>
    <row r="526" spans="1:2">
      <c r="A526" s="6">
        <v>29251</v>
      </c>
      <c r="B526" s="7">
        <v>121050000000</v>
      </c>
    </row>
    <row r="527" spans="1:2">
      <c r="A527" s="6"/>
      <c r="B52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C314-D13E-644E-9DF0-A0084260D686}">
  <dimension ref="A1:D261"/>
  <sheetViews>
    <sheetView zoomScale="150" workbookViewId="0">
      <selection activeCell="A3" sqref="A3:A261"/>
    </sheetView>
  </sheetViews>
  <sheetFormatPr baseColWidth="10" defaultRowHeight="16"/>
  <cols>
    <col min="1" max="1" width="10.83203125" style="2"/>
    <col min="2" max="2" width="10.83203125" style="1"/>
    <col min="4" max="4" width="10.83203125" style="11"/>
  </cols>
  <sheetData>
    <row r="1" spans="1:3" ht="20" customHeight="1">
      <c r="A1" s="2" t="s">
        <v>15</v>
      </c>
    </row>
    <row r="2" spans="1:3">
      <c r="A2" t="s">
        <v>1</v>
      </c>
      <c r="B2" t="s">
        <v>14</v>
      </c>
    </row>
    <row r="3" spans="1:3">
      <c r="A3" s="3">
        <v>36219</v>
      </c>
      <c r="B3">
        <v>3</v>
      </c>
      <c r="C3" s="3"/>
    </row>
    <row r="4" spans="1:3">
      <c r="A4" s="3">
        <v>36250</v>
      </c>
      <c r="B4">
        <v>3</v>
      </c>
      <c r="C4" s="3"/>
    </row>
    <row r="5" spans="1:3">
      <c r="A5" s="3">
        <v>36280</v>
      </c>
      <c r="B5">
        <v>2.84</v>
      </c>
      <c r="C5" s="3"/>
    </row>
    <row r="6" spans="1:3">
      <c r="A6" s="3">
        <v>36311</v>
      </c>
      <c r="B6">
        <v>2.5</v>
      </c>
      <c r="C6" s="3"/>
    </row>
    <row r="7" spans="1:3">
      <c r="A7" s="3">
        <v>36341</v>
      </c>
      <c r="B7">
        <v>2.5</v>
      </c>
      <c r="C7" s="3"/>
    </row>
    <row r="8" spans="1:3">
      <c r="A8" s="3">
        <v>36372</v>
      </c>
      <c r="B8">
        <v>2.5</v>
      </c>
      <c r="C8" s="3"/>
    </row>
    <row r="9" spans="1:3">
      <c r="A9" s="3">
        <v>36403</v>
      </c>
      <c r="B9">
        <v>2.5</v>
      </c>
      <c r="C9" s="3"/>
    </row>
    <row r="10" spans="1:3">
      <c r="A10" s="3">
        <v>36433</v>
      </c>
      <c r="B10">
        <v>2.5</v>
      </c>
      <c r="C10" s="3"/>
    </row>
    <row r="11" spans="1:3">
      <c r="A11" s="3">
        <v>36464</v>
      </c>
      <c r="B11">
        <v>2.5</v>
      </c>
      <c r="C11" s="3"/>
    </row>
    <row r="12" spans="1:3">
      <c r="A12" s="3">
        <v>36494</v>
      </c>
      <c r="B12">
        <v>2.73</v>
      </c>
      <c r="C12" s="3"/>
    </row>
    <row r="13" spans="1:3">
      <c r="A13" s="3">
        <v>36525</v>
      </c>
      <c r="B13">
        <v>3</v>
      </c>
      <c r="C13" s="3"/>
    </row>
    <row r="14" spans="1:3">
      <c r="A14" s="3">
        <v>36556</v>
      </c>
      <c r="B14">
        <v>3</v>
      </c>
      <c r="C14" s="3"/>
    </row>
    <row r="15" spans="1:3">
      <c r="A15" s="3">
        <v>36585</v>
      </c>
      <c r="B15">
        <v>3.12</v>
      </c>
      <c r="C15" s="3"/>
    </row>
    <row r="16" spans="1:3">
      <c r="A16" s="3">
        <v>36616</v>
      </c>
      <c r="B16">
        <v>3.27</v>
      </c>
      <c r="C16" s="3"/>
    </row>
    <row r="17" spans="1:3">
      <c r="A17" s="3">
        <v>36646</v>
      </c>
      <c r="B17">
        <v>3.5</v>
      </c>
      <c r="C17" s="3"/>
    </row>
    <row r="18" spans="1:3">
      <c r="A18" s="3">
        <v>36677</v>
      </c>
      <c r="B18">
        <v>3.67</v>
      </c>
      <c r="C18" s="3"/>
    </row>
    <row r="19" spans="1:3">
      <c r="A19" s="3">
        <v>36707</v>
      </c>
      <c r="B19">
        <v>3.9</v>
      </c>
      <c r="C19" s="3"/>
    </row>
    <row r="20" spans="1:3">
      <c r="A20" s="3">
        <v>36738</v>
      </c>
      <c r="B20">
        <v>4.28</v>
      </c>
      <c r="C20" s="3"/>
    </row>
    <row r="21" spans="1:3">
      <c r="A21" s="3">
        <v>36769</v>
      </c>
      <c r="B21">
        <v>4.32</v>
      </c>
      <c r="C21" s="3"/>
    </row>
    <row r="22" spans="1:3">
      <c r="A22" s="3">
        <v>36799</v>
      </c>
      <c r="B22">
        <v>4.57</v>
      </c>
      <c r="C22" s="3"/>
    </row>
    <row r="23" spans="1:3">
      <c r="A23" s="3">
        <v>36830</v>
      </c>
      <c r="B23">
        <v>4.6900000000000004</v>
      </c>
      <c r="C23" s="3"/>
    </row>
    <row r="24" spans="1:3">
      <c r="A24" s="3">
        <v>36860</v>
      </c>
      <c r="B24">
        <v>4.8099999999999996</v>
      </c>
      <c r="C24" s="3"/>
    </row>
    <row r="25" spans="1:3">
      <c r="A25" s="3">
        <v>36891</v>
      </c>
      <c r="B25">
        <v>4.78</v>
      </c>
      <c r="C25" s="3"/>
    </row>
    <row r="26" spans="1:3">
      <c r="A26" s="3">
        <v>36922</v>
      </c>
      <c r="B26">
        <v>4.7699999999999996</v>
      </c>
      <c r="C26" s="3"/>
    </row>
    <row r="27" spans="1:3">
      <c r="A27" s="3">
        <v>36950</v>
      </c>
      <c r="B27">
        <v>4.76</v>
      </c>
      <c r="C27" s="3"/>
    </row>
    <row r="28" spans="1:3">
      <c r="A28" s="3">
        <v>36981</v>
      </c>
      <c r="B28">
        <v>4.7699999999999996</v>
      </c>
      <c r="C28" s="3"/>
    </row>
    <row r="29" spans="1:3">
      <c r="A29" s="3">
        <v>37011</v>
      </c>
      <c r="B29">
        <v>4.7699999999999996</v>
      </c>
      <c r="C29" s="3"/>
    </row>
    <row r="30" spans="1:3">
      <c r="A30" s="3">
        <v>37042</v>
      </c>
      <c r="B30">
        <v>4.71</v>
      </c>
      <c r="C30" s="3"/>
    </row>
    <row r="31" spans="1:3">
      <c r="A31" s="3">
        <v>37072</v>
      </c>
      <c r="B31">
        <v>4.5199999999999996</v>
      </c>
      <c r="C31" s="3"/>
    </row>
    <row r="32" spans="1:3">
      <c r="A32" s="3">
        <v>37103</v>
      </c>
      <c r="B32">
        <v>4.51</v>
      </c>
      <c r="C32" s="3"/>
    </row>
    <row r="33" spans="1:3">
      <c r="A33" s="3">
        <v>37134</v>
      </c>
      <c r="B33">
        <v>4.5</v>
      </c>
      <c r="C33" s="3"/>
    </row>
    <row r="34" spans="1:3">
      <c r="A34" s="3">
        <v>37164</v>
      </c>
      <c r="B34">
        <v>4.2699999999999996</v>
      </c>
      <c r="C34" s="3"/>
    </row>
    <row r="35" spans="1:3">
      <c r="A35" s="3">
        <v>37195</v>
      </c>
      <c r="B35">
        <v>3.76</v>
      </c>
      <c r="C35" s="3"/>
    </row>
    <row r="36" spans="1:3">
      <c r="A36" s="3">
        <v>37225</v>
      </c>
      <c r="B36">
        <v>3.62</v>
      </c>
      <c r="C36" s="3"/>
    </row>
    <row r="37" spans="1:3">
      <c r="A37" s="3">
        <v>37256</v>
      </c>
      <c r="B37">
        <v>3.3</v>
      </c>
      <c r="C37" s="3"/>
    </row>
    <row r="38" spans="1:3">
      <c r="A38" s="3">
        <v>37287</v>
      </c>
      <c r="B38">
        <v>3.34</v>
      </c>
      <c r="C38" s="3"/>
    </row>
    <row r="39" spans="1:3">
      <c r="A39" s="3">
        <v>37315</v>
      </c>
      <c r="B39">
        <v>3.3</v>
      </c>
      <c r="C39" s="3"/>
    </row>
    <row r="40" spans="1:3">
      <c r="A40" s="3">
        <v>37346</v>
      </c>
      <c r="B40">
        <v>3.28</v>
      </c>
      <c r="C40" s="3"/>
    </row>
    <row r="41" spans="1:3">
      <c r="A41" s="3">
        <v>37376</v>
      </c>
      <c r="B41">
        <v>3.3</v>
      </c>
      <c r="C41" s="3"/>
    </row>
    <row r="42" spans="1:3">
      <c r="A42" s="3">
        <v>37407</v>
      </c>
      <c r="B42">
        <v>3.3</v>
      </c>
      <c r="C42" s="3"/>
    </row>
    <row r="43" spans="1:3">
      <c r="A43" s="3">
        <v>37437</v>
      </c>
      <c r="B43">
        <v>3.33</v>
      </c>
      <c r="C43" s="3"/>
    </row>
    <row r="44" spans="1:3">
      <c r="A44" s="3">
        <v>37468</v>
      </c>
      <c r="B44">
        <v>3.32</v>
      </c>
      <c r="C44" s="3"/>
    </row>
    <row r="45" spans="1:3">
      <c r="A45" s="3">
        <v>37499</v>
      </c>
      <c r="B45">
        <v>3.29</v>
      </c>
      <c r="C45" s="3"/>
    </row>
    <row r="46" spans="1:3">
      <c r="A46" s="3">
        <v>37529</v>
      </c>
      <c r="B46">
        <v>3.28</v>
      </c>
      <c r="C46" s="3"/>
    </row>
    <row r="47" spans="1:3">
      <c r="A47" s="3">
        <v>37560</v>
      </c>
      <c r="B47">
        <v>3.28</v>
      </c>
      <c r="C47" s="3"/>
    </row>
    <row r="48" spans="1:3">
      <c r="A48" s="3">
        <v>37590</v>
      </c>
      <c r="B48">
        <v>3.28</v>
      </c>
      <c r="C48" s="3"/>
    </row>
    <row r="49" spans="1:3">
      <c r="A49" s="3">
        <v>37621</v>
      </c>
      <c r="B49">
        <v>3.06</v>
      </c>
      <c r="C49" s="3"/>
    </row>
    <row r="50" spans="1:3">
      <c r="A50" s="3">
        <v>37652</v>
      </c>
      <c r="B50">
        <v>2.87</v>
      </c>
      <c r="C50" s="3"/>
    </row>
    <row r="51" spans="1:3">
      <c r="A51" s="3">
        <v>37680</v>
      </c>
      <c r="B51">
        <v>2.78</v>
      </c>
      <c r="C51" s="3"/>
    </row>
    <row r="52" spans="1:3">
      <c r="A52" s="3">
        <v>37711</v>
      </c>
      <c r="B52">
        <v>2.67</v>
      </c>
      <c r="C52" s="3"/>
    </row>
    <row r="53" spans="1:3">
      <c r="A53" s="3">
        <v>37741</v>
      </c>
      <c r="B53">
        <v>2.5299999999999998</v>
      </c>
      <c r="C53" s="3"/>
    </row>
    <row r="54" spans="1:3">
      <c r="A54" s="3">
        <v>37772</v>
      </c>
      <c r="B54">
        <v>2.54</v>
      </c>
      <c r="C54" s="3"/>
    </row>
    <row r="55" spans="1:3">
      <c r="A55" s="3">
        <v>37802</v>
      </c>
      <c r="B55">
        <v>2.34</v>
      </c>
      <c r="C55" s="3"/>
    </row>
    <row r="56" spans="1:3">
      <c r="A56" s="3">
        <v>37833</v>
      </c>
      <c r="B56">
        <v>2.09</v>
      </c>
      <c r="C56" s="3"/>
    </row>
    <row r="57" spans="1:3">
      <c r="A57" s="3">
        <v>37864</v>
      </c>
      <c r="B57">
        <v>2.06</v>
      </c>
      <c r="C57" s="3"/>
    </row>
    <row r="58" spans="1:3">
      <c r="A58" s="3">
        <v>37894</v>
      </c>
      <c r="B58">
        <v>2.0699999999999998</v>
      </c>
      <c r="C58" s="3"/>
    </row>
    <row r="59" spans="1:3">
      <c r="A59" s="3">
        <v>37925</v>
      </c>
      <c r="B59">
        <v>2.0499999999999998</v>
      </c>
      <c r="C59" s="3"/>
    </row>
    <row r="60" spans="1:3">
      <c r="A60" s="3">
        <v>37955</v>
      </c>
      <c r="B60">
        <v>2.0299999999999998</v>
      </c>
      <c r="C60" s="3"/>
    </row>
    <row r="61" spans="1:3">
      <c r="A61" s="3">
        <v>37986</v>
      </c>
      <c r="B61">
        <v>2</v>
      </c>
      <c r="C61" s="3"/>
    </row>
    <row r="62" spans="1:3">
      <c r="A62" s="3">
        <v>38017</v>
      </c>
      <c r="B62">
        <v>2.02</v>
      </c>
      <c r="C62" s="3"/>
    </row>
    <row r="63" spans="1:3">
      <c r="A63" s="3">
        <v>38077</v>
      </c>
      <c r="B63">
        <v>2</v>
      </c>
      <c r="C63" s="3"/>
    </row>
    <row r="64" spans="1:3">
      <c r="A64" s="3">
        <v>38107</v>
      </c>
      <c r="B64">
        <v>2</v>
      </c>
      <c r="C64" s="3"/>
    </row>
    <row r="65" spans="1:3">
      <c r="A65" s="3">
        <v>38138</v>
      </c>
      <c r="B65">
        <v>2</v>
      </c>
      <c r="C65" s="3"/>
    </row>
    <row r="66" spans="1:3">
      <c r="A66" s="3">
        <v>38168</v>
      </c>
      <c r="B66">
        <v>2</v>
      </c>
      <c r="C66" s="3"/>
    </row>
    <row r="67" spans="1:3">
      <c r="A67" s="3">
        <v>38199</v>
      </c>
      <c r="B67">
        <v>2</v>
      </c>
      <c r="C67" s="3"/>
    </row>
    <row r="68" spans="1:3">
      <c r="A68" s="3">
        <v>38230</v>
      </c>
      <c r="B68">
        <v>2.0099999999999998</v>
      </c>
      <c r="C68" s="3"/>
    </row>
    <row r="69" spans="1:3">
      <c r="A69" s="3">
        <v>38260</v>
      </c>
      <c r="B69">
        <v>2.02</v>
      </c>
      <c r="C69" s="3"/>
    </row>
    <row r="70" spans="1:3">
      <c r="A70" s="3">
        <v>38291</v>
      </c>
      <c r="B70">
        <v>2.02</v>
      </c>
      <c r="C70" s="3"/>
    </row>
    <row r="71" spans="1:3">
      <c r="A71" s="3">
        <v>38321</v>
      </c>
      <c r="B71">
        <v>2.0299999999999998</v>
      </c>
      <c r="C71" s="3"/>
    </row>
    <row r="72" spans="1:3">
      <c r="A72" s="3">
        <v>38352</v>
      </c>
      <c r="B72">
        <v>2.0499999999999998</v>
      </c>
      <c r="C72" s="3"/>
    </row>
    <row r="73" spans="1:3">
      <c r="A73" s="3">
        <v>38383</v>
      </c>
      <c r="B73">
        <v>2.0699999999999998</v>
      </c>
      <c r="C73" s="3"/>
    </row>
    <row r="74" spans="1:3">
      <c r="A74" s="3">
        <v>38411</v>
      </c>
      <c r="B74">
        <v>2.06</v>
      </c>
      <c r="C74" s="3"/>
    </row>
    <row r="75" spans="1:3">
      <c r="A75" s="3">
        <v>38442</v>
      </c>
      <c r="B75">
        <v>2.0499999999999998</v>
      </c>
      <c r="C75" s="3"/>
    </row>
    <row r="76" spans="1:3">
      <c r="A76" s="3">
        <v>38472</v>
      </c>
      <c r="B76">
        <v>2.0499999999999998</v>
      </c>
      <c r="C76" s="3"/>
    </row>
    <row r="77" spans="1:3">
      <c r="A77" s="3">
        <v>38503</v>
      </c>
      <c r="B77">
        <v>2.0499999999999998</v>
      </c>
      <c r="C77" s="3"/>
    </row>
    <row r="78" spans="1:3">
      <c r="A78" s="3">
        <v>38533</v>
      </c>
      <c r="B78">
        <v>2.0499999999999998</v>
      </c>
      <c r="C78" s="3"/>
    </row>
    <row r="79" spans="1:3">
      <c r="A79" s="3">
        <v>38564</v>
      </c>
      <c r="B79">
        <v>2.0499999999999998</v>
      </c>
      <c r="C79" s="3"/>
    </row>
    <row r="80" spans="1:3">
      <c r="A80" s="3">
        <v>38595</v>
      </c>
      <c r="B80">
        <v>2.0499999999999998</v>
      </c>
      <c r="C80" s="3"/>
    </row>
    <row r="81" spans="1:3">
      <c r="A81" s="3">
        <v>38625</v>
      </c>
      <c r="B81">
        <v>2.0499999999999998</v>
      </c>
      <c r="C81" s="3"/>
    </row>
    <row r="82" spans="1:3">
      <c r="A82" s="3">
        <v>38656</v>
      </c>
      <c r="B82">
        <v>2.0499999999999998</v>
      </c>
      <c r="C82" s="3"/>
    </row>
    <row r="83" spans="1:3">
      <c r="A83" s="3">
        <v>38686</v>
      </c>
      <c r="B83">
        <v>2.06</v>
      </c>
      <c r="C83" s="3"/>
    </row>
    <row r="84" spans="1:3">
      <c r="A84" s="3">
        <v>38717</v>
      </c>
      <c r="B84">
        <v>2.0699999999999998</v>
      </c>
      <c r="C84" s="3"/>
    </row>
    <row r="85" spans="1:3">
      <c r="A85" s="3">
        <v>38748</v>
      </c>
      <c r="B85">
        <v>2.29</v>
      </c>
      <c r="C85" s="3"/>
    </row>
    <row r="86" spans="1:3">
      <c r="A86" s="3">
        <v>38776</v>
      </c>
      <c r="B86">
        <v>2.2999999999999998</v>
      </c>
      <c r="C86" s="3"/>
    </row>
    <row r="87" spans="1:3">
      <c r="A87" s="3">
        <v>38807</v>
      </c>
      <c r="B87">
        <v>2.31</v>
      </c>
      <c r="C87" s="3"/>
    </row>
    <row r="88" spans="1:3">
      <c r="A88" s="3">
        <v>38837</v>
      </c>
      <c r="B88">
        <v>2.56</v>
      </c>
      <c r="C88" s="3"/>
    </row>
    <row r="89" spans="1:3">
      <c r="A89" s="3">
        <v>38868</v>
      </c>
      <c r="B89">
        <v>2.58</v>
      </c>
      <c r="C89" s="3"/>
    </row>
    <row r="90" spans="1:3">
      <c r="A90" s="3">
        <v>38898</v>
      </c>
      <c r="B90">
        <v>2.57</v>
      </c>
      <c r="C90" s="3"/>
    </row>
    <row r="91" spans="1:3">
      <c r="A91" s="3">
        <v>38929</v>
      </c>
      <c r="B91">
        <v>2.81</v>
      </c>
      <c r="C91" s="3"/>
    </row>
    <row r="92" spans="1:3">
      <c r="A92" s="3">
        <v>38960</v>
      </c>
      <c r="B92">
        <v>2.8</v>
      </c>
      <c r="C92" s="3"/>
    </row>
    <row r="93" spans="1:3">
      <c r="A93" s="3">
        <v>38990</v>
      </c>
      <c r="B93">
        <v>3.04</v>
      </c>
      <c r="C93" s="3"/>
    </row>
    <row r="94" spans="1:3">
      <c r="A94" s="3">
        <v>39021</v>
      </c>
      <c r="B94">
        <v>3.03</v>
      </c>
      <c r="C94" s="3"/>
    </row>
    <row r="95" spans="1:3">
      <c r="A95" s="3">
        <v>39051</v>
      </c>
      <c r="B95">
        <v>3.3</v>
      </c>
      <c r="C95" s="3"/>
    </row>
    <row r="96" spans="1:3">
      <c r="A96" s="3">
        <v>39082</v>
      </c>
      <c r="B96">
        <v>3.3</v>
      </c>
      <c r="C96" s="3"/>
    </row>
    <row r="97" spans="1:3">
      <c r="A97" s="3">
        <v>39113</v>
      </c>
      <c r="B97">
        <v>3.57</v>
      </c>
      <c r="C97" s="3"/>
    </row>
    <row r="98" spans="1:3">
      <c r="A98" s="3">
        <v>39141</v>
      </c>
      <c r="B98">
        <v>3.55</v>
      </c>
      <c r="C98" s="3"/>
    </row>
    <row r="99" spans="1:3">
      <c r="A99" s="3">
        <v>39172</v>
      </c>
      <c r="B99">
        <v>3.55</v>
      </c>
      <c r="C99" s="3"/>
    </row>
    <row r="100" spans="1:3">
      <c r="A100" s="3">
        <v>39202</v>
      </c>
      <c r="B100">
        <v>3.81</v>
      </c>
      <c r="C100" s="3"/>
    </row>
    <row r="101" spans="1:3">
      <c r="A101" s="3">
        <v>39233</v>
      </c>
      <c r="B101">
        <v>3.82</v>
      </c>
      <c r="C101" s="3"/>
    </row>
    <row r="102" spans="1:3">
      <c r="A102" s="3">
        <v>39263</v>
      </c>
      <c r="B102">
        <v>3.8</v>
      </c>
      <c r="C102" s="3"/>
    </row>
    <row r="103" spans="1:3">
      <c r="A103" s="3">
        <v>39294</v>
      </c>
      <c r="B103">
        <v>4.0599999999999996</v>
      </c>
      <c r="C103" s="3"/>
    </row>
    <row r="104" spans="1:3">
      <c r="A104" s="3">
        <v>39325</v>
      </c>
      <c r="B104">
        <v>4.0599999999999996</v>
      </c>
      <c r="C104" s="3"/>
    </row>
    <row r="105" spans="1:3">
      <c r="A105" s="3">
        <v>39355</v>
      </c>
      <c r="B105">
        <v>4.09</v>
      </c>
      <c r="C105" s="3"/>
    </row>
    <row r="106" spans="1:3">
      <c r="A106" s="3">
        <v>39386</v>
      </c>
      <c r="B106">
        <v>4.18</v>
      </c>
      <c r="C106" s="3"/>
    </row>
    <row r="107" spans="1:3">
      <c r="A107" s="3">
        <v>39416</v>
      </c>
      <c r="B107">
        <v>4.12</v>
      </c>
      <c r="C107" s="3"/>
    </row>
    <row r="108" spans="1:3">
      <c r="A108" s="3">
        <v>39447</v>
      </c>
      <c r="B108">
        <v>4.17</v>
      </c>
      <c r="C108" s="3"/>
    </row>
    <row r="109" spans="1:3">
      <c r="A109" s="3">
        <v>39478</v>
      </c>
      <c r="B109">
        <v>4.2</v>
      </c>
      <c r="C109" s="3"/>
    </row>
    <row r="110" spans="1:3">
      <c r="A110" s="3">
        <v>39507</v>
      </c>
      <c r="B110">
        <v>4.17</v>
      </c>
      <c r="C110" s="3"/>
    </row>
    <row r="111" spans="1:3">
      <c r="A111" s="3">
        <v>39538</v>
      </c>
      <c r="B111">
        <v>4.0999999999999996</v>
      </c>
      <c r="C111" s="3"/>
    </row>
    <row r="112" spans="1:3">
      <c r="A112" s="3">
        <v>39568</v>
      </c>
      <c r="B112">
        <v>4.1900000000000004</v>
      </c>
      <c r="C112" s="3"/>
    </row>
    <row r="113" spans="1:3">
      <c r="A113" s="3">
        <v>39599</v>
      </c>
      <c r="B113">
        <v>4.24</v>
      </c>
      <c r="C113" s="3"/>
    </row>
    <row r="114" spans="1:3">
      <c r="A114" s="3">
        <v>39629</v>
      </c>
      <c r="B114">
        <v>4.17</v>
      </c>
      <c r="C114" s="3"/>
    </row>
    <row r="115" spans="1:3">
      <c r="A115" s="3">
        <v>39660</v>
      </c>
      <c r="B115">
        <v>4.0599999999999996</v>
      </c>
      <c r="C115" s="3"/>
    </row>
    <row r="116" spans="1:3">
      <c r="A116" s="3">
        <v>39691</v>
      </c>
      <c r="B116">
        <v>4.3499999999999996</v>
      </c>
      <c r="C116" s="3"/>
    </row>
    <row r="117" spans="1:3">
      <c r="A117" s="3">
        <v>39721</v>
      </c>
      <c r="B117">
        <v>4.38</v>
      </c>
      <c r="C117" s="3"/>
    </row>
    <row r="118" spans="1:3">
      <c r="A118" s="3">
        <v>39752</v>
      </c>
      <c r="B118">
        <v>4.58</v>
      </c>
      <c r="C118" s="3"/>
    </row>
    <row r="119" spans="1:3">
      <c r="A119" s="3">
        <v>39782</v>
      </c>
      <c r="B119">
        <v>3.94</v>
      </c>
      <c r="C119" s="3"/>
    </row>
    <row r="120" spans="1:3">
      <c r="A120" s="3">
        <v>39813</v>
      </c>
      <c r="B120">
        <v>3.25</v>
      </c>
      <c r="C120" s="3"/>
    </row>
    <row r="121" spans="1:3">
      <c r="A121" s="3">
        <v>39844</v>
      </c>
      <c r="B121">
        <v>2.5</v>
      </c>
      <c r="C121" s="3"/>
    </row>
    <row r="122" spans="1:3">
      <c r="A122" s="3">
        <v>39872</v>
      </c>
      <c r="B122">
        <v>2</v>
      </c>
      <c r="C122" s="3"/>
    </row>
    <row r="123" spans="1:3">
      <c r="A123" s="3">
        <v>39903</v>
      </c>
      <c r="B123">
        <v>2</v>
      </c>
      <c r="C123" s="3"/>
    </row>
    <row r="124" spans="1:3">
      <c r="A124" s="3">
        <v>39933</v>
      </c>
      <c r="B124">
        <v>1.5</v>
      </c>
      <c r="C124" s="3"/>
    </row>
    <row r="125" spans="1:3">
      <c r="A125" s="3">
        <v>39964</v>
      </c>
      <c r="B125">
        <v>1.25</v>
      </c>
      <c r="C125" s="3"/>
    </row>
    <row r="126" spans="1:3">
      <c r="A126" s="3">
        <v>39994</v>
      </c>
      <c r="B126">
        <v>1</v>
      </c>
      <c r="C126" s="3"/>
    </row>
    <row r="127" spans="1:3">
      <c r="A127" s="3">
        <v>40025</v>
      </c>
      <c r="B127">
        <v>1</v>
      </c>
      <c r="C127" s="3"/>
    </row>
    <row r="128" spans="1:3">
      <c r="A128" s="3">
        <v>40056</v>
      </c>
      <c r="B128">
        <v>1</v>
      </c>
      <c r="C128" s="3"/>
    </row>
    <row r="129" spans="1:3">
      <c r="A129" s="3">
        <v>40086</v>
      </c>
      <c r="B129">
        <v>1</v>
      </c>
      <c r="C129" s="3"/>
    </row>
    <row r="130" spans="1:3">
      <c r="A130" s="3">
        <v>40117</v>
      </c>
      <c r="B130">
        <v>1</v>
      </c>
      <c r="C130" s="3"/>
    </row>
    <row r="131" spans="1:3">
      <c r="A131" s="3">
        <v>40147</v>
      </c>
      <c r="B131">
        <v>1</v>
      </c>
      <c r="C131" s="3"/>
    </row>
    <row r="132" spans="1:3">
      <c r="A132" s="3">
        <v>40178</v>
      </c>
      <c r="B132">
        <v>1</v>
      </c>
      <c r="C132" s="3"/>
    </row>
    <row r="133" spans="1:3">
      <c r="A133" s="3">
        <v>40209</v>
      </c>
      <c r="B133">
        <v>1</v>
      </c>
      <c r="C133" s="3"/>
    </row>
    <row r="134" spans="1:3">
      <c r="A134" s="3">
        <v>40237</v>
      </c>
      <c r="B134">
        <v>1</v>
      </c>
      <c r="C134" s="3"/>
    </row>
    <row r="135" spans="1:3">
      <c r="A135" s="3">
        <v>40268</v>
      </c>
      <c r="B135">
        <v>1</v>
      </c>
      <c r="C135" s="3"/>
    </row>
    <row r="136" spans="1:3">
      <c r="A136" s="3">
        <v>40298</v>
      </c>
      <c r="B136">
        <v>1</v>
      </c>
      <c r="C136" s="3"/>
    </row>
    <row r="137" spans="1:3">
      <c r="A137" s="3">
        <v>40329</v>
      </c>
      <c r="B137">
        <v>1</v>
      </c>
      <c r="C137" s="3"/>
    </row>
    <row r="138" spans="1:3">
      <c r="A138" s="3">
        <v>40359</v>
      </c>
      <c r="B138">
        <v>1</v>
      </c>
      <c r="C138" s="3"/>
    </row>
    <row r="139" spans="1:3">
      <c r="A139" s="3">
        <v>40390</v>
      </c>
      <c r="B139">
        <v>1</v>
      </c>
      <c r="C139" s="3"/>
    </row>
    <row r="140" spans="1:3">
      <c r="A140" s="3">
        <v>40421</v>
      </c>
      <c r="B140">
        <v>1</v>
      </c>
      <c r="C140" s="3"/>
    </row>
    <row r="141" spans="1:3">
      <c r="A141" s="3">
        <v>40451</v>
      </c>
      <c r="B141">
        <v>1</v>
      </c>
      <c r="C141" s="3"/>
    </row>
    <row r="142" spans="1:3">
      <c r="A142" s="3">
        <v>40482</v>
      </c>
      <c r="B142">
        <v>1</v>
      </c>
      <c r="C142" s="3"/>
    </row>
    <row r="143" spans="1:3">
      <c r="A143" s="3">
        <v>40512</v>
      </c>
      <c r="B143">
        <v>1</v>
      </c>
      <c r="C143" s="3"/>
    </row>
    <row r="144" spans="1:3">
      <c r="A144" s="3">
        <v>40543</v>
      </c>
      <c r="B144">
        <v>1</v>
      </c>
      <c r="C144" s="3"/>
    </row>
    <row r="145" spans="1:3">
      <c r="A145" s="3">
        <v>40574</v>
      </c>
      <c r="B145">
        <v>1</v>
      </c>
      <c r="C145" s="3"/>
    </row>
    <row r="146" spans="1:3">
      <c r="A146" s="3">
        <v>40602</v>
      </c>
      <c r="B146">
        <v>1</v>
      </c>
      <c r="C146" s="3"/>
    </row>
    <row r="147" spans="1:3">
      <c r="A147" s="3">
        <v>40633</v>
      </c>
      <c r="B147">
        <v>1</v>
      </c>
      <c r="C147" s="3"/>
    </row>
    <row r="148" spans="1:3">
      <c r="A148" s="3">
        <v>40663</v>
      </c>
      <c r="B148">
        <v>1</v>
      </c>
      <c r="C148" s="3"/>
    </row>
    <row r="149" spans="1:3">
      <c r="A149" s="3">
        <v>40694</v>
      </c>
      <c r="B149">
        <v>1.25</v>
      </c>
      <c r="C149" s="3"/>
    </row>
    <row r="150" spans="1:3">
      <c r="A150" s="3">
        <v>40724</v>
      </c>
      <c r="B150">
        <v>1.25</v>
      </c>
      <c r="C150" s="3"/>
    </row>
    <row r="151" spans="1:3">
      <c r="A151" s="3">
        <v>40755</v>
      </c>
      <c r="B151">
        <v>1.25</v>
      </c>
      <c r="C151" s="3"/>
    </row>
    <row r="152" spans="1:3">
      <c r="A152" s="3">
        <v>40786</v>
      </c>
      <c r="B152">
        <v>1.5</v>
      </c>
      <c r="C152" s="3"/>
    </row>
    <row r="153" spans="1:3">
      <c r="A153" s="3">
        <v>40816</v>
      </c>
      <c r="B153">
        <v>1.5</v>
      </c>
      <c r="C153" s="3"/>
    </row>
    <row r="154" spans="1:3">
      <c r="A154" s="3">
        <v>40847</v>
      </c>
      <c r="B154">
        <v>1.5</v>
      </c>
      <c r="C154" s="3"/>
    </row>
    <row r="155" spans="1:3">
      <c r="A155" s="3">
        <v>40877</v>
      </c>
      <c r="B155">
        <v>1.5</v>
      </c>
      <c r="C155" s="3"/>
    </row>
    <row r="156" spans="1:3">
      <c r="A156" s="3">
        <v>40908</v>
      </c>
      <c r="B156">
        <v>1.25</v>
      </c>
      <c r="C156" s="3"/>
    </row>
    <row r="157" spans="1:3">
      <c r="A157" s="3">
        <v>40939</v>
      </c>
      <c r="B157">
        <v>1</v>
      </c>
      <c r="C157" s="3"/>
    </row>
    <row r="158" spans="1:3">
      <c r="A158" s="3">
        <v>40968</v>
      </c>
      <c r="B158">
        <v>1</v>
      </c>
      <c r="C158" s="3"/>
    </row>
    <row r="159" spans="1:3">
      <c r="A159" s="3">
        <v>40999</v>
      </c>
      <c r="B159">
        <v>1</v>
      </c>
      <c r="C159" s="3"/>
    </row>
    <row r="160" spans="1:3">
      <c r="A160" s="3">
        <v>41029</v>
      </c>
      <c r="B160">
        <v>1</v>
      </c>
      <c r="C160" s="3"/>
    </row>
    <row r="161" spans="1:3">
      <c r="A161" s="3">
        <v>41060</v>
      </c>
      <c r="B161">
        <v>1</v>
      </c>
      <c r="C161" s="3"/>
    </row>
    <row r="162" spans="1:3">
      <c r="A162" s="3">
        <v>41090</v>
      </c>
      <c r="B162">
        <v>1</v>
      </c>
      <c r="C162" s="3"/>
    </row>
    <row r="163" spans="1:3">
      <c r="A163" s="3">
        <v>41121</v>
      </c>
      <c r="B163">
        <v>1</v>
      </c>
      <c r="C163" s="3"/>
    </row>
    <row r="164" spans="1:3">
      <c r="A164" s="3">
        <v>41152</v>
      </c>
      <c r="B164">
        <v>0.75</v>
      </c>
      <c r="C164" s="3"/>
    </row>
    <row r="165" spans="1:3">
      <c r="A165" s="3">
        <v>41182</v>
      </c>
      <c r="B165">
        <v>0.75</v>
      </c>
      <c r="C165" s="3"/>
    </row>
    <row r="166" spans="1:3">
      <c r="A166" s="3">
        <v>41213</v>
      </c>
      <c r="B166">
        <v>0.75</v>
      </c>
      <c r="C166" s="3"/>
    </row>
    <row r="167" spans="1:3">
      <c r="A167" s="3">
        <v>41243</v>
      </c>
      <c r="B167">
        <v>0.75</v>
      </c>
      <c r="C167" s="3"/>
    </row>
    <row r="168" spans="1:3">
      <c r="A168" s="3">
        <v>41274</v>
      </c>
      <c r="B168">
        <v>0.75</v>
      </c>
      <c r="C168" s="3"/>
    </row>
    <row r="169" spans="1:3">
      <c r="A169" s="3">
        <v>41305</v>
      </c>
      <c r="B169">
        <v>0.75</v>
      </c>
      <c r="C169" s="3"/>
    </row>
    <row r="170" spans="1:3">
      <c r="A170" s="3">
        <v>41333</v>
      </c>
      <c r="B170">
        <v>0.75</v>
      </c>
      <c r="C170" s="3"/>
    </row>
    <row r="171" spans="1:3">
      <c r="A171" s="3">
        <v>41364</v>
      </c>
      <c r="B171">
        <v>0.75</v>
      </c>
      <c r="C171" s="3"/>
    </row>
    <row r="172" spans="1:3">
      <c r="A172" s="3">
        <v>41394</v>
      </c>
      <c r="B172">
        <v>0.75</v>
      </c>
      <c r="C172" s="3"/>
    </row>
    <row r="173" spans="1:3">
      <c r="A173" s="3">
        <v>41425</v>
      </c>
      <c r="B173">
        <v>0.75</v>
      </c>
      <c r="C173" s="3"/>
    </row>
    <row r="174" spans="1:3">
      <c r="A174" s="3">
        <v>41455</v>
      </c>
      <c r="B174">
        <v>0.5</v>
      </c>
      <c r="C174" s="3"/>
    </row>
    <row r="175" spans="1:3">
      <c r="A175" s="3">
        <v>41486</v>
      </c>
      <c r="B175">
        <v>0.5</v>
      </c>
      <c r="C175" s="3"/>
    </row>
    <row r="176" spans="1:3">
      <c r="A176" s="3">
        <v>41517</v>
      </c>
      <c r="B176">
        <v>0.5</v>
      </c>
      <c r="C176" s="3"/>
    </row>
    <row r="177" spans="1:3">
      <c r="A177" s="3">
        <v>41547</v>
      </c>
      <c r="B177">
        <v>0.5</v>
      </c>
      <c r="C177" s="3"/>
    </row>
    <row r="178" spans="1:3">
      <c r="A178" s="3">
        <v>41578</v>
      </c>
      <c r="B178">
        <v>0.5</v>
      </c>
      <c r="C178" s="3"/>
    </row>
    <row r="179" spans="1:3">
      <c r="A179" s="3">
        <v>41608</v>
      </c>
      <c r="B179">
        <v>0.5</v>
      </c>
      <c r="C179" s="3"/>
    </row>
    <row r="180" spans="1:3">
      <c r="A180" s="3">
        <v>41639</v>
      </c>
      <c r="B180">
        <v>0.25</v>
      </c>
      <c r="C180" s="3"/>
    </row>
    <row r="181" spans="1:3">
      <c r="A181" s="3">
        <v>41670</v>
      </c>
      <c r="B181">
        <v>0.25</v>
      </c>
      <c r="C181" s="3"/>
    </row>
    <row r="182" spans="1:3">
      <c r="A182" s="3">
        <v>41698</v>
      </c>
      <c r="B182">
        <v>0.25</v>
      </c>
      <c r="C182" s="3"/>
    </row>
    <row r="183" spans="1:3">
      <c r="A183" s="3">
        <v>41729</v>
      </c>
      <c r="B183">
        <v>0.25</v>
      </c>
      <c r="C183" s="3"/>
    </row>
    <row r="184" spans="1:3">
      <c r="A184" s="3">
        <v>41759</v>
      </c>
      <c r="B184">
        <v>0.25</v>
      </c>
      <c r="C184" s="3"/>
    </row>
    <row r="185" spans="1:3">
      <c r="A185" s="3">
        <v>41790</v>
      </c>
      <c r="B185">
        <v>0.25</v>
      </c>
      <c r="C185" s="3"/>
    </row>
    <row r="186" spans="1:3">
      <c r="A186" s="3">
        <v>41820</v>
      </c>
      <c r="B186">
        <v>0.25</v>
      </c>
      <c r="C186" s="3"/>
    </row>
    <row r="187" spans="1:3">
      <c r="A187" s="3">
        <v>41851</v>
      </c>
      <c r="B187">
        <v>0.15</v>
      </c>
      <c r="C187" s="3"/>
    </row>
    <row r="188" spans="1:3">
      <c r="A188" s="3">
        <v>41882</v>
      </c>
      <c r="B188">
        <v>0.15</v>
      </c>
      <c r="C188" s="3"/>
    </row>
    <row r="189" spans="1:3">
      <c r="A189" s="3">
        <v>41912</v>
      </c>
      <c r="B189">
        <v>0.15</v>
      </c>
      <c r="C189" s="3"/>
    </row>
    <row r="190" spans="1:3">
      <c r="A190" s="3">
        <v>41943</v>
      </c>
      <c r="B190">
        <v>0.05</v>
      </c>
      <c r="C190" s="3"/>
    </row>
    <row r="191" spans="1:3">
      <c r="A191" s="3">
        <v>41973</v>
      </c>
      <c r="B191">
        <v>0.05</v>
      </c>
      <c r="C191" s="3"/>
    </row>
    <row r="192" spans="1:3">
      <c r="A192" s="3">
        <v>42004</v>
      </c>
      <c r="B192">
        <v>0.05</v>
      </c>
      <c r="C192" s="3"/>
    </row>
    <row r="193" spans="1:3">
      <c r="A193" s="3">
        <v>42035</v>
      </c>
      <c r="B193">
        <v>0.05</v>
      </c>
      <c r="C193" s="3"/>
    </row>
    <row r="194" spans="1:3">
      <c r="A194" s="3">
        <v>42094</v>
      </c>
      <c r="B194">
        <v>0.05</v>
      </c>
      <c r="C194" s="3"/>
    </row>
    <row r="195" spans="1:3">
      <c r="A195" s="3">
        <v>42124</v>
      </c>
      <c r="B195">
        <v>0.05</v>
      </c>
      <c r="C195" s="3"/>
    </row>
    <row r="196" spans="1:3">
      <c r="A196" s="3">
        <v>42185</v>
      </c>
      <c r="B196">
        <v>0.05</v>
      </c>
      <c r="C196" s="3"/>
    </row>
    <row r="197" spans="1:3">
      <c r="A197" s="3">
        <v>42216</v>
      </c>
      <c r="B197">
        <v>0.05</v>
      </c>
      <c r="C197" s="3"/>
    </row>
    <row r="198" spans="1:3">
      <c r="A198" s="3">
        <v>42277</v>
      </c>
      <c r="B198">
        <v>0.05</v>
      </c>
      <c r="C198" s="3"/>
    </row>
    <row r="199" spans="1:3">
      <c r="A199" s="3">
        <v>42308</v>
      </c>
      <c r="B199">
        <v>0.05</v>
      </c>
      <c r="C199" s="3"/>
    </row>
    <row r="200" spans="1:3">
      <c r="A200" s="3">
        <v>42369</v>
      </c>
      <c r="B200">
        <v>0.05</v>
      </c>
      <c r="C200" s="3"/>
    </row>
    <row r="201" spans="1:3">
      <c r="A201" s="3">
        <v>42400</v>
      </c>
      <c r="B201">
        <v>0.05</v>
      </c>
      <c r="C201" s="3"/>
    </row>
    <row r="202" spans="1:3">
      <c r="A202" s="3">
        <v>42460</v>
      </c>
      <c r="B202">
        <v>0.05</v>
      </c>
      <c r="C202" s="3"/>
    </row>
    <row r="203" spans="1:3">
      <c r="A203" s="3">
        <v>42490</v>
      </c>
      <c r="B203">
        <v>0</v>
      </c>
      <c r="C203" s="3"/>
    </row>
    <row r="204" spans="1:3">
      <c r="A204" s="3">
        <v>42551</v>
      </c>
      <c r="B204">
        <v>0</v>
      </c>
      <c r="C204" s="3"/>
    </row>
    <row r="205" spans="1:3">
      <c r="A205" s="3">
        <v>42582</v>
      </c>
      <c r="B205">
        <v>0</v>
      </c>
      <c r="C205" s="3"/>
    </row>
    <row r="206" spans="1:3">
      <c r="A206" s="3">
        <v>42643</v>
      </c>
      <c r="B206">
        <v>0</v>
      </c>
      <c r="C206" s="3"/>
    </row>
    <row r="207" spans="1:3">
      <c r="A207" s="3">
        <v>42674</v>
      </c>
      <c r="B207">
        <v>0</v>
      </c>
      <c r="C207" s="3"/>
    </row>
    <row r="208" spans="1:3">
      <c r="A208" s="3">
        <v>42735</v>
      </c>
      <c r="B208">
        <v>0</v>
      </c>
      <c r="C208" s="3"/>
    </row>
    <row r="209" spans="1:3">
      <c r="A209" s="3">
        <v>42766</v>
      </c>
      <c r="B209">
        <v>0</v>
      </c>
      <c r="C209" s="3"/>
    </row>
    <row r="210" spans="1:3">
      <c r="A210" s="3">
        <v>42825</v>
      </c>
      <c r="B210">
        <v>0</v>
      </c>
      <c r="C210" s="3"/>
    </row>
    <row r="211" spans="1:3">
      <c r="A211" s="3">
        <v>42886</v>
      </c>
      <c r="B211">
        <v>0</v>
      </c>
      <c r="C211" s="3"/>
    </row>
    <row r="212" spans="1:3">
      <c r="A212" s="3">
        <v>42916</v>
      </c>
      <c r="B212">
        <v>0</v>
      </c>
      <c r="C212" s="3"/>
    </row>
    <row r="213" spans="1:3">
      <c r="A213" s="3">
        <v>42947</v>
      </c>
      <c r="B213">
        <v>0</v>
      </c>
      <c r="C213" s="3"/>
    </row>
    <row r="214" spans="1:3">
      <c r="A214" s="3">
        <v>43008</v>
      </c>
      <c r="B214">
        <v>0</v>
      </c>
      <c r="C214" s="3"/>
    </row>
    <row r="215" spans="1:3">
      <c r="A215" s="3">
        <v>43039</v>
      </c>
      <c r="B215">
        <v>0</v>
      </c>
      <c r="C215" s="3"/>
    </row>
    <row r="216" spans="1:3">
      <c r="A216" s="3">
        <v>43100</v>
      </c>
      <c r="B216">
        <v>0</v>
      </c>
      <c r="C216" s="3"/>
    </row>
    <row r="217" spans="1:3">
      <c r="A217" s="3">
        <v>43131</v>
      </c>
      <c r="B217">
        <v>0</v>
      </c>
      <c r="C217" s="3"/>
    </row>
    <row r="218" spans="1:3">
      <c r="A218" s="3">
        <v>43190</v>
      </c>
      <c r="B218">
        <v>0</v>
      </c>
      <c r="C218" s="3"/>
    </row>
    <row r="219" spans="1:3">
      <c r="A219" s="3">
        <v>43251</v>
      </c>
      <c r="B219">
        <v>0</v>
      </c>
      <c r="C219" s="3"/>
    </row>
    <row r="220" spans="1:3">
      <c r="A220" s="3">
        <v>43281</v>
      </c>
      <c r="B220">
        <v>0</v>
      </c>
      <c r="C220" s="3"/>
    </row>
    <row r="221" spans="1:3">
      <c r="A221" s="3">
        <v>43312</v>
      </c>
      <c r="B221">
        <v>0</v>
      </c>
      <c r="C221" s="3"/>
    </row>
    <row r="222" spans="1:3">
      <c r="A222" s="3">
        <v>43373</v>
      </c>
      <c r="B222">
        <v>0</v>
      </c>
      <c r="C222" s="3"/>
    </row>
    <row r="223" spans="1:3">
      <c r="A223" s="3">
        <v>43404</v>
      </c>
      <c r="B223">
        <v>0</v>
      </c>
      <c r="C223" s="3"/>
    </row>
    <row r="224" spans="1:3">
      <c r="A224" s="3">
        <v>43465</v>
      </c>
      <c r="B224">
        <v>0</v>
      </c>
      <c r="C224" s="3"/>
    </row>
    <row r="225" spans="1:3">
      <c r="A225" s="3">
        <v>43496</v>
      </c>
      <c r="B225">
        <v>0</v>
      </c>
      <c r="C225" s="3"/>
    </row>
    <row r="226" spans="1:3">
      <c r="A226" s="3">
        <v>43555</v>
      </c>
      <c r="B226">
        <v>0</v>
      </c>
      <c r="C226" s="3"/>
    </row>
    <row r="227" spans="1:3">
      <c r="A227" s="3">
        <v>43585</v>
      </c>
      <c r="B227">
        <v>0</v>
      </c>
      <c r="C227" s="3"/>
    </row>
    <row r="228" spans="1:3">
      <c r="A228" s="3">
        <v>43646</v>
      </c>
      <c r="B228">
        <v>0</v>
      </c>
      <c r="C228" s="3"/>
    </row>
    <row r="229" spans="1:3">
      <c r="A229" s="3">
        <v>43677</v>
      </c>
      <c r="B229">
        <v>0</v>
      </c>
      <c r="C229" s="3"/>
    </row>
    <row r="230" spans="1:3">
      <c r="A230" s="3">
        <v>43738</v>
      </c>
      <c r="B230">
        <v>0</v>
      </c>
      <c r="C230" s="3"/>
    </row>
    <row r="231" spans="1:3">
      <c r="A231" s="3">
        <v>43769</v>
      </c>
      <c r="B231">
        <v>0</v>
      </c>
      <c r="C231" s="3"/>
    </row>
    <row r="232" spans="1:3">
      <c r="A232" s="3">
        <v>43830</v>
      </c>
      <c r="B232">
        <v>0</v>
      </c>
      <c r="C232" s="3"/>
    </row>
    <row r="233" spans="1:3">
      <c r="A233" s="3">
        <v>43861</v>
      </c>
      <c r="B233">
        <v>0</v>
      </c>
      <c r="C233" s="3"/>
    </row>
    <row r="234" spans="1:3">
      <c r="A234" s="3">
        <v>43921</v>
      </c>
      <c r="B234">
        <v>0</v>
      </c>
      <c r="C234" s="3"/>
    </row>
    <row r="235" spans="1:3">
      <c r="A235" s="3">
        <v>43982</v>
      </c>
      <c r="B235">
        <v>0</v>
      </c>
      <c r="C235" s="3"/>
    </row>
    <row r="236" spans="1:3">
      <c r="A236" s="3">
        <v>44012</v>
      </c>
      <c r="B236">
        <v>0</v>
      </c>
      <c r="C236" s="3"/>
    </row>
    <row r="237" spans="1:3">
      <c r="A237" s="3">
        <v>44043</v>
      </c>
      <c r="B237">
        <v>0</v>
      </c>
      <c r="C237" s="3"/>
    </row>
    <row r="238" spans="1:3">
      <c r="A238" s="3">
        <v>44104</v>
      </c>
      <c r="B238">
        <v>0</v>
      </c>
      <c r="C238" s="3"/>
    </row>
    <row r="239" spans="1:3">
      <c r="A239" s="3">
        <v>44165</v>
      </c>
      <c r="B239">
        <v>0</v>
      </c>
      <c r="C239" s="3"/>
    </row>
    <row r="240" spans="1:3">
      <c r="A240" s="3">
        <v>44196</v>
      </c>
      <c r="B240">
        <v>0</v>
      </c>
      <c r="C240" s="3"/>
    </row>
    <row r="241" spans="1:3">
      <c r="A241" s="3">
        <v>44227</v>
      </c>
      <c r="B241">
        <v>0</v>
      </c>
      <c r="C241" s="3"/>
    </row>
    <row r="242" spans="1:3">
      <c r="A242" s="3">
        <v>44286</v>
      </c>
      <c r="B242">
        <v>0</v>
      </c>
      <c r="C242" s="3"/>
    </row>
    <row r="243" spans="1:3">
      <c r="A243" s="3">
        <v>44316</v>
      </c>
      <c r="B243">
        <v>0</v>
      </c>
      <c r="C243" s="3"/>
    </row>
    <row r="244" spans="1:3">
      <c r="A244" s="3">
        <v>44377</v>
      </c>
      <c r="B244">
        <v>0</v>
      </c>
      <c r="C244" s="3"/>
    </row>
    <row r="245" spans="1:3">
      <c r="A245" s="3">
        <v>44408</v>
      </c>
      <c r="B245">
        <v>0</v>
      </c>
      <c r="C245" s="3"/>
    </row>
    <row r="246" spans="1:3">
      <c r="A246" s="3">
        <v>44469</v>
      </c>
      <c r="B246">
        <v>0</v>
      </c>
      <c r="C246" s="3"/>
    </row>
    <row r="247" spans="1:3">
      <c r="A247" s="3">
        <v>44530</v>
      </c>
      <c r="B247">
        <v>0</v>
      </c>
      <c r="C247" s="3"/>
    </row>
    <row r="248" spans="1:3">
      <c r="A248" s="3">
        <v>44561</v>
      </c>
      <c r="B248">
        <v>0</v>
      </c>
      <c r="C248" s="3"/>
    </row>
    <row r="249" spans="1:3">
      <c r="A249" s="3">
        <v>44620</v>
      </c>
      <c r="B249">
        <v>0</v>
      </c>
      <c r="C249" s="3"/>
    </row>
    <row r="250" spans="1:3">
      <c r="A250" s="3">
        <v>44651</v>
      </c>
      <c r="B250">
        <v>0</v>
      </c>
      <c r="C250" s="3"/>
    </row>
    <row r="251" spans="1:3">
      <c r="A251" s="3">
        <v>44742</v>
      </c>
      <c r="B251">
        <v>0</v>
      </c>
      <c r="C251" s="3"/>
    </row>
    <row r="252" spans="1:3">
      <c r="A252" s="3">
        <v>44773</v>
      </c>
      <c r="B252">
        <v>0</v>
      </c>
      <c r="C252" s="3"/>
    </row>
    <row r="253" spans="1:3">
      <c r="A253" s="3">
        <v>44834</v>
      </c>
      <c r="B253">
        <v>0.5</v>
      </c>
      <c r="C253" s="3"/>
    </row>
    <row r="254" spans="1:3">
      <c r="A254" s="3">
        <v>44895</v>
      </c>
      <c r="B254">
        <v>1.25</v>
      </c>
      <c r="C254" s="3"/>
    </row>
    <row r="255" spans="1:3">
      <c r="A255" s="3">
        <v>44926</v>
      </c>
      <c r="B255">
        <v>2</v>
      </c>
      <c r="C255" s="3"/>
    </row>
    <row r="256" spans="1:3">
      <c r="A256" s="3">
        <v>44985</v>
      </c>
      <c r="B256">
        <v>2</v>
      </c>
      <c r="C256" s="3"/>
    </row>
    <row r="257" spans="1:3">
      <c r="A257" s="3">
        <v>45016</v>
      </c>
      <c r="B257">
        <v>2.5</v>
      </c>
      <c r="C257" s="3"/>
    </row>
    <row r="258" spans="1:3">
      <c r="A258" s="3">
        <v>45077</v>
      </c>
      <c r="B258">
        <v>3</v>
      </c>
      <c r="C258" s="3"/>
    </row>
    <row r="259" spans="1:3">
      <c r="A259" s="3">
        <v>45107</v>
      </c>
      <c r="B259">
        <v>3.25</v>
      </c>
      <c r="C259" s="3"/>
    </row>
    <row r="260" spans="1:3">
      <c r="A260" s="3">
        <v>45169</v>
      </c>
      <c r="B260">
        <v>3.5</v>
      </c>
      <c r="C260" s="3"/>
    </row>
    <row r="261" spans="1:3">
      <c r="A261" s="3">
        <v>45199</v>
      </c>
      <c r="B261">
        <v>3.75</v>
      </c>
      <c r="C26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8AE2-95B8-F249-86EE-632D3E01019A}">
  <dimension ref="A1:L84"/>
  <sheetViews>
    <sheetView tabSelected="1" workbookViewId="0">
      <selection activeCell="L1" sqref="L1:N1048576"/>
    </sheetView>
  </sheetViews>
  <sheetFormatPr baseColWidth="10" defaultRowHeight="16"/>
  <cols>
    <col min="2" max="2" width="19.83203125" bestFit="1" customWidth="1"/>
    <col min="3" max="3" width="16.33203125" bestFit="1" customWidth="1"/>
    <col min="4" max="5" width="16.33203125" customWidth="1"/>
    <col min="6" max="6" width="12.1640625" bestFit="1" customWidth="1"/>
    <col min="12" max="12" width="10.83203125" style="3"/>
  </cols>
  <sheetData>
    <row r="1" spans="1:9">
      <c r="A1" t="s">
        <v>1</v>
      </c>
      <c r="B1" t="s">
        <v>21</v>
      </c>
      <c r="C1" t="s">
        <v>16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t="s">
        <v>20</v>
      </c>
    </row>
    <row r="2" spans="1:9">
      <c r="A2" s="3">
        <v>37712</v>
      </c>
      <c r="B2">
        <v>4.2699999999999996</v>
      </c>
      <c r="C2">
        <v>1273151000000</v>
      </c>
      <c r="D2">
        <v>83.372007708355397</v>
      </c>
      <c r="E2">
        <v>7.8947368421047326E-3</v>
      </c>
      <c r="F2">
        <f>C2/D2*100</f>
        <v>1527072497106.7322</v>
      </c>
      <c r="G2">
        <f>(1+B2/100)/(1+E2)</f>
        <v>1.0345326370757186</v>
      </c>
      <c r="H2">
        <f>LOG(F2)</f>
        <v>12.183859655488657</v>
      </c>
      <c r="I2">
        <f>LOG(G2)</f>
        <v>1.4744196189097902E-2</v>
      </c>
    </row>
    <row r="3" spans="1:9">
      <c r="A3" s="3">
        <v>37803</v>
      </c>
      <c r="B3">
        <v>3.64</v>
      </c>
      <c r="C3">
        <v>1267050000000</v>
      </c>
      <c r="D3">
        <v>83.651883899841906</v>
      </c>
      <c r="E3">
        <v>1.0518407212622316E-2</v>
      </c>
      <c r="F3">
        <f t="shared" ref="F3:F66" si="0">C3/D3*100</f>
        <v>1514670012114.8074</v>
      </c>
      <c r="G3">
        <f t="shared" ref="G3:G66" si="1">(1+B3/100)/(1+E3)</f>
        <v>1.02561219330855</v>
      </c>
      <c r="H3">
        <f t="shared" ref="H3:H66" si="2">LOG(F3)</f>
        <v>12.180318027209573</v>
      </c>
      <c r="I3">
        <f t="shared" ref="I3:I66" si="3">LOG(G3)</f>
        <v>1.0983175450035472E-2</v>
      </c>
    </row>
    <row r="4" spans="1:9">
      <c r="A4" s="3">
        <v>37895</v>
      </c>
      <c r="B4">
        <v>3.69</v>
      </c>
      <c r="C4">
        <v>1262110000000</v>
      </c>
      <c r="D4">
        <v>83.682981254451505</v>
      </c>
      <c r="E4">
        <v>1.1654135338345917E-2</v>
      </c>
      <c r="F4">
        <f t="shared" si="0"/>
        <v>1508203915635.3101</v>
      </c>
      <c r="G4">
        <f t="shared" si="1"/>
        <v>1.0249550353028614</v>
      </c>
      <c r="H4">
        <f t="shared" si="2"/>
        <v>12.178460063979452</v>
      </c>
      <c r="I4">
        <f t="shared" si="3"/>
        <v>1.0704813344762708E-2</v>
      </c>
    </row>
    <row r="5" spans="1:9">
      <c r="A5" s="3">
        <v>37987</v>
      </c>
      <c r="B5">
        <v>3.77</v>
      </c>
      <c r="C5">
        <v>1252236000000</v>
      </c>
      <c r="D5">
        <v>84.273830992033993</v>
      </c>
      <c r="E5">
        <v>9.6870342771984141E-3</v>
      </c>
      <c r="F5">
        <f t="shared" si="0"/>
        <v>1485913225089.2546</v>
      </c>
      <c r="G5">
        <f t="shared" si="1"/>
        <v>1.0277442066420663</v>
      </c>
      <c r="H5">
        <f t="shared" si="2"/>
        <v>12.171993448075108</v>
      </c>
      <c r="I5">
        <f t="shared" si="3"/>
        <v>1.1885037356572597E-2</v>
      </c>
    </row>
    <row r="6" spans="1:9">
      <c r="A6" s="3">
        <v>38078</v>
      </c>
      <c r="B6">
        <v>3.66</v>
      </c>
      <c r="C6">
        <v>1242118000000</v>
      </c>
      <c r="D6">
        <v>84.926875438835793</v>
      </c>
      <c r="E6">
        <v>1.8649757553152568E-2</v>
      </c>
      <c r="F6">
        <f t="shared" si="0"/>
        <v>1462573529971.1709</v>
      </c>
      <c r="G6">
        <f t="shared" si="1"/>
        <v>1.0176216038081281</v>
      </c>
      <c r="H6">
        <f t="shared" si="2"/>
        <v>12.165117709187037</v>
      </c>
      <c r="I6">
        <f t="shared" si="3"/>
        <v>7.5863183466582775E-3</v>
      </c>
    </row>
    <row r="7" spans="1:9">
      <c r="A7" s="3">
        <v>38169</v>
      </c>
      <c r="B7">
        <v>3.73</v>
      </c>
      <c r="C7">
        <v>1235158000000</v>
      </c>
      <c r="D7">
        <v>85.175654275712603</v>
      </c>
      <c r="E7">
        <v>1.8215613382899232E-2</v>
      </c>
      <c r="F7">
        <f t="shared" si="0"/>
        <v>1450130334193.6274</v>
      </c>
      <c r="G7">
        <f t="shared" si="1"/>
        <v>1.0187429718875507</v>
      </c>
      <c r="H7">
        <f t="shared" si="2"/>
        <v>12.161407037322789</v>
      </c>
      <c r="I7">
        <f t="shared" si="3"/>
        <v>8.0646256440002236E-3</v>
      </c>
    </row>
    <row r="8" spans="1:9">
      <c r="A8" s="3">
        <v>38261</v>
      </c>
      <c r="B8">
        <v>3.7</v>
      </c>
      <c r="C8">
        <v>1226603000000</v>
      </c>
      <c r="D8">
        <v>85.362238403370199</v>
      </c>
      <c r="E8">
        <v>2.0066889632106344E-2</v>
      </c>
      <c r="F8">
        <f t="shared" si="0"/>
        <v>1436938654541.6226</v>
      </c>
      <c r="G8">
        <f t="shared" si="1"/>
        <v>1.0166000000000006</v>
      </c>
      <c r="H8">
        <f t="shared" si="2"/>
        <v>12.157438227728692</v>
      </c>
      <c r="I8">
        <f t="shared" si="3"/>
        <v>7.1501053666850342E-3</v>
      </c>
    </row>
    <row r="9" spans="1:9">
      <c r="A9" s="3">
        <v>38353</v>
      </c>
      <c r="B9">
        <v>3.71</v>
      </c>
      <c r="C9">
        <v>1211635000000</v>
      </c>
      <c r="D9">
        <v>85.642114594856693</v>
      </c>
      <c r="E9">
        <v>1.6236162361623618E-2</v>
      </c>
      <c r="F9">
        <f t="shared" si="0"/>
        <v>1414765394025.8567</v>
      </c>
      <c r="G9">
        <f t="shared" si="1"/>
        <v>1.0205305010893246</v>
      </c>
      <c r="H9">
        <f t="shared" si="2"/>
        <v>12.15068442818016</v>
      </c>
      <c r="I9">
        <f t="shared" si="3"/>
        <v>8.8259892155701063E-3</v>
      </c>
    </row>
    <row r="10" spans="1:9">
      <c r="A10" s="3">
        <v>38443</v>
      </c>
      <c r="B10">
        <v>3.54</v>
      </c>
      <c r="C10">
        <v>1209670000000</v>
      </c>
      <c r="D10">
        <v>85.9841854955624</v>
      </c>
      <c r="E10">
        <v>1.2449652142072276E-2</v>
      </c>
      <c r="F10">
        <f t="shared" si="0"/>
        <v>1406851728638.4373</v>
      </c>
      <c r="G10">
        <f t="shared" si="1"/>
        <v>1.0226681374321884</v>
      </c>
      <c r="H10">
        <f t="shared" si="2"/>
        <v>12.148248328545394</v>
      </c>
      <c r="I10">
        <f t="shared" si="3"/>
        <v>9.7347251448535628E-3</v>
      </c>
    </row>
    <row r="11" spans="1:9">
      <c r="A11" s="3">
        <v>38534</v>
      </c>
      <c r="B11">
        <v>3.46</v>
      </c>
      <c r="C11">
        <v>1210773000000</v>
      </c>
      <c r="D11">
        <v>86.575035233144902</v>
      </c>
      <c r="E11">
        <v>1.6429353778751432E-2</v>
      </c>
      <c r="F11">
        <f t="shared" si="0"/>
        <v>1398524409189.5679</v>
      </c>
      <c r="G11">
        <f t="shared" si="1"/>
        <v>1.0178769396551723</v>
      </c>
      <c r="H11">
        <f t="shared" si="2"/>
        <v>12.145670050746034</v>
      </c>
      <c r="I11">
        <f t="shared" si="3"/>
        <v>7.6952753885006133E-3</v>
      </c>
    </row>
    <row r="12" spans="1:9">
      <c r="A12" s="3">
        <v>38626</v>
      </c>
      <c r="B12">
        <v>3.5</v>
      </c>
      <c r="C12">
        <v>1217923000000</v>
      </c>
      <c r="D12">
        <v>86.792716715412197</v>
      </c>
      <c r="E12">
        <v>1.6757741347906308E-2</v>
      </c>
      <c r="F12">
        <f t="shared" si="0"/>
        <v>1403254842216.1875</v>
      </c>
      <c r="G12">
        <f t="shared" si="1"/>
        <v>1.0179415979935496</v>
      </c>
      <c r="H12">
        <f t="shared" si="2"/>
        <v>12.14713654951572</v>
      </c>
      <c r="I12">
        <f t="shared" si="3"/>
        <v>7.7228620904157353E-3</v>
      </c>
    </row>
    <row r="13" spans="1:9">
      <c r="A13" s="3">
        <v>38718</v>
      </c>
      <c r="B13">
        <v>3.73</v>
      </c>
      <c r="C13">
        <v>1199662000000</v>
      </c>
      <c r="D13">
        <v>87.103690261508206</v>
      </c>
      <c r="E13">
        <v>1.7066085693536737E-2</v>
      </c>
      <c r="F13">
        <f t="shared" si="0"/>
        <v>1377280338408.5093</v>
      </c>
      <c r="G13">
        <f t="shared" si="1"/>
        <v>1.0198943948589789</v>
      </c>
      <c r="H13">
        <f t="shared" si="2"/>
        <v>12.13902234768779</v>
      </c>
      <c r="I13">
        <f t="shared" si="3"/>
        <v>8.5552049928900777E-3</v>
      </c>
    </row>
    <row r="14" spans="1:9">
      <c r="A14" s="3">
        <v>38808</v>
      </c>
      <c r="B14">
        <v>3.98</v>
      </c>
      <c r="C14">
        <v>1229651000000</v>
      </c>
      <c r="D14">
        <v>87.570150580652296</v>
      </c>
      <c r="E14">
        <v>1.8444846292946959E-2</v>
      </c>
      <c r="F14">
        <f t="shared" si="0"/>
        <v>1404189660342.6401</v>
      </c>
      <c r="G14">
        <f t="shared" si="1"/>
        <v>1.0209683948863644</v>
      </c>
      <c r="H14">
        <f t="shared" si="2"/>
        <v>12.147425770811839</v>
      </c>
      <c r="I14">
        <f t="shared" si="3"/>
        <v>9.0122982682034076E-3</v>
      </c>
    </row>
    <row r="15" spans="1:9">
      <c r="A15" s="3">
        <v>38899</v>
      </c>
      <c r="B15">
        <v>4.21</v>
      </c>
      <c r="C15">
        <v>1232870000000</v>
      </c>
      <c r="D15">
        <v>87.850026772138804</v>
      </c>
      <c r="E15">
        <v>1.4727011494253262E-2</v>
      </c>
      <c r="F15">
        <f t="shared" si="0"/>
        <v>1403380334985.8496</v>
      </c>
      <c r="G15">
        <f t="shared" si="1"/>
        <v>1.0269757168141589</v>
      </c>
      <c r="H15">
        <f t="shared" si="2"/>
        <v>12.147175386638452</v>
      </c>
      <c r="I15">
        <f t="shared" si="3"/>
        <v>1.1560174679755965E-2</v>
      </c>
    </row>
    <row r="16" spans="1:9">
      <c r="A16" s="3">
        <v>38991</v>
      </c>
      <c r="B16">
        <v>4.47</v>
      </c>
      <c r="C16">
        <v>1241523000000</v>
      </c>
      <c r="D16">
        <v>87.912221481358003</v>
      </c>
      <c r="E16">
        <v>1.2898602651379099E-2</v>
      </c>
      <c r="F16">
        <f t="shared" si="0"/>
        <v>1412230266827.3125</v>
      </c>
      <c r="G16">
        <f t="shared" si="1"/>
        <v>1.0313964273081007</v>
      </c>
      <c r="H16">
        <f t="shared" si="2"/>
        <v>12.149905515029619</v>
      </c>
      <c r="I16">
        <f t="shared" si="3"/>
        <v>1.342562270472286E-2</v>
      </c>
    </row>
    <row r="17" spans="1:9">
      <c r="A17" s="3">
        <v>39083</v>
      </c>
      <c r="B17">
        <v>4.75</v>
      </c>
      <c r="C17">
        <v>1204164000000</v>
      </c>
      <c r="D17">
        <v>88.658557991988602</v>
      </c>
      <c r="E17">
        <v>1.7850767583006855E-2</v>
      </c>
      <c r="F17">
        <f t="shared" si="0"/>
        <v>1358203908650.0947</v>
      </c>
      <c r="G17">
        <f t="shared" si="1"/>
        <v>1.0291292528937208</v>
      </c>
      <c r="H17">
        <f t="shared" si="2"/>
        <v>12.132964975948665</v>
      </c>
      <c r="I17">
        <f t="shared" si="3"/>
        <v>1.2469923152440845E-2</v>
      </c>
    </row>
    <row r="18" spans="1:9">
      <c r="A18" s="3">
        <v>39173</v>
      </c>
      <c r="B18">
        <v>5.0199999999999996</v>
      </c>
      <c r="C18">
        <v>1229092000000</v>
      </c>
      <c r="D18">
        <v>89.373797148009501</v>
      </c>
      <c r="E18">
        <v>2.059659090909105E-2</v>
      </c>
      <c r="F18">
        <f t="shared" si="0"/>
        <v>1375226340629.2722</v>
      </c>
      <c r="G18">
        <f t="shared" si="1"/>
        <v>1.029005984690327</v>
      </c>
      <c r="H18">
        <f t="shared" si="2"/>
        <v>12.138374182091145</v>
      </c>
      <c r="I18">
        <f t="shared" si="3"/>
        <v>1.2417900622905891E-2</v>
      </c>
    </row>
    <row r="19" spans="1:9">
      <c r="A19" s="3">
        <v>39264</v>
      </c>
      <c r="B19">
        <v>5.25</v>
      </c>
      <c r="C19">
        <v>1230714000000</v>
      </c>
      <c r="D19">
        <v>89.840257467153606</v>
      </c>
      <c r="E19">
        <v>2.2654867256636901E-2</v>
      </c>
      <c r="F19">
        <f t="shared" si="0"/>
        <v>1369891443654.8225</v>
      </c>
      <c r="G19">
        <f t="shared" si="1"/>
        <v>1.0291839736933197</v>
      </c>
      <c r="H19">
        <f t="shared" si="2"/>
        <v>12.136686153076374</v>
      </c>
      <c r="I19">
        <f t="shared" si="3"/>
        <v>1.249301481896639E-2</v>
      </c>
    </row>
    <row r="20" spans="1:9">
      <c r="A20" s="3">
        <v>39356</v>
      </c>
      <c r="B20">
        <v>5.6</v>
      </c>
      <c r="C20">
        <v>1246427000000</v>
      </c>
      <c r="D20">
        <v>90.617691332393804</v>
      </c>
      <c r="E20">
        <v>3.0774672798019376E-2</v>
      </c>
      <c r="F20">
        <f t="shared" si="0"/>
        <v>1375478652869.2219</v>
      </c>
      <c r="G20">
        <f t="shared" si="1"/>
        <v>1.024472203157172</v>
      </c>
      <c r="H20">
        <f t="shared" si="2"/>
        <v>12.138453854621709</v>
      </c>
      <c r="I20">
        <f t="shared" si="3"/>
        <v>1.0500179253341587E-2</v>
      </c>
    </row>
    <row r="21" spans="1:9">
      <c r="A21" s="3">
        <v>39448</v>
      </c>
      <c r="B21">
        <v>5.59</v>
      </c>
      <c r="C21">
        <v>1259680000000</v>
      </c>
      <c r="D21">
        <v>91.270735779195505</v>
      </c>
      <c r="E21">
        <v>2.946334619431723E-2</v>
      </c>
      <c r="F21">
        <f t="shared" si="0"/>
        <v>1380157603908.7163</v>
      </c>
      <c r="G21">
        <f t="shared" si="1"/>
        <v>1.0256800340715508</v>
      </c>
      <c r="H21">
        <f t="shared" si="2"/>
        <v>12.139928682487966</v>
      </c>
      <c r="I21">
        <f t="shared" si="3"/>
        <v>1.101190160483374E-2</v>
      </c>
    </row>
    <row r="22" spans="1:9">
      <c r="A22" s="3">
        <v>39539</v>
      </c>
      <c r="B22">
        <v>5.47</v>
      </c>
      <c r="C22">
        <v>1293073000000</v>
      </c>
      <c r="D22">
        <v>91.954877580606805</v>
      </c>
      <c r="E22">
        <v>2.8879610299233915E-2</v>
      </c>
      <c r="F22">
        <f t="shared" si="0"/>
        <v>1406203818678.8994</v>
      </c>
      <c r="G22">
        <f t="shared" si="1"/>
        <v>1.0250956374704097</v>
      </c>
      <c r="H22">
        <f t="shared" si="2"/>
        <v>12.148048272968502</v>
      </c>
      <c r="I22">
        <f t="shared" si="3"/>
        <v>1.0764385282585106E-2</v>
      </c>
    </row>
    <row r="23" spans="1:9">
      <c r="A23" s="3">
        <v>39630</v>
      </c>
      <c r="B23">
        <v>5.52</v>
      </c>
      <c r="C23">
        <v>1309279000000</v>
      </c>
      <c r="D23">
        <v>92.607922027408605</v>
      </c>
      <c r="E23">
        <v>3.0806507442021624E-2</v>
      </c>
      <c r="F23">
        <f t="shared" si="0"/>
        <v>1413787256356.4277</v>
      </c>
      <c r="G23">
        <f t="shared" si="1"/>
        <v>1.0236644728005371</v>
      </c>
      <c r="H23">
        <f t="shared" si="2"/>
        <v>12.150384062684576</v>
      </c>
      <c r="I23">
        <f t="shared" si="3"/>
        <v>1.0157630966348408E-2</v>
      </c>
    </row>
    <row r="24" spans="1:9">
      <c r="A24" s="3">
        <v>39722</v>
      </c>
      <c r="B24">
        <v>5.77</v>
      </c>
      <c r="C24">
        <v>1329150000000</v>
      </c>
      <c r="D24">
        <v>92.079266999045302</v>
      </c>
      <c r="E24">
        <v>1.612903225806428E-2</v>
      </c>
      <c r="F24">
        <f t="shared" si="0"/>
        <v>1443484557727.6162</v>
      </c>
      <c r="G24">
        <f t="shared" si="1"/>
        <v>1.0409111111111113</v>
      </c>
      <c r="H24">
        <f t="shared" si="2"/>
        <v>12.159412142196956</v>
      </c>
      <c r="I24">
        <f t="shared" si="3"/>
        <v>1.7413644397954467E-2</v>
      </c>
    </row>
    <row r="25" spans="1:9">
      <c r="A25" s="3">
        <v>39814</v>
      </c>
      <c r="B25">
        <v>4.53</v>
      </c>
      <c r="C25">
        <v>1332643000000</v>
      </c>
      <c r="D25">
        <v>92.017072289826103</v>
      </c>
      <c r="E25">
        <v>8.1771720613292853E-3</v>
      </c>
      <c r="F25">
        <f t="shared" si="0"/>
        <v>1448256249451.814</v>
      </c>
      <c r="G25">
        <f t="shared" si="1"/>
        <v>1.0368217303142948</v>
      </c>
      <c r="H25">
        <f t="shared" si="2"/>
        <v>12.160845411223628</v>
      </c>
      <c r="I25">
        <f t="shared" si="3"/>
        <v>1.5704090818851033E-2</v>
      </c>
    </row>
    <row r="26" spans="1:9">
      <c r="A26" s="3">
        <v>39904</v>
      </c>
      <c r="B26">
        <v>3.31</v>
      </c>
      <c r="C26">
        <v>1363117000000</v>
      </c>
      <c r="D26">
        <v>92.2036564174837</v>
      </c>
      <c r="E26">
        <v>2.7054447074741361E-3</v>
      </c>
      <c r="F26">
        <f t="shared" si="0"/>
        <v>1478376295434.5542</v>
      </c>
      <c r="G26">
        <f t="shared" si="1"/>
        <v>1.0303125463743672</v>
      </c>
      <c r="H26">
        <f t="shared" si="2"/>
        <v>12.169784990371904</v>
      </c>
      <c r="I26">
        <f t="shared" si="3"/>
        <v>1.2968988370841882E-2</v>
      </c>
    </row>
    <row r="27" spans="1:9">
      <c r="A27" s="3">
        <v>39995</v>
      </c>
      <c r="B27">
        <v>3.15</v>
      </c>
      <c r="C27">
        <v>1365515000000</v>
      </c>
      <c r="D27">
        <v>92.390240545141396</v>
      </c>
      <c r="E27">
        <v>-2.3505708529210079E-3</v>
      </c>
      <c r="F27">
        <f t="shared" si="0"/>
        <v>1477986194150.9031</v>
      </c>
      <c r="G27">
        <f t="shared" si="1"/>
        <v>1.0339303264893971</v>
      </c>
      <c r="H27">
        <f t="shared" si="2"/>
        <v>12.169670377338859</v>
      </c>
      <c r="I27">
        <f t="shared" si="3"/>
        <v>1.4491273921663486E-2</v>
      </c>
    </row>
    <row r="28" spans="1:9">
      <c r="A28" s="3">
        <v>40087</v>
      </c>
      <c r="B28">
        <v>2.62</v>
      </c>
      <c r="C28">
        <v>1346659000000</v>
      </c>
      <c r="D28">
        <v>92.452435254360594</v>
      </c>
      <c r="E28">
        <v>4.0526849037487711E-3</v>
      </c>
      <c r="F28">
        <f t="shared" si="0"/>
        <v>1456596569138.4897</v>
      </c>
      <c r="G28">
        <f t="shared" si="1"/>
        <v>1.0220579212916245</v>
      </c>
      <c r="H28">
        <f t="shared" si="2"/>
        <v>12.163339282684037</v>
      </c>
      <c r="I28">
        <f t="shared" si="3"/>
        <v>9.4755085037273382E-3</v>
      </c>
    </row>
    <row r="29" spans="1:9">
      <c r="A29" s="3">
        <v>40179</v>
      </c>
      <c r="B29">
        <v>2.85</v>
      </c>
      <c r="C29">
        <v>1327143000000</v>
      </c>
      <c r="D29">
        <v>92.763408800456602</v>
      </c>
      <c r="E29">
        <v>8.1108482595464437E-3</v>
      </c>
      <c r="F29">
        <f t="shared" si="0"/>
        <v>1430675109034.4443</v>
      </c>
      <c r="G29">
        <f t="shared" si="1"/>
        <v>1.0202251089507215</v>
      </c>
      <c r="H29">
        <f t="shared" si="2"/>
        <v>12.155541021339575</v>
      </c>
      <c r="I29">
        <f t="shared" si="3"/>
        <v>8.6960078293134534E-3</v>
      </c>
    </row>
    <row r="30" spans="1:9">
      <c r="A30" s="3">
        <v>40269</v>
      </c>
      <c r="B30">
        <v>2.72</v>
      </c>
      <c r="C30">
        <v>1320751000000</v>
      </c>
      <c r="D30">
        <v>93.229869119600707</v>
      </c>
      <c r="E30">
        <v>1.1129848229342265E-2</v>
      </c>
      <c r="F30">
        <f t="shared" si="0"/>
        <v>1416660789586.2898</v>
      </c>
      <c r="G30">
        <f t="shared" si="1"/>
        <v>1.0158932621747834</v>
      </c>
      <c r="H30">
        <f t="shared" si="2"/>
        <v>12.151265873644387</v>
      </c>
      <c r="I30">
        <f t="shared" si="3"/>
        <v>6.8480799127988825E-3</v>
      </c>
    </row>
    <row r="31" spans="1:9">
      <c r="A31" s="3">
        <v>40360</v>
      </c>
      <c r="B31">
        <v>2.65</v>
      </c>
      <c r="C31">
        <v>1339154000000</v>
      </c>
      <c r="D31">
        <v>93.416453247258403</v>
      </c>
      <c r="E31">
        <v>1.1107371255469456E-2</v>
      </c>
      <c r="F31">
        <f t="shared" si="0"/>
        <v>1433531196539.301</v>
      </c>
      <c r="G31">
        <f t="shared" si="1"/>
        <v>1.0152235352862851</v>
      </c>
      <c r="H31">
        <f t="shared" si="2"/>
        <v>12.156407148511978</v>
      </c>
      <c r="I31">
        <f t="shared" si="3"/>
        <v>6.5616771781439936E-3</v>
      </c>
    </row>
    <row r="32" spans="1:9">
      <c r="A32" s="3">
        <v>40452</v>
      </c>
      <c r="B32">
        <v>2.68</v>
      </c>
      <c r="C32">
        <v>1320023000000</v>
      </c>
      <c r="D32">
        <v>93.727426793354397</v>
      </c>
      <c r="E32">
        <v>1.3790783720147193E-2</v>
      </c>
      <c r="F32">
        <f t="shared" si="0"/>
        <v>1408363640357.1833</v>
      </c>
      <c r="G32">
        <f t="shared" si="1"/>
        <v>1.0128322495023232</v>
      </c>
      <c r="H32">
        <f t="shared" si="2"/>
        <v>12.148714804387303</v>
      </c>
      <c r="I32">
        <f t="shared" si="3"/>
        <v>5.5375212257308196E-3</v>
      </c>
    </row>
    <row r="33" spans="1:9">
      <c r="A33" s="3">
        <v>40544</v>
      </c>
      <c r="B33">
        <v>2.99</v>
      </c>
      <c r="C33">
        <v>1317228000000</v>
      </c>
      <c r="D33">
        <v>94.504860658594595</v>
      </c>
      <c r="E33">
        <v>1.8773047267851339E-2</v>
      </c>
      <c r="F33">
        <f t="shared" si="0"/>
        <v>1393820371587.6353</v>
      </c>
      <c r="G33">
        <f t="shared" si="1"/>
        <v>1.0109219151036524</v>
      </c>
      <c r="H33">
        <f t="shared" si="2"/>
        <v>12.144206807725451</v>
      </c>
      <c r="I33">
        <f t="shared" si="3"/>
        <v>4.7176114275323333E-3</v>
      </c>
    </row>
    <row r="34" spans="1:9">
      <c r="A34" s="3">
        <v>40634</v>
      </c>
      <c r="B34">
        <v>3</v>
      </c>
      <c r="C34">
        <v>1324950000000</v>
      </c>
      <c r="D34">
        <v>95.095710396177097</v>
      </c>
      <c r="E34">
        <v>2.0013342228152098E-2</v>
      </c>
      <c r="F34">
        <f t="shared" si="0"/>
        <v>1393280511266.1145</v>
      </c>
      <c r="G34">
        <f t="shared" si="1"/>
        <v>1.0097907128842381</v>
      </c>
      <c r="H34">
        <f t="shared" si="2"/>
        <v>12.144038562389941</v>
      </c>
      <c r="I34">
        <f t="shared" si="3"/>
        <v>4.2313721411315446E-3</v>
      </c>
    </row>
    <row r="35" spans="1:9">
      <c r="A35" s="3">
        <v>40725</v>
      </c>
      <c r="B35">
        <v>3.29</v>
      </c>
      <c r="C35">
        <v>1337173000000</v>
      </c>
      <c r="D35">
        <v>95.468878651492403</v>
      </c>
      <c r="E35">
        <v>2.1970705725698592E-2</v>
      </c>
      <c r="F35">
        <f t="shared" si="0"/>
        <v>1400637588801.4026</v>
      </c>
      <c r="G35">
        <f t="shared" si="1"/>
        <v>1.0106943322475574</v>
      </c>
      <c r="H35">
        <f t="shared" si="2"/>
        <v>12.146325777295406</v>
      </c>
      <c r="I35">
        <f t="shared" si="3"/>
        <v>4.6198302792804496E-3</v>
      </c>
    </row>
    <row r="36" spans="1:9">
      <c r="A36" s="3">
        <v>40817</v>
      </c>
      <c r="B36">
        <v>3.2</v>
      </c>
      <c r="C36">
        <v>1367265000000</v>
      </c>
      <c r="D36">
        <v>95.810949552198096</v>
      </c>
      <c r="E36">
        <v>2.2229595222296616E-2</v>
      </c>
      <c r="F36">
        <f t="shared" si="0"/>
        <v>1427044619002.6641</v>
      </c>
      <c r="G36">
        <f t="shared" si="1"/>
        <v>1.0095579357351503</v>
      </c>
      <c r="H36">
        <f t="shared" si="2"/>
        <v>12.154437552290332</v>
      </c>
      <c r="I36">
        <f t="shared" si="3"/>
        <v>4.1312469528646464E-3</v>
      </c>
    </row>
    <row r="37" spans="1:9">
      <c r="A37" s="3">
        <v>40909</v>
      </c>
      <c r="B37">
        <v>3.17</v>
      </c>
      <c r="C37">
        <v>1368010000000</v>
      </c>
      <c r="D37">
        <v>96.526188708218996</v>
      </c>
      <c r="E37">
        <v>2.1388614675879936E-2</v>
      </c>
      <c r="F37">
        <f t="shared" si="0"/>
        <v>1417242323878.8013</v>
      </c>
      <c r="G37">
        <f t="shared" si="1"/>
        <v>1.0100954574742271</v>
      </c>
      <c r="H37">
        <f t="shared" si="2"/>
        <v>12.151444113427264</v>
      </c>
      <c r="I37">
        <f t="shared" si="3"/>
        <v>4.3624180354680875E-3</v>
      </c>
    </row>
    <row r="38" spans="1:9">
      <c r="A38" s="3">
        <v>41000</v>
      </c>
      <c r="B38">
        <v>2.71</v>
      </c>
      <c r="C38">
        <v>1380698000000</v>
      </c>
      <c r="D38">
        <v>96.868259608924703</v>
      </c>
      <c r="E38">
        <v>1.8639633747547624E-2</v>
      </c>
      <c r="F38">
        <f t="shared" si="0"/>
        <v>1425335817505.2761</v>
      </c>
      <c r="G38">
        <f t="shared" si="1"/>
        <v>1.0083055537720704</v>
      </c>
      <c r="H38">
        <f t="shared" si="2"/>
        <v>12.153917198735618</v>
      </c>
      <c r="I38">
        <f t="shared" si="3"/>
        <v>3.5921593005366053E-3</v>
      </c>
    </row>
    <row r="39" spans="1:9">
      <c r="A39" s="3">
        <v>41091</v>
      </c>
      <c r="B39">
        <v>2.62</v>
      </c>
      <c r="C39">
        <v>1385173000000</v>
      </c>
      <c r="D39">
        <v>97.396914637288006</v>
      </c>
      <c r="E39">
        <v>2.0195439739413512E-2</v>
      </c>
      <c r="F39">
        <f t="shared" si="0"/>
        <v>1422193921807.9629</v>
      </c>
      <c r="G39">
        <f t="shared" si="1"/>
        <v>1.0058856960408686</v>
      </c>
      <c r="H39">
        <f t="shared" si="2"/>
        <v>12.152958818214456</v>
      </c>
      <c r="I39">
        <f t="shared" si="3"/>
        <v>2.5486324106467431E-3</v>
      </c>
    </row>
    <row r="40" spans="1:9">
      <c r="A40" s="3">
        <v>41183</v>
      </c>
      <c r="B40">
        <v>2.34</v>
      </c>
      <c r="C40">
        <v>1404248000000</v>
      </c>
      <c r="D40">
        <v>97.738985537993699</v>
      </c>
      <c r="E40">
        <v>2.0123336579032758E-2</v>
      </c>
      <c r="F40">
        <f t="shared" si="0"/>
        <v>1436732734916.8486</v>
      </c>
      <c r="G40">
        <f t="shared" si="1"/>
        <v>1.003212026726058</v>
      </c>
      <c r="H40">
        <f t="shared" si="2"/>
        <v>12.157375986960846</v>
      </c>
      <c r="I40">
        <f t="shared" si="3"/>
        <v>1.3927299354591614E-3</v>
      </c>
    </row>
    <row r="41" spans="1:9">
      <c r="A41" s="3">
        <v>41275</v>
      </c>
      <c r="B41">
        <v>2.19</v>
      </c>
      <c r="C41">
        <v>1377634000000</v>
      </c>
      <c r="D41">
        <v>98.018861729480093</v>
      </c>
      <c r="E41">
        <v>1.5463917525772919E-2</v>
      </c>
      <c r="F41">
        <f t="shared" si="0"/>
        <v>1405478471890.5417</v>
      </c>
      <c r="G41">
        <f t="shared" si="1"/>
        <v>1.0063380710659902</v>
      </c>
      <c r="H41">
        <f t="shared" si="2"/>
        <v>12.147824197783553</v>
      </c>
      <c r="I41">
        <f t="shared" si="3"/>
        <v>2.7439029205000576E-3</v>
      </c>
    </row>
    <row r="42" spans="1:9">
      <c r="A42" s="3">
        <v>41365</v>
      </c>
      <c r="B42">
        <v>2.15</v>
      </c>
      <c r="C42">
        <v>1394120000000</v>
      </c>
      <c r="D42">
        <v>98.329835275576201</v>
      </c>
      <c r="E42">
        <v>1.5088282504012618E-2</v>
      </c>
      <c r="F42">
        <f t="shared" si="0"/>
        <v>1417799588591.6841</v>
      </c>
      <c r="G42">
        <f t="shared" si="1"/>
        <v>1.0063164136622393</v>
      </c>
      <c r="H42">
        <f t="shared" si="2"/>
        <v>12.151614845995145</v>
      </c>
      <c r="I42">
        <f t="shared" si="3"/>
        <v>2.7345563674646871E-3</v>
      </c>
    </row>
    <row r="43" spans="1:9">
      <c r="A43" s="3">
        <v>41456</v>
      </c>
      <c r="B43">
        <v>2.08</v>
      </c>
      <c r="C43">
        <v>1402048000000</v>
      </c>
      <c r="D43">
        <v>98.982879722378001</v>
      </c>
      <c r="E43">
        <v>1.628352490421503E-2</v>
      </c>
      <c r="F43">
        <f t="shared" si="0"/>
        <v>1416455051552.7441</v>
      </c>
      <c r="G43">
        <f t="shared" si="1"/>
        <v>1.0044441093308194</v>
      </c>
      <c r="H43">
        <f t="shared" si="2"/>
        <v>12.151202797584068</v>
      </c>
      <c r="I43">
        <f t="shared" si="3"/>
        <v>1.9257761419895396E-3</v>
      </c>
    </row>
    <row r="44" spans="1:9">
      <c r="A44" s="3">
        <v>41548</v>
      </c>
      <c r="B44">
        <v>2.14</v>
      </c>
      <c r="C44">
        <v>1282794000000</v>
      </c>
      <c r="D44">
        <v>99.0450744315972</v>
      </c>
      <c r="E44">
        <v>1.3363028953229605E-2</v>
      </c>
      <c r="F44">
        <f t="shared" si="0"/>
        <v>1295161831481.0061</v>
      </c>
      <c r="G44">
        <f t="shared" si="1"/>
        <v>1.0079309890109889</v>
      </c>
      <c r="H44">
        <f t="shared" si="2"/>
        <v>12.112324037242049</v>
      </c>
      <c r="I44">
        <f t="shared" si="3"/>
        <v>3.4307978657319724E-3</v>
      </c>
    </row>
    <row r="45" spans="1:9">
      <c r="A45" s="3">
        <v>41640</v>
      </c>
      <c r="B45">
        <v>2.19</v>
      </c>
      <c r="C45">
        <v>1281089000000</v>
      </c>
      <c r="D45">
        <v>99.200561204645197</v>
      </c>
      <c r="E45">
        <v>1.2055837563452299E-2</v>
      </c>
      <c r="F45">
        <f t="shared" si="0"/>
        <v>1291413056985.822</v>
      </c>
      <c r="G45">
        <f t="shared" si="1"/>
        <v>1.0097268965517237</v>
      </c>
      <c r="H45">
        <f t="shared" si="2"/>
        <v>12.111065173078204</v>
      </c>
      <c r="I45">
        <f t="shared" si="3"/>
        <v>4.2039249122031754E-3</v>
      </c>
    </row>
    <row r="46" spans="1:9">
      <c r="A46" s="3">
        <v>41730</v>
      </c>
      <c r="B46">
        <v>2.2599999999999998</v>
      </c>
      <c r="C46">
        <v>1283381000000</v>
      </c>
      <c r="D46">
        <v>99.387145332302794</v>
      </c>
      <c r="E46">
        <v>1.0752688172042779E-2</v>
      </c>
      <c r="F46">
        <f t="shared" si="0"/>
        <v>1291294760211.6868</v>
      </c>
      <c r="G46">
        <f t="shared" si="1"/>
        <v>1.0117212765957448</v>
      </c>
      <c r="H46">
        <f t="shared" si="2"/>
        <v>12.111025388758872</v>
      </c>
      <c r="I46">
        <f t="shared" si="3"/>
        <v>5.0608833447547E-3</v>
      </c>
    </row>
    <row r="47" spans="1:9">
      <c r="A47" s="3">
        <v>41821</v>
      </c>
      <c r="B47">
        <v>2.04</v>
      </c>
      <c r="C47">
        <v>1288315000000</v>
      </c>
      <c r="D47">
        <v>99.822508296837398</v>
      </c>
      <c r="E47">
        <v>8.4825636192273901E-3</v>
      </c>
      <c r="F47">
        <f t="shared" si="0"/>
        <v>1290605718070.1167</v>
      </c>
      <c r="G47">
        <f t="shared" si="1"/>
        <v>1.011817196261682</v>
      </c>
      <c r="H47">
        <f t="shared" si="2"/>
        <v>12.110793584931029</v>
      </c>
      <c r="I47">
        <f t="shared" si="3"/>
        <v>5.1020561538833338E-3</v>
      </c>
    </row>
    <row r="48" spans="1:9">
      <c r="A48" s="3">
        <v>41913</v>
      </c>
      <c r="B48">
        <v>1.91</v>
      </c>
      <c r="C48">
        <v>1293204000000</v>
      </c>
      <c r="D48">
        <v>99.542632105350904</v>
      </c>
      <c r="E48">
        <v>5.0235478806908151E-3</v>
      </c>
      <c r="F48">
        <f t="shared" si="0"/>
        <v>1299145876142.1318</v>
      </c>
      <c r="G48">
        <f t="shared" si="1"/>
        <v>1.0140060918462979</v>
      </c>
      <c r="H48">
        <f t="shared" si="2"/>
        <v>12.113657919084261</v>
      </c>
      <c r="I48">
        <f t="shared" si="3"/>
        <v>6.0405641169272248E-3</v>
      </c>
    </row>
    <row r="49" spans="1:9">
      <c r="A49" s="3">
        <v>42005</v>
      </c>
      <c r="B49">
        <v>1.87</v>
      </c>
      <c r="C49">
        <v>1291624000000</v>
      </c>
      <c r="D49">
        <v>99.149858309718297</v>
      </c>
      <c r="E49">
        <v>-5.1111500087486217E-4</v>
      </c>
      <c r="F49">
        <f t="shared" si="0"/>
        <v>1302698785474.1089</v>
      </c>
      <c r="G49">
        <f t="shared" si="1"/>
        <v>1.0192209391111855</v>
      </c>
      <c r="H49">
        <f t="shared" si="2"/>
        <v>12.114844008245862</v>
      </c>
      <c r="I49">
        <f t="shared" si="3"/>
        <v>8.2683373294141684E-3</v>
      </c>
    </row>
    <row r="50" spans="1:9">
      <c r="A50" s="3">
        <v>42095</v>
      </c>
      <c r="B50">
        <v>1.73</v>
      </c>
      <c r="C50">
        <v>1305672000000</v>
      </c>
      <c r="D50">
        <v>100.350058343057</v>
      </c>
      <c r="E50">
        <v>9.6885065723004704E-3</v>
      </c>
      <c r="F50">
        <f t="shared" si="0"/>
        <v>1301117330232.5603</v>
      </c>
      <c r="G50">
        <f t="shared" si="1"/>
        <v>1.0075384570371502</v>
      </c>
      <c r="H50">
        <f t="shared" si="2"/>
        <v>12.114316461492393</v>
      </c>
      <c r="I50">
        <f t="shared" si="3"/>
        <v>3.2616318456779934E-3</v>
      </c>
    </row>
    <row r="51" spans="1:9">
      <c r="A51" s="3">
        <v>42186</v>
      </c>
      <c r="B51">
        <v>1.71</v>
      </c>
      <c r="C51">
        <v>1309383000000</v>
      </c>
      <c r="D51">
        <v>100.55009168194699</v>
      </c>
      <c r="E51">
        <v>7.2887708145543684E-3</v>
      </c>
      <c r="F51">
        <f t="shared" si="0"/>
        <v>1302219598309.0186</v>
      </c>
      <c r="G51">
        <f t="shared" si="1"/>
        <v>1.0097402348459732</v>
      </c>
      <c r="H51">
        <f t="shared" si="2"/>
        <v>12.114684227160019</v>
      </c>
      <c r="I51">
        <f t="shared" si="3"/>
        <v>4.2096618192323607E-3</v>
      </c>
    </row>
    <row r="52" spans="1:9">
      <c r="A52" s="3">
        <v>42278</v>
      </c>
      <c r="B52">
        <v>1.84</v>
      </c>
      <c r="C52">
        <v>1309047000000</v>
      </c>
      <c r="D52">
        <v>99.949991665277494</v>
      </c>
      <c r="E52">
        <v>4.0923125228942148E-3</v>
      </c>
      <c r="F52">
        <f t="shared" si="0"/>
        <v>1309701960140.094</v>
      </c>
      <c r="G52">
        <f t="shared" si="1"/>
        <v>1.0142493745830561</v>
      </c>
      <c r="H52">
        <f t="shared" si="2"/>
        <v>12.117172477493185</v>
      </c>
      <c r="I52">
        <f t="shared" si="3"/>
        <v>6.1447485772892331E-3</v>
      </c>
    </row>
    <row r="53" spans="1:9">
      <c r="A53" s="3">
        <v>42370</v>
      </c>
      <c r="B53">
        <v>1.68</v>
      </c>
      <c r="C53">
        <v>1314171000000</v>
      </c>
      <c r="D53">
        <v>99.449908318053005</v>
      </c>
      <c r="E53">
        <v>3.0262273032950482E-3</v>
      </c>
      <c r="F53">
        <f t="shared" si="0"/>
        <v>1321440132249.4133</v>
      </c>
      <c r="G53">
        <f t="shared" si="1"/>
        <v>1.0137322158900437</v>
      </c>
      <c r="H53">
        <f t="shared" si="2"/>
        <v>12.121047492233007</v>
      </c>
      <c r="I53">
        <f t="shared" si="3"/>
        <v>5.9232483698245207E-3</v>
      </c>
    </row>
    <row r="54" spans="1:9">
      <c r="A54" s="3">
        <v>42461</v>
      </c>
      <c r="B54">
        <v>1.64</v>
      </c>
      <c r="C54">
        <v>1328598000000</v>
      </c>
      <c r="D54">
        <v>100.483413902317</v>
      </c>
      <c r="E54">
        <v>1.3289036544863464E-3</v>
      </c>
      <c r="F54">
        <f t="shared" si="0"/>
        <v>1322206271068.3484</v>
      </c>
      <c r="G54">
        <f t="shared" si="1"/>
        <v>1.0150510948905096</v>
      </c>
      <c r="H54">
        <f t="shared" si="2"/>
        <v>12.12129921263732</v>
      </c>
      <c r="I54">
        <f t="shared" si="3"/>
        <v>6.487903993561514E-3</v>
      </c>
    </row>
    <row r="55" spans="1:9">
      <c r="A55" s="3">
        <v>42552</v>
      </c>
      <c r="B55">
        <v>1.52</v>
      </c>
      <c r="C55">
        <v>1332029000000</v>
      </c>
      <c r="D55">
        <v>101.050175029172</v>
      </c>
      <c r="E55">
        <v>4.9734748010656915E-3</v>
      </c>
      <c r="F55">
        <f t="shared" si="0"/>
        <v>1318185742494.2202</v>
      </c>
      <c r="G55">
        <f t="shared" si="1"/>
        <v>1.0101759155394214</v>
      </c>
      <c r="H55">
        <f t="shared" si="2"/>
        <v>12.119976609997545</v>
      </c>
      <c r="I55">
        <f t="shared" si="3"/>
        <v>4.3970099167605957E-3</v>
      </c>
    </row>
    <row r="56" spans="1:9">
      <c r="A56" s="3">
        <v>42644</v>
      </c>
      <c r="B56">
        <v>1.51</v>
      </c>
      <c r="C56">
        <v>1341052000000</v>
      </c>
      <c r="D56">
        <v>100.983497249542</v>
      </c>
      <c r="E56">
        <v>1.0340226817883158E-2</v>
      </c>
      <c r="F56">
        <f t="shared" si="0"/>
        <v>1327991242654.3359</v>
      </c>
      <c r="G56">
        <f t="shared" si="1"/>
        <v>1.0047110597556903</v>
      </c>
      <c r="H56">
        <f t="shared" si="2"/>
        <v>12.123195211116759</v>
      </c>
      <c r="I56">
        <f t="shared" si="3"/>
        <v>2.0411829546929101E-3</v>
      </c>
    </row>
    <row r="57" spans="1:9">
      <c r="A57" s="3">
        <v>42736</v>
      </c>
      <c r="B57">
        <v>1.53</v>
      </c>
      <c r="C57">
        <v>1347491000000</v>
      </c>
      <c r="D57">
        <v>101.083513918986</v>
      </c>
      <c r="E57">
        <v>1.6426416359364815E-2</v>
      </c>
      <c r="F57">
        <f t="shared" si="0"/>
        <v>1333047247526.3918</v>
      </c>
      <c r="G57">
        <f t="shared" si="1"/>
        <v>0.99889178759894959</v>
      </c>
      <c r="H57">
        <f t="shared" si="2"/>
        <v>12.124845542494397</v>
      </c>
      <c r="I57">
        <f t="shared" si="3"/>
        <v>-4.8155741381396082E-4</v>
      </c>
    </row>
    <row r="58" spans="1:9">
      <c r="A58" s="3">
        <v>42826</v>
      </c>
      <c r="B58">
        <v>1.5</v>
      </c>
      <c r="C58">
        <v>1364355000000</v>
      </c>
      <c r="D58">
        <v>101.91698616436101</v>
      </c>
      <c r="E58">
        <v>1.426675514267095E-2</v>
      </c>
      <c r="F58">
        <f t="shared" si="0"/>
        <v>1338692450932.2827</v>
      </c>
      <c r="G58">
        <f t="shared" si="1"/>
        <v>1.0007229309780796</v>
      </c>
      <c r="H58">
        <f t="shared" si="2"/>
        <v>12.126680814349896</v>
      </c>
      <c r="I58">
        <f t="shared" si="3"/>
        <v>3.1385150175439349E-4</v>
      </c>
    </row>
    <row r="59" spans="1:9">
      <c r="A59" s="3">
        <v>42917</v>
      </c>
      <c r="B59">
        <v>1.41</v>
      </c>
      <c r="C59">
        <v>1377841000000</v>
      </c>
      <c r="D59">
        <v>102.61710285047501</v>
      </c>
      <c r="E59">
        <v>1.5506433520285023E-2</v>
      </c>
      <c r="F59">
        <f t="shared" si="0"/>
        <v>1342701130441.8462</v>
      </c>
      <c r="G59">
        <f t="shared" si="1"/>
        <v>0.99861504223522291</v>
      </c>
      <c r="H59">
        <f t="shared" si="2"/>
        <v>12.127979354556627</v>
      </c>
      <c r="I59">
        <f t="shared" si="3"/>
        <v>-6.018964117414789E-4</v>
      </c>
    </row>
    <row r="60" spans="1:9">
      <c r="A60" s="3">
        <v>43009</v>
      </c>
      <c r="B60">
        <v>1.38</v>
      </c>
      <c r="C60">
        <v>1392692000000</v>
      </c>
      <c r="D60">
        <v>102.417069511585</v>
      </c>
      <c r="E60">
        <v>1.4196104324852854E-2</v>
      </c>
      <c r="F60">
        <f t="shared" si="0"/>
        <v>1359824106119.7952</v>
      </c>
      <c r="G60">
        <f t="shared" si="1"/>
        <v>0.99960944010417341</v>
      </c>
      <c r="H60">
        <f t="shared" si="2"/>
        <v>12.133482735810007</v>
      </c>
      <c r="I60">
        <f t="shared" si="3"/>
        <v>-1.6965113923275864E-4</v>
      </c>
    </row>
    <row r="61" spans="1:9">
      <c r="A61" s="3">
        <v>43101</v>
      </c>
      <c r="B61">
        <v>1.43</v>
      </c>
      <c r="C61">
        <v>1403094000000</v>
      </c>
      <c r="D61">
        <v>102.417069511585</v>
      </c>
      <c r="E61">
        <v>1.3192612137205462E-2</v>
      </c>
      <c r="F61">
        <f t="shared" si="0"/>
        <v>1369980616210.9412</v>
      </c>
      <c r="G61">
        <f t="shared" si="1"/>
        <v>1.0010929687499976</v>
      </c>
      <c r="H61">
        <f t="shared" si="2"/>
        <v>12.13671442238839</v>
      </c>
      <c r="I61">
        <f t="shared" si="3"/>
        <v>4.7441108597193226E-4</v>
      </c>
    </row>
    <row r="62" spans="1:9">
      <c r="A62" s="3">
        <v>43191</v>
      </c>
      <c r="B62">
        <v>1.42</v>
      </c>
      <c r="C62">
        <v>1429472000000</v>
      </c>
      <c r="D62">
        <v>103.683947324554</v>
      </c>
      <c r="E62">
        <v>1.733725875040526E-2</v>
      </c>
      <c r="F62">
        <f t="shared" si="0"/>
        <v>1378682078456.593</v>
      </c>
      <c r="G62">
        <f t="shared" si="1"/>
        <v>0.99691620578778495</v>
      </c>
      <c r="H62">
        <f t="shared" si="2"/>
        <v>12.139464130214805</v>
      </c>
      <c r="I62">
        <f t="shared" si="3"/>
        <v>-1.341344088892725E-3</v>
      </c>
    </row>
    <row r="63" spans="1:9">
      <c r="A63" s="3">
        <v>43282</v>
      </c>
      <c r="B63">
        <v>1.31</v>
      </c>
      <c r="C63">
        <v>1445471000000</v>
      </c>
      <c r="D63">
        <v>104.55075845974299</v>
      </c>
      <c r="E63">
        <v>1.8843404808314812E-2</v>
      </c>
      <c r="F63">
        <f t="shared" si="0"/>
        <v>1382554293526.7896</v>
      </c>
      <c r="G63">
        <f t="shared" si="1"/>
        <v>0.9943628188775534</v>
      </c>
      <c r="H63">
        <f t="shared" si="2"/>
        <v>12.140682195250584</v>
      </c>
      <c r="I63">
        <f t="shared" si="3"/>
        <v>-2.4551231618659243E-3</v>
      </c>
    </row>
    <row r="64" spans="1:9">
      <c r="A64" s="3">
        <v>43374</v>
      </c>
      <c r="B64">
        <v>1.26</v>
      </c>
      <c r="C64">
        <v>1476908000000</v>
      </c>
      <c r="D64">
        <v>104.450741790298</v>
      </c>
      <c r="E64">
        <v>1.9856770833332149E-2</v>
      </c>
      <c r="F64">
        <f t="shared" si="0"/>
        <v>1413975597191.1958</v>
      </c>
      <c r="G64">
        <f t="shared" si="1"/>
        <v>0.992884519629749</v>
      </c>
      <c r="H64">
        <f t="shared" si="2"/>
        <v>12.150441914343018</v>
      </c>
      <c r="I64">
        <f t="shared" si="3"/>
        <v>-3.1012604714081276E-3</v>
      </c>
    </row>
    <row r="65" spans="1:9">
      <c r="A65" s="3">
        <v>43466</v>
      </c>
      <c r="B65">
        <v>1.29</v>
      </c>
      <c r="C65">
        <v>1483581000000</v>
      </c>
      <c r="D65">
        <v>103.81730288381399</v>
      </c>
      <c r="E65">
        <v>1.3671875000002887E-2</v>
      </c>
      <c r="F65">
        <f t="shared" si="0"/>
        <v>1429030574662.8127</v>
      </c>
      <c r="G65">
        <f t="shared" si="1"/>
        <v>0.99923853564546916</v>
      </c>
      <c r="H65">
        <f t="shared" si="2"/>
        <v>12.155041520789078</v>
      </c>
      <c r="I65">
        <f t="shared" si="3"/>
        <v>-3.3082573933405359E-4</v>
      </c>
    </row>
    <row r="66" spans="1:9">
      <c r="A66" s="3">
        <v>43556</v>
      </c>
      <c r="B66">
        <v>1.29</v>
      </c>
      <c r="C66">
        <v>1513458000000</v>
      </c>
      <c r="D66">
        <v>105.450908484747</v>
      </c>
      <c r="E66">
        <v>1.7041800643083471E-2</v>
      </c>
      <c r="F66">
        <f t="shared" si="0"/>
        <v>1435225188428.7131</v>
      </c>
      <c r="G66">
        <f t="shared" si="1"/>
        <v>0.99592760037938988</v>
      </c>
      <c r="H66">
        <f t="shared" si="2"/>
        <v>12.156920047703643</v>
      </c>
      <c r="I66">
        <f t="shared" si="3"/>
        <v>-1.7722317555896349E-3</v>
      </c>
    </row>
    <row r="67" spans="1:9">
      <c r="A67" s="3">
        <v>43647</v>
      </c>
      <c r="B67">
        <v>1.18</v>
      </c>
      <c r="C67">
        <v>1539725000000</v>
      </c>
      <c r="D67">
        <v>106.084347391232</v>
      </c>
      <c r="E67">
        <v>1.466836734694299E-2</v>
      </c>
      <c r="F67">
        <f t="shared" ref="F67:F82" si="4">C67/D67*100</f>
        <v>1451415819453.1724</v>
      </c>
      <c r="G67">
        <f t="shared" ref="G67:G82" si="5">(1+B67/100)/(1+E67)</f>
        <v>0.99717309868007131</v>
      </c>
      <c r="H67">
        <f t="shared" ref="H67:H82" si="6">LOG(F67)</f>
        <v>12.161791852288157</v>
      </c>
      <c r="I67">
        <f t="shared" ref="I67:I82" si="7">LOG(G67)</f>
        <v>-1.229446225615119E-3</v>
      </c>
    </row>
    <row r="68" spans="1:9">
      <c r="A68" s="3">
        <v>43739</v>
      </c>
      <c r="B68">
        <v>1.18</v>
      </c>
      <c r="C68">
        <v>1551724000000</v>
      </c>
      <c r="D68">
        <v>105.750958493082</v>
      </c>
      <c r="E68">
        <v>1.2448132780084942E-2</v>
      </c>
      <c r="F68">
        <f t="shared" si="4"/>
        <v>1467338000630.5198</v>
      </c>
      <c r="G68">
        <f t="shared" si="5"/>
        <v>0.99935983606557188</v>
      </c>
      <c r="H68">
        <f t="shared" si="6"/>
        <v>12.16653016490034</v>
      </c>
      <c r="I68">
        <f t="shared" si="7"/>
        <v>-2.7810869131330304E-4</v>
      </c>
    </row>
    <row r="69" spans="1:9">
      <c r="A69" s="3">
        <v>43831</v>
      </c>
      <c r="B69">
        <v>1.29</v>
      </c>
      <c r="C69">
        <v>1560544000000</v>
      </c>
      <c r="D69">
        <v>105.498678637488</v>
      </c>
      <c r="E69">
        <v>1.6195525283061007E-2</v>
      </c>
      <c r="F69">
        <f t="shared" si="4"/>
        <v>1479207152311.645</v>
      </c>
      <c r="G69">
        <f t="shared" si="5"/>
        <v>0.996756996856345</v>
      </c>
      <c r="H69">
        <f t="shared" si="6"/>
        <v>12.170028998071324</v>
      </c>
      <c r="I69">
        <f t="shared" si="7"/>
        <v>-1.4107070722034897E-3</v>
      </c>
    </row>
    <row r="70" spans="1:9">
      <c r="A70" s="3">
        <v>43922</v>
      </c>
      <c r="B70">
        <v>1.2</v>
      </c>
      <c r="C70">
        <v>1598862000000</v>
      </c>
      <c r="D70">
        <v>105.88524941197601</v>
      </c>
      <c r="E70">
        <v>4.1188922264412398E-3</v>
      </c>
      <c r="F70">
        <f t="shared" si="4"/>
        <v>1509995026577.4819</v>
      </c>
      <c r="G70">
        <f t="shared" si="5"/>
        <v>1.0078487794967028</v>
      </c>
      <c r="H70">
        <f t="shared" si="6"/>
        <v>12.178975516873624</v>
      </c>
      <c r="I70">
        <f t="shared" si="7"/>
        <v>3.3953742157956427E-3</v>
      </c>
    </row>
    <row r="71" spans="1:9">
      <c r="A71" s="3">
        <v>44013</v>
      </c>
      <c r="B71">
        <v>1.36</v>
      </c>
      <c r="C71">
        <v>1613460000000</v>
      </c>
      <c r="D71">
        <v>105.112107863001</v>
      </c>
      <c r="E71">
        <v>-9.1647783310147002E-3</v>
      </c>
      <c r="F71">
        <f t="shared" si="4"/>
        <v>1534989672267.7471</v>
      </c>
      <c r="G71">
        <f t="shared" si="5"/>
        <v>1.0229753422498136</v>
      </c>
      <c r="H71">
        <f t="shared" si="6"/>
        <v>12.186105457798732</v>
      </c>
      <c r="I71">
        <f t="shared" si="7"/>
        <v>9.8651656242790403E-3</v>
      </c>
    </row>
    <row r="72" spans="1:9">
      <c r="A72" s="3">
        <v>44105</v>
      </c>
      <c r="B72">
        <v>1.37</v>
      </c>
      <c r="C72">
        <v>1616750000000</v>
      </c>
      <c r="D72">
        <v>105.217536256043</v>
      </c>
      <c r="E72">
        <v>-5.0441361916723215E-3</v>
      </c>
      <c r="F72">
        <f t="shared" si="4"/>
        <v>1536578461660.3247</v>
      </c>
      <c r="G72">
        <f t="shared" si="5"/>
        <v>1.018839163498094</v>
      </c>
      <c r="H72">
        <f t="shared" si="6"/>
        <v>12.186554741355245</v>
      </c>
      <c r="I72">
        <f t="shared" si="7"/>
        <v>8.105630602740178E-3</v>
      </c>
    </row>
    <row r="73" spans="1:9">
      <c r="A73" s="3">
        <v>44197</v>
      </c>
      <c r="B73">
        <v>1.33</v>
      </c>
      <c r="C73">
        <v>1623407000000</v>
      </c>
      <c r="D73">
        <v>107.08010453311999</v>
      </c>
      <c r="E73">
        <v>1.4990006662226163E-2</v>
      </c>
      <c r="F73">
        <f t="shared" si="4"/>
        <v>1516067813977.4121</v>
      </c>
      <c r="G73">
        <f t="shared" si="5"/>
        <v>0.99833495241220782</v>
      </c>
      <c r="H73">
        <f t="shared" si="6"/>
        <v>12.180718627798342</v>
      </c>
      <c r="I73">
        <f t="shared" si="7"/>
        <v>-7.2372366399758848E-4</v>
      </c>
    </row>
    <row r="74" spans="1:9">
      <c r="A74" s="3">
        <v>44287</v>
      </c>
      <c r="B74">
        <v>1.0900000000000001</v>
      </c>
      <c r="C74">
        <v>1657238000000</v>
      </c>
      <c r="D74">
        <v>108.204674058903</v>
      </c>
      <c r="E74">
        <v>2.1905077995355349E-2</v>
      </c>
      <c r="F74">
        <f t="shared" si="4"/>
        <v>1531577091667.8289</v>
      </c>
      <c r="G74">
        <f t="shared" si="5"/>
        <v>0.9892308216953537</v>
      </c>
      <c r="H74">
        <f t="shared" si="6"/>
        <v>12.185138861830353</v>
      </c>
      <c r="I74">
        <f t="shared" si="7"/>
        <v>-4.702360685505504E-3</v>
      </c>
    </row>
    <row r="75" spans="1:9">
      <c r="A75" s="3">
        <v>44378</v>
      </c>
      <c r="B75">
        <v>1.28</v>
      </c>
      <c r="C75">
        <v>1654295000000</v>
      </c>
      <c r="D75">
        <v>109.188672393963</v>
      </c>
      <c r="E75">
        <v>3.8783015713805602E-2</v>
      </c>
      <c r="F75">
        <f t="shared" si="4"/>
        <v>1515079324374.5542</v>
      </c>
      <c r="G75">
        <f t="shared" si="5"/>
        <v>0.97498706147409298</v>
      </c>
      <c r="H75">
        <f t="shared" si="6"/>
        <v>12.180435371608151</v>
      </c>
      <c r="I75">
        <f t="shared" si="7"/>
        <v>-1.1001147550375429E-2</v>
      </c>
    </row>
    <row r="76" spans="1:9">
      <c r="A76" s="3">
        <v>44470</v>
      </c>
      <c r="B76">
        <v>1.36</v>
      </c>
      <c r="C76">
        <v>1666920000000</v>
      </c>
      <c r="D76">
        <v>110.172670729023</v>
      </c>
      <c r="E76">
        <v>4.7094188376753721E-2</v>
      </c>
      <c r="F76">
        <f t="shared" si="4"/>
        <v>1513006800116.4285</v>
      </c>
      <c r="G76">
        <f t="shared" si="5"/>
        <v>0.96801224880382764</v>
      </c>
      <c r="H76">
        <f t="shared" si="6"/>
        <v>12.179840879937531</v>
      </c>
      <c r="I76">
        <f t="shared" si="7"/>
        <v>-1.4119147284316824E-2</v>
      </c>
    </row>
    <row r="77" spans="1:9">
      <c r="A77" s="3">
        <v>44562</v>
      </c>
      <c r="B77">
        <v>1.2</v>
      </c>
      <c r="C77">
        <v>1701525000000</v>
      </c>
      <c r="D77">
        <v>112.210952994504</v>
      </c>
      <c r="E77">
        <v>4.7915982934038315E-2</v>
      </c>
      <c r="F77">
        <f t="shared" si="4"/>
        <v>1516362667451.3132</v>
      </c>
      <c r="G77">
        <f t="shared" si="5"/>
        <v>0.965726276229247</v>
      </c>
      <c r="H77">
        <f t="shared" si="6"/>
        <v>12.180803083641846</v>
      </c>
      <c r="I77">
        <f t="shared" si="7"/>
        <v>-1.5145951812992995E-2</v>
      </c>
    </row>
    <row r="78" spans="1:9">
      <c r="A78" s="3">
        <v>44652</v>
      </c>
      <c r="B78">
        <v>1.5</v>
      </c>
      <c r="C78">
        <v>1742357000000</v>
      </c>
      <c r="D78">
        <v>115.408947583448</v>
      </c>
      <c r="E78">
        <v>6.6580058460536051E-2</v>
      </c>
      <c r="F78">
        <f t="shared" si="4"/>
        <v>1509724364083.7859</v>
      </c>
      <c r="G78">
        <f t="shared" si="5"/>
        <v>0.95163976857491128</v>
      </c>
      <c r="H78">
        <f t="shared" si="6"/>
        <v>12.178897663793535</v>
      </c>
      <c r="I78">
        <f t="shared" si="7"/>
        <v>-2.1527417294972137E-2</v>
      </c>
    </row>
    <row r="79" spans="1:9">
      <c r="A79" s="3">
        <v>44743</v>
      </c>
      <c r="B79">
        <v>2.19</v>
      </c>
      <c r="C79">
        <v>1784762000000</v>
      </c>
      <c r="D79">
        <v>117.27151586052599</v>
      </c>
      <c r="E79">
        <v>7.4026392018023079E-2</v>
      </c>
      <c r="F79">
        <f t="shared" si="4"/>
        <v>1521905798610.6899</v>
      </c>
      <c r="G79">
        <f t="shared" si="5"/>
        <v>0.95146637698531689</v>
      </c>
      <c r="H79">
        <f t="shared" si="6"/>
        <v>12.182387771744885</v>
      </c>
      <c r="I79">
        <f t="shared" si="7"/>
        <v>-2.1606554247951156E-2</v>
      </c>
    </row>
    <row r="80" spans="1:9">
      <c r="A80" s="3">
        <v>44835</v>
      </c>
      <c r="B80">
        <v>2.67</v>
      </c>
      <c r="C80">
        <v>1845304000000</v>
      </c>
      <c r="D80">
        <v>119.62608330513299</v>
      </c>
      <c r="E80">
        <v>8.5805422647521112E-2</v>
      </c>
      <c r="F80">
        <f t="shared" si="4"/>
        <v>1542559907518.7815</v>
      </c>
      <c r="G80">
        <f t="shared" si="5"/>
        <v>0.94556536427732663</v>
      </c>
      <c r="H80">
        <f t="shared" si="6"/>
        <v>12.188242039479743</v>
      </c>
      <c r="I80">
        <f t="shared" si="7"/>
        <v>-2.4308444223737638E-2</v>
      </c>
    </row>
    <row r="81" spans="1:9">
      <c r="A81" s="3">
        <v>44927</v>
      </c>
      <c r="B81">
        <v>3.45</v>
      </c>
      <c r="C81">
        <v>1852238000000</v>
      </c>
      <c r="D81">
        <v>121.45350878453</v>
      </c>
      <c r="E81">
        <v>8.2367679298461116E-2</v>
      </c>
      <c r="F81">
        <f t="shared" si="4"/>
        <v>1525059274562.4543</v>
      </c>
      <c r="G81">
        <f t="shared" si="5"/>
        <v>0.95577502893518895</v>
      </c>
      <c r="H81">
        <f t="shared" si="6"/>
        <v>12.18328672375829</v>
      </c>
      <c r="I81">
        <f t="shared" si="7"/>
        <v>-1.9644320265655685E-2</v>
      </c>
    </row>
    <row r="82" spans="1:9">
      <c r="A82" s="3">
        <v>45017</v>
      </c>
      <c r="B82">
        <v>4.3600000000000003</v>
      </c>
      <c r="C82">
        <v>1872406000000</v>
      </c>
      <c r="D82">
        <v>122.964649084801</v>
      </c>
      <c r="E82">
        <v>6.5468940316692148E-2</v>
      </c>
      <c r="F82">
        <f t="shared" si="4"/>
        <v>1522718939090.1438</v>
      </c>
      <c r="G82">
        <f t="shared" si="5"/>
        <v>0.97947482137753172</v>
      </c>
      <c r="H82">
        <f t="shared" si="6"/>
        <v>12.18261974938552</v>
      </c>
      <c r="I82">
        <f t="shared" si="7"/>
        <v>-9.0067236073222128E-3</v>
      </c>
    </row>
    <row r="84" spans="1:9">
      <c r="B84" t="s">
        <v>10</v>
      </c>
      <c r="C84" t="s">
        <v>23</v>
      </c>
    </row>
  </sheetData>
  <sortState xmlns:xlrd2="http://schemas.microsoft.com/office/spreadsheetml/2017/richdata2" ref="A2:I82">
    <sortCondition ref="A2:A8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A1D6-0F37-4848-B697-0327D06E7D4A}">
  <dimension ref="A1:I99"/>
  <sheetViews>
    <sheetView workbookViewId="0">
      <selection activeCell="A3" sqref="A3:A97"/>
    </sheetView>
  </sheetViews>
  <sheetFormatPr baseColWidth="10" defaultRowHeight="16"/>
  <cols>
    <col min="1" max="1" width="10.83203125" style="3"/>
    <col min="7" max="7" width="12.1640625" bestFit="1" customWidth="1"/>
  </cols>
  <sheetData>
    <row r="1" spans="1:9">
      <c r="A1" s="3" t="s">
        <v>1</v>
      </c>
      <c r="B1" t="s">
        <v>21</v>
      </c>
      <c r="C1" t="s">
        <v>16</v>
      </c>
      <c r="D1" t="s">
        <v>3</v>
      </c>
      <c r="E1" t="s">
        <v>4</v>
      </c>
      <c r="F1" t="s">
        <v>18</v>
      </c>
      <c r="G1" t="s">
        <v>17</v>
      </c>
      <c r="H1" t="s">
        <v>20</v>
      </c>
      <c r="I1" t="s">
        <v>19</v>
      </c>
    </row>
    <row r="2" spans="1:9">
      <c r="A2" s="3">
        <v>36251</v>
      </c>
      <c r="B2">
        <v>6.2008916666666671</v>
      </c>
      <c r="C2">
        <v>1173160000000</v>
      </c>
      <c r="D2">
        <v>78.769599226133593</v>
      </c>
      <c r="E2">
        <v>5.1587301587301404E-3</v>
      </c>
      <c r="F2">
        <f>(1+B2/100)/(1+E2)</f>
        <v>1.0565584168969602</v>
      </c>
      <c r="G2">
        <f>C2/D2*100</f>
        <v>1489356314524.4209</v>
      </c>
      <c r="H2">
        <f>LOG(F2)</f>
        <v>2.3893514104500649E-2</v>
      </c>
      <c r="I2">
        <f>LOG(G2)</f>
        <v>12.172998611062859</v>
      </c>
    </row>
    <row r="3" spans="1:9">
      <c r="A3" s="3">
        <f>EDATE(A2,3)</f>
        <v>36342</v>
      </c>
      <c r="B3">
        <v>5.6827583333333331</v>
      </c>
      <c r="C3">
        <v>1194362000000</v>
      </c>
      <c r="D3">
        <v>79.080572772229701</v>
      </c>
      <c r="E3">
        <v>6.7300079176562111E-3</v>
      </c>
      <c r="F3">
        <f>(1+B3/100)/(1+E3)</f>
        <v>1.0497626722375148</v>
      </c>
      <c r="G3">
        <f>C3/D3*100</f>
        <v>1510310254631.1067</v>
      </c>
      <c r="H3">
        <f>LOG(F3)</f>
        <v>2.109112593880148E-2</v>
      </c>
      <c r="I3">
        <f>LOG(G3)</f>
        <v>12.17906617115654</v>
      </c>
    </row>
    <row r="4" spans="1:9">
      <c r="A4" s="3">
        <f t="shared" ref="A4:A67" si="0">EDATE(A3,3)</f>
        <v>36434</v>
      </c>
      <c r="B4">
        <v>5.3193583333333336</v>
      </c>
      <c r="C4">
        <v>1254364000000</v>
      </c>
      <c r="D4">
        <v>79.049475417620101</v>
      </c>
      <c r="E4">
        <v>9.5313741064342317E-3</v>
      </c>
      <c r="F4">
        <f>(1+B4/100)/(1+E4)</f>
        <v>1.0432499775111455</v>
      </c>
      <c r="G4">
        <f>C4/D4*100</f>
        <v>1586808759164.0142</v>
      </c>
      <c r="H4">
        <f>LOG(F4)</f>
        <v>1.8388384021862405E-2</v>
      </c>
      <c r="I4">
        <f>LOG(G4)</f>
        <v>12.200524589108703</v>
      </c>
    </row>
    <row r="5" spans="1:9">
      <c r="A5" s="3">
        <f t="shared" si="0"/>
        <v>36526</v>
      </c>
      <c r="B5">
        <v>5.3981250000000003</v>
      </c>
      <c r="C5">
        <v>1303439000000</v>
      </c>
      <c r="D5">
        <v>79.547033091373805</v>
      </c>
      <c r="E5">
        <v>1.5482334259627306E-2</v>
      </c>
      <c r="F5">
        <f>(1+B5/100)/(1+E5)</f>
        <v>1.0379119502541043</v>
      </c>
      <c r="G5">
        <f>C5/D5*100</f>
        <v>1638576511713.2278</v>
      </c>
      <c r="H5">
        <f>LOG(F5)</f>
        <v>1.6160512336401953E-2</v>
      </c>
      <c r="I5">
        <f>LOG(G5)</f>
        <v>12.214466725144122</v>
      </c>
    </row>
    <row r="6" spans="1:9">
      <c r="A6" s="3">
        <f t="shared" si="0"/>
        <v>36617</v>
      </c>
      <c r="B6">
        <v>5.552225</v>
      </c>
      <c r="C6">
        <v>1349908000000</v>
      </c>
      <c r="D6">
        <v>79.640325155202603</v>
      </c>
      <c r="E6">
        <v>1.1054086063956081E-2</v>
      </c>
      <c r="F6">
        <f>(1+B6/100)/(1+E6)</f>
        <v>1.0439819833073016</v>
      </c>
      <c r="G6">
        <f>C6/D6*100</f>
        <v>1695005636113.749</v>
      </c>
      <c r="H6">
        <f>LOG(F6)</f>
        <v>1.86930038216673E-2</v>
      </c>
      <c r="I6">
        <f>LOG(G6)</f>
        <v>12.229171146627024</v>
      </c>
    </row>
    <row r="7" spans="1:9">
      <c r="A7" s="3">
        <f t="shared" si="0"/>
        <v>36708</v>
      </c>
      <c r="B7">
        <v>5.8351916666666677</v>
      </c>
      <c r="C7">
        <v>1350567000000</v>
      </c>
      <c r="D7">
        <v>80.168980183565907</v>
      </c>
      <c r="E7">
        <v>1.3763271726307202E-2</v>
      </c>
      <c r="F7">
        <f>(1+B7/100)/(1+E7)</f>
        <v>1.0439832909555213</v>
      </c>
      <c r="G7">
        <f>C7/D7*100</f>
        <v>1684650343446.5005</v>
      </c>
      <c r="H7">
        <f>LOG(F7)</f>
        <v>1.8693547800451901E-2</v>
      </c>
      <c r="I7">
        <f>LOG(G7)</f>
        <v>12.226509774839625</v>
      </c>
    </row>
    <row r="8" spans="1:9">
      <c r="A8" s="3">
        <f t="shared" si="0"/>
        <v>36800</v>
      </c>
      <c r="B8">
        <v>6.2068249999999994</v>
      </c>
      <c r="C8">
        <v>1463922000000</v>
      </c>
      <c r="D8">
        <v>80.417759020442801</v>
      </c>
      <c r="E8">
        <v>1.730920535011804E-2</v>
      </c>
      <c r="F8">
        <f>(1+B8/100)/(1+E8)</f>
        <v>1.0439974831786543</v>
      </c>
      <c r="G8">
        <f>C8/D8*100</f>
        <v>1820396412225.1404</v>
      </c>
      <c r="H8">
        <f>LOG(F8)</f>
        <v>1.8699451690247264E-2</v>
      </c>
      <c r="I8">
        <f>LOG(G8)</f>
        <v>12.260165970894803</v>
      </c>
    </row>
    <row r="9" spans="1:9">
      <c r="A9" s="3">
        <f t="shared" si="0"/>
        <v>36892</v>
      </c>
      <c r="B9">
        <v>6.4651916666666667</v>
      </c>
      <c r="C9">
        <v>1502933000000</v>
      </c>
      <c r="D9">
        <v>80.915316694196505</v>
      </c>
      <c r="E9">
        <v>1.7200938232994734E-2</v>
      </c>
      <c r="F9">
        <f>(1+B9/100)/(1+E9)</f>
        <v>1.0466485791058158</v>
      </c>
      <c r="G9">
        <f>C9/D9*100</f>
        <v>1857414716276.8196</v>
      </c>
      <c r="H9">
        <f>LOG(F9)</f>
        <v>1.9800888198383253E-2</v>
      </c>
      <c r="I9">
        <f>LOG(G9)</f>
        <v>12.268908882136154</v>
      </c>
    </row>
    <row r="10" spans="1:9">
      <c r="A10" s="3">
        <f t="shared" si="0"/>
        <v>36982</v>
      </c>
      <c r="B10">
        <v>6.4357583333333332</v>
      </c>
      <c r="C10">
        <v>1526133000000</v>
      </c>
      <c r="D10">
        <v>81.661653204827005</v>
      </c>
      <c r="E10">
        <v>2.5380710659897998E-2</v>
      </c>
      <c r="F10">
        <f>(1+B10/100)/(1+E10)</f>
        <v>1.0380120985973602</v>
      </c>
      <c r="G10">
        <f>C10/D10*100</f>
        <v>1868849013100.5464</v>
      </c>
      <c r="H10">
        <f>LOG(F10)</f>
        <v>1.6202415481081638E-2</v>
      </c>
      <c r="I10">
        <f>LOG(G10)</f>
        <v>12.271574215543595</v>
      </c>
    </row>
    <row r="11" spans="1:9">
      <c r="A11" s="3">
        <f t="shared" si="0"/>
        <v>37073</v>
      </c>
      <c r="B11">
        <v>6.2984583333333335</v>
      </c>
      <c r="C11">
        <v>1549980000000</v>
      </c>
      <c r="D11">
        <v>81.786042623265502</v>
      </c>
      <c r="E11">
        <v>2.0170674941816014E-2</v>
      </c>
      <c r="F11">
        <f>(1+B11/100)/(1+E11)</f>
        <v>1.0419673976552593</v>
      </c>
      <c r="G11">
        <f>C11/D11*100</f>
        <v>1895164444060.1414</v>
      </c>
      <c r="H11">
        <f>LOG(F11)</f>
        <v>1.7854130441501824E-2</v>
      </c>
      <c r="I11">
        <f>LOG(G11)</f>
        <v>12.277646899818269</v>
      </c>
    </row>
    <row r="12" spans="1:9">
      <c r="A12" s="3">
        <f t="shared" si="0"/>
        <v>37165</v>
      </c>
      <c r="B12">
        <v>6.109091666666667</v>
      </c>
      <c r="C12">
        <v>1562827000000</v>
      </c>
      <c r="D12">
        <v>81.754945268655902</v>
      </c>
      <c r="E12">
        <v>1.6627996906419362E-2</v>
      </c>
      <c r="F12">
        <f>(1+B12/100)/(1+E12)</f>
        <v>1.0437356829592999</v>
      </c>
      <c r="G12">
        <f>C12/D12*100</f>
        <v>1911599347127.4128</v>
      </c>
      <c r="H12">
        <f>LOG(F12)</f>
        <v>1.8590531265868536E-2</v>
      </c>
      <c r="I12">
        <f>LOG(G12)</f>
        <v>12.281396873523265</v>
      </c>
    </row>
    <row r="13" spans="1:9">
      <c r="A13" s="3">
        <f t="shared" si="0"/>
        <v>37257</v>
      </c>
      <c r="B13">
        <v>5.7045583333333338</v>
      </c>
      <c r="C13">
        <v>1568363000000</v>
      </c>
      <c r="D13">
        <v>82.532379133896001</v>
      </c>
      <c r="E13">
        <v>1.9984627209838068E-2</v>
      </c>
      <c r="F13">
        <f>(1+B13/100)/(1+E13)</f>
        <v>1.0363348183245422</v>
      </c>
      <c r="G13">
        <f>C13/D13*100</f>
        <v>1900300241503.4878</v>
      </c>
      <c r="H13">
        <f>LOG(F13)</f>
        <v>1.5500089635873184E-2</v>
      </c>
      <c r="I13">
        <f>LOG(G13)</f>
        <v>12.27882222354588</v>
      </c>
    </row>
    <row r="14" spans="1:9">
      <c r="A14" s="3">
        <f t="shared" si="0"/>
        <v>37347</v>
      </c>
      <c r="B14">
        <v>5.396791666666668</v>
      </c>
      <c r="C14">
        <v>1611278000000</v>
      </c>
      <c r="D14">
        <v>82.718963261553696</v>
      </c>
      <c r="E14">
        <v>1.294744859101371E-2</v>
      </c>
      <c r="F14">
        <f>(1+B14/100)/(1+E14)</f>
        <v>1.0404961463032574</v>
      </c>
      <c r="G14">
        <f>C14/D14*100</f>
        <v>1947894335794.8169</v>
      </c>
      <c r="H14">
        <f>LOG(F14)</f>
        <v>1.7240476049491405E-2</v>
      </c>
      <c r="I14">
        <f>LOG(G14)</f>
        <v>12.289565394726443</v>
      </c>
    </row>
    <row r="15" spans="1:9">
      <c r="A15" s="3">
        <f t="shared" si="0"/>
        <v>37438</v>
      </c>
      <c r="B15">
        <v>5.3465583333333342</v>
      </c>
      <c r="C15">
        <v>1627683000000</v>
      </c>
      <c r="D15">
        <v>82.781157970772895</v>
      </c>
      <c r="E15">
        <v>1.2167300380227841E-2</v>
      </c>
      <c r="F15">
        <f>(1+B15/100)/(1+E15)</f>
        <v>1.0408018347733536</v>
      </c>
      <c r="G15">
        <f>C15/D15*100</f>
        <v>1966248165524.1851</v>
      </c>
      <c r="H15">
        <f>LOG(F15)</f>
        <v>1.7368049148495907E-2</v>
      </c>
      <c r="I15">
        <f>LOG(G15)</f>
        <v>12.29363833044223</v>
      </c>
    </row>
    <row r="16" spans="1:9">
      <c r="A16" s="3">
        <f t="shared" si="0"/>
        <v>37530</v>
      </c>
      <c r="B16">
        <v>5.3261250000000002</v>
      </c>
      <c r="C16">
        <v>1634208000000</v>
      </c>
      <c r="D16">
        <v>82.718963261553696</v>
      </c>
      <c r="E16">
        <v>1.1791555724609992E-2</v>
      </c>
      <c r="F16">
        <f>(1+B16/100)/(1+E16)</f>
        <v>1.0409864008458649</v>
      </c>
      <c r="G16">
        <f>C16/D16*100</f>
        <v>1975614702559.4441</v>
      </c>
      <c r="H16">
        <f>LOG(F16)</f>
        <v>1.7445056046389507E-2</v>
      </c>
      <c r="I16">
        <f>LOG(G16)</f>
        <v>12.295702249528727</v>
      </c>
    </row>
    <row r="17" spans="1:9">
      <c r="A17" s="3">
        <f t="shared" si="0"/>
        <v>37622</v>
      </c>
      <c r="B17">
        <v>5.2114250000000011</v>
      </c>
      <c r="C17">
        <v>1651395000000</v>
      </c>
      <c r="D17">
        <v>83.465299772184196</v>
      </c>
      <c r="E17">
        <v>1.1303692539562871E-2</v>
      </c>
      <c r="F17">
        <f>(1+B17/100)/(1+E17)</f>
        <v>1.0403544036885246</v>
      </c>
      <c r="G17">
        <f>C17/D17*100</f>
        <v>1978540788216.6943</v>
      </c>
      <c r="H17">
        <f>LOG(F17)</f>
        <v>1.7181309824868082E-2</v>
      </c>
      <c r="I17">
        <f>LOG(G17)</f>
        <v>12.296345007806416</v>
      </c>
    </row>
    <row r="18" spans="1:9">
      <c r="A18" s="3">
        <f t="shared" si="0"/>
        <v>37712</v>
      </c>
      <c r="B18">
        <v>4.8600000000000003</v>
      </c>
      <c r="C18">
        <v>1668184000000</v>
      </c>
      <c r="D18">
        <v>83.372007708355397</v>
      </c>
      <c r="E18">
        <v>7.8947368421047326E-3</v>
      </c>
      <c r="F18">
        <f>(1+B18/100)/(1+E18)</f>
        <v>1.0403864229765019</v>
      </c>
      <c r="G18">
        <f>C18/D18*100</f>
        <v>2000892200935.7075</v>
      </c>
      <c r="H18">
        <f>LOG(F18)</f>
        <v>1.7194676025892145E-2</v>
      </c>
      <c r="I18">
        <f>LOG(G18)</f>
        <v>12.301223691434869</v>
      </c>
    </row>
    <row r="19" spans="1:9">
      <c r="A19" s="3">
        <f t="shared" si="0"/>
        <v>37803</v>
      </c>
      <c r="B19">
        <v>4.5333333333333341</v>
      </c>
      <c r="C19">
        <v>1660609000000</v>
      </c>
      <c r="D19">
        <v>83.651883899841906</v>
      </c>
      <c r="E19">
        <v>1.0518407212622316E-2</v>
      </c>
      <c r="F19">
        <f>(1+B19/100)/(1+E19)</f>
        <v>1.0344525402726146</v>
      </c>
      <c r="G19">
        <f>C19/D19*100</f>
        <v>1985142381238.2764</v>
      </c>
      <c r="H19">
        <f>LOG(F19)</f>
        <v>1.4710570428986712E-2</v>
      </c>
      <c r="I19">
        <f>LOG(G19)</f>
        <v>12.297791661309983</v>
      </c>
    </row>
    <row r="20" spans="1:9">
      <c r="A20" s="3">
        <f t="shared" si="0"/>
        <v>37895</v>
      </c>
      <c r="B20">
        <v>4.293333333333333</v>
      </c>
      <c r="C20">
        <v>1642845000000</v>
      </c>
      <c r="D20">
        <v>83.682981254451505</v>
      </c>
      <c r="E20">
        <v>1.1654135338345917E-2</v>
      </c>
      <c r="F20">
        <f>(1+B20/100)/(1+E20)</f>
        <v>1.0309188653536479</v>
      </c>
      <c r="G20">
        <f>C20/D20*100</f>
        <v>1963176951123.0327</v>
      </c>
      <c r="H20">
        <f>LOG(F20)</f>
        <v>1.322448709172426E-2</v>
      </c>
      <c r="I20">
        <f>LOG(G20)</f>
        <v>12.292959446534701</v>
      </c>
    </row>
    <row r="21" spans="1:9">
      <c r="A21" s="3">
        <f t="shared" si="0"/>
        <v>37987</v>
      </c>
      <c r="B21">
        <v>4.2600000000000007</v>
      </c>
      <c r="C21">
        <v>1604038000000</v>
      </c>
      <c r="D21">
        <v>84.273830992033993</v>
      </c>
      <c r="E21">
        <v>9.6870342771984141E-3</v>
      </c>
      <c r="F21">
        <f>(1+B21/100)/(1+E21)</f>
        <v>1.0325971955719555</v>
      </c>
      <c r="G21">
        <f>C21/D21*100</f>
        <v>1903364284165.0596</v>
      </c>
      <c r="H21">
        <f>LOG(F21)</f>
        <v>1.3930941213548917E-2</v>
      </c>
      <c r="I21">
        <f>LOG(G21)</f>
        <v>12.279521915697536</v>
      </c>
    </row>
    <row r="22" spans="1:9">
      <c r="A22" s="3">
        <f t="shared" si="0"/>
        <v>38078</v>
      </c>
      <c r="B22">
        <v>4.246666666666667</v>
      </c>
      <c r="C22">
        <v>1595721000000</v>
      </c>
      <c r="D22">
        <v>84.926875438835793</v>
      </c>
      <c r="E22">
        <v>1.8649757553152568E-2</v>
      </c>
      <c r="F22">
        <f>(1+B22/100)/(1+E22)</f>
        <v>1.0233808617112161</v>
      </c>
      <c r="G22">
        <f>C22/D22*100</f>
        <v>1878935250772.573</v>
      </c>
      <c r="H22">
        <f>LOG(F22)</f>
        <v>1.0037290952563484E-2</v>
      </c>
      <c r="I22">
        <f>LOG(G22)</f>
        <v>12.273911814311971</v>
      </c>
    </row>
    <row r="23" spans="1:9">
      <c r="A23" s="3">
        <f t="shared" si="0"/>
        <v>38169</v>
      </c>
      <c r="B23">
        <v>4.2266666666666675</v>
      </c>
      <c r="C23">
        <v>1574968000000</v>
      </c>
      <c r="D23">
        <v>85.175654275712603</v>
      </c>
      <c r="E23">
        <v>1.8215613382899232E-2</v>
      </c>
      <c r="F23">
        <f>(1+B23/100)/(1+E23)</f>
        <v>1.0236207861750035</v>
      </c>
      <c r="G23">
        <f>C23/D23*100</f>
        <v>1849082362081.8303</v>
      </c>
      <c r="H23">
        <f>LOG(F23)</f>
        <v>1.0139096313864688E-2</v>
      </c>
      <c r="I23">
        <f>LOG(G23)</f>
        <v>12.266956255994772</v>
      </c>
    </row>
    <row r="24" spans="1:9">
      <c r="A24" s="3">
        <f t="shared" si="0"/>
        <v>38261</v>
      </c>
      <c r="B24">
        <v>4.206666666666667</v>
      </c>
      <c r="C24">
        <v>1551900000000</v>
      </c>
      <c r="D24">
        <v>85.362238403370199</v>
      </c>
      <c r="E24">
        <v>2.0066889632106344E-2</v>
      </c>
      <c r="F24">
        <f>(1+B24/100)/(1+E24)</f>
        <v>1.0215669945355199</v>
      </c>
      <c r="G24">
        <f>C24/D24*100</f>
        <v>1818016993259.55</v>
      </c>
      <c r="H24">
        <f>LOG(F24)</f>
        <v>9.2668530076576907E-3</v>
      </c>
      <c r="I24">
        <f>LOG(G24)</f>
        <v>12.25959793831629</v>
      </c>
    </row>
    <row r="25" spans="1:9">
      <c r="A25" s="3">
        <f t="shared" si="0"/>
        <v>38353</v>
      </c>
      <c r="B25">
        <v>4.1266666666666678</v>
      </c>
      <c r="C25">
        <v>1546443000000</v>
      </c>
      <c r="D25">
        <v>85.642114594856693</v>
      </c>
      <c r="E25">
        <v>1.6236162361623618E-2</v>
      </c>
      <c r="F25">
        <f>(1+B25/100)/(1+E25)</f>
        <v>1.0246305979181798</v>
      </c>
      <c r="G25">
        <f>C25/D25*100</f>
        <v>1805703896168.0107</v>
      </c>
      <c r="H25">
        <f>LOG(F25)</f>
        <v>1.056732080501871E-2</v>
      </c>
      <c r="I25">
        <f>LOG(G25)</f>
        <v>12.256646535122838</v>
      </c>
    </row>
    <row r="26" spans="1:9">
      <c r="A26" s="3">
        <f t="shared" si="0"/>
        <v>38443</v>
      </c>
      <c r="B26">
        <v>4.0633333333333335</v>
      </c>
      <c r="C26">
        <v>1557204000000</v>
      </c>
      <c r="D26">
        <v>85.9841854955624</v>
      </c>
      <c r="E26">
        <v>1.2449652142072276E-2</v>
      </c>
      <c r="F26">
        <f>(1+B26/100)/(1+E26)</f>
        <v>1.027837118746233</v>
      </c>
      <c r="G26">
        <f>C26/D26*100</f>
        <v>1811035356124.1406</v>
      </c>
      <c r="H26">
        <f>LOG(F26)</f>
        <v>1.1924297505194E-2</v>
      </c>
      <c r="I26">
        <f>LOG(G26)</f>
        <v>12.257926928955545</v>
      </c>
    </row>
    <row r="27" spans="1:9">
      <c r="A27" s="3">
        <f t="shared" si="0"/>
        <v>38534</v>
      </c>
      <c r="B27">
        <v>3.92</v>
      </c>
      <c r="C27">
        <v>1558051000000</v>
      </c>
      <c r="D27">
        <v>86.575035233144902</v>
      </c>
      <c r="E27">
        <v>1.6429353778751432E-2</v>
      </c>
      <c r="F27">
        <f>(1+B27/100)/(1+E27)</f>
        <v>1.0224025862068964</v>
      </c>
      <c r="G27">
        <f>C27/D27*100</f>
        <v>1799653902310.5203</v>
      </c>
      <c r="H27">
        <f>LOG(F27)</f>
        <v>9.621939380408279E-3</v>
      </c>
      <c r="I27">
        <f>LOG(G27)</f>
        <v>12.255188992453878</v>
      </c>
    </row>
    <row r="28" spans="1:9">
      <c r="A28" s="3">
        <f t="shared" si="0"/>
        <v>38626</v>
      </c>
      <c r="B28">
        <v>3.94</v>
      </c>
      <c r="C28">
        <v>1562388000000</v>
      </c>
      <c r="D28">
        <v>86.792716715412197</v>
      </c>
      <c r="E28">
        <v>1.6757741347906308E-2</v>
      </c>
      <c r="F28">
        <f>(1+B28/100)/(1+E28)</f>
        <v>1.0222690791830875</v>
      </c>
      <c r="G28">
        <f>C28/D28*100</f>
        <v>1800137222484.8899</v>
      </c>
      <c r="H28">
        <f>LOG(F28)</f>
        <v>9.5652247843199499E-3</v>
      </c>
      <c r="I28">
        <f>LOG(G28)</f>
        <v>12.255305612156913</v>
      </c>
    </row>
    <row r="29" spans="1:9">
      <c r="A29" s="3">
        <f t="shared" si="0"/>
        <v>38718</v>
      </c>
      <c r="B29">
        <v>4.0266666666666664</v>
      </c>
      <c r="C29">
        <v>1592372000000</v>
      </c>
      <c r="D29">
        <v>87.103690261508206</v>
      </c>
      <c r="E29">
        <v>1.7066085693536737E-2</v>
      </c>
      <c r="F29">
        <f>(1+B29/100)/(1+E29)</f>
        <v>1.0228112816851125</v>
      </c>
      <c r="G29">
        <f>C29/D29*100</f>
        <v>1828133796879.6501</v>
      </c>
      <c r="H29">
        <f>LOG(F29)</f>
        <v>9.7955096814091938E-3</v>
      </c>
      <c r="I29">
        <f>LOG(G29)</f>
        <v>12.262007977568551</v>
      </c>
    </row>
    <row r="30" spans="1:9">
      <c r="A30" s="3">
        <f t="shared" si="0"/>
        <v>38808</v>
      </c>
      <c r="B30">
        <v>4.2066666666666661</v>
      </c>
      <c r="C30">
        <v>1629436000000</v>
      </c>
      <c r="D30">
        <v>87.570150580652296</v>
      </c>
      <c r="E30">
        <v>1.8444846292946959E-2</v>
      </c>
      <c r="F30">
        <f>(1+B30/100)/(1+E30)</f>
        <v>1.0231940104166672</v>
      </c>
      <c r="G30">
        <f>C30/D30*100</f>
        <v>1860720792639.5947</v>
      </c>
      <c r="H30">
        <f>LOG(F30)</f>
        <v>9.9579892006562525E-3</v>
      </c>
      <c r="I30">
        <f>LOG(G30)</f>
        <v>12.269681210684192</v>
      </c>
    </row>
    <row r="31" spans="1:9">
      <c r="A31" s="3">
        <f t="shared" si="0"/>
        <v>38899</v>
      </c>
      <c r="B31">
        <v>4.4733333333333336</v>
      </c>
      <c r="C31">
        <v>1646988000000</v>
      </c>
      <c r="D31">
        <v>87.850026772138804</v>
      </c>
      <c r="E31">
        <v>1.4727011494253262E-2</v>
      </c>
      <c r="F31">
        <f>(1+B31/100)/(1+E31)</f>
        <v>1.0295708318584067</v>
      </c>
      <c r="G31">
        <f>C31/D31*100</f>
        <v>1874772337032.8374</v>
      </c>
      <c r="H31">
        <f>LOG(F31)</f>
        <v>1.2656230339241946E-2</v>
      </c>
      <c r="I31">
        <f>LOG(G31)</f>
        <v>12.272948536717905</v>
      </c>
    </row>
    <row r="32" spans="1:9">
      <c r="A32" s="3">
        <f t="shared" si="0"/>
        <v>38991</v>
      </c>
      <c r="B32">
        <v>4.7333333333333334</v>
      </c>
      <c r="C32">
        <v>1655293000000</v>
      </c>
      <c r="D32">
        <v>87.912221481358003</v>
      </c>
      <c r="E32">
        <v>1.2898602651379099E-2</v>
      </c>
      <c r="F32">
        <f>(1+B32/100)/(1+E32)</f>
        <v>1.0339962268600402</v>
      </c>
      <c r="G32">
        <f>C32/D32*100</f>
        <v>1882892926725.7896</v>
      </c>
      <c r="H32">
        <f>LOG(F32)</f>
        <v>1.4518953983403615E-2</v>
      </c>
      <c r="I32">
        <f>LOG(G32)</f>
        <v>12.27482562397083</v>
      </c>
    </row>
    <row r="33" spans="1:9">
      <c r="A33" s="3">
        <f t="shared" si="0"/>
        <v>39083</v>
      </c>
      <c r="B33">
        <v>4.9499999999999993</v>
      </c>
      <c r="C33">
        <v>1650405000000</v>
      </c>
      <c r="D33">
        <v>88.658557991988602</v>
      </c>
      <c r="E33">
        <v>1.7850767583006855E-2</v>
      </c>
      <c r="F33">
        <f>(1+B33/100)/(1+E33)</f>
        <v>1.0310941774815847</v>
      </c>
      <c r="G33">
        <f>C33/D33*100</f>
        <v>1861529261675.0371</v>
      </c>
      <c r="H33">
        <f>LOG(F33)</f>
        <v>1.3298334432527167E-2</v>
      </c>
      <c r="I33">
        <f>LOG(G33)</f>
        <v>12.269869867352218</v>
      </c>
    </row>
    <row r="34" spans="1:9">
      <c r="A34" s="3">
        <f t="shared" si="0"/>
        <v>39173</v>
      </c>
      <c r="B34">
        <v>5.2</v>
      </c>
      <c r="C34">
        <v>1667700000000</v>
      </c>
      <c r="D34">
        <v>89.373797148009501</v>
      </c>
      <c r="E34">
        <v>2.059659090909105E-2</v>
      </c>
      <c r="F34">
        <f>(1+B34/100)/(1+E34)</f>
        <v>1.03076965901183</v>
      </c>
      <c r="G34">
        <f>C34/D34*100</f>
        <v>1865983155262.1265</v>
      </c>
      <c r="H34">
        <f>LOG(F34)</f>
        <v>1.3161626489587942E-2</v>
      </c>
      <c r="I34">
        <f>LOG(G34)</f>
        <v>12.270907718933671</v>
      </c>
    </row>
    <row r="35" spans="1:9">
      <c r="A35" s="3">
        <f t="shared" si="0"/>
        <v>39264</v>
      </c>
      <c r="B35">
        <v>5.416666666666667</v>
      </c>
      <c r="C35">
        <v>1668018000000</v>
      </c>
      <c r="D35">
        <v>89.840257467153606</v>
      </c>
      <c r="E35">
        <v>2.2654867256636901E-2</v>
      </c>
      <c r="F35">
        <f>(1+B35/100)/(1+E35)</f>
        <v>1.030813718703127</v>
      </c>
      <c r="G35">
        <f>C35/D35*100</f>
        <v>1856648730787.3557</v>
      </c>
      <c r="H35">
        <f>LOG(F35)</f>
        <v>1.3180189775472355E-2</v>
      </c>
      <c r="I35">
        <f>LOG(G35)</f>
        <v>12.268729745036991</v>
      </c>
    </row>
    <row r="36" spans="1:9">
      <c r="A36" s="3">
        <f t="shared" si="0"/>
        <v>39356</v>
      </c>
      <c r="B36">
        <v>5.69</v>
      </c>
      <c r="C36">
        <v>1700758000000</v>
      </c>
      <c r="D36">
        <v>90.617691332393804</v>
      </c>
      <c r="E36">
        <v>3.0774672798019376E-2</v>
      </c>
      <c r="F36">
        <f>(1+B36/100)/(1+E36)</f>
        <v>1.0253453328757718</v>
      </c>
      <c r="G36">
        <f>C36/D36*100</f>
        <v>1876849845756.3518</v>
      </c>
      <c r="H36">
        <f>LOG(F36)</f>
        <v>1.0870158956453027E-2</v>
      </c>
      <c r="I36">
        <f>LOG(G36)</f>
        <v>12.273429529004972</v>
      </c>
    </row>
    <row r="37" spans="1:9">
      <c r="A37" s="3">
        <f t="shared" si="0"/>
        <v>39448</v>
      </c>
      <c r="B37">
        <v>5.7299999999999995</v>
      </c>
      <c r="C37">
        <v>1710252000000</v>
      </c>
      <c r="D37">
        <v>91.270735779195505</v>
      </c>
      <c r="E37">
        <v>2.946334619431723E-2</v>
      </c>
      <c r="F37">
        <f>(1+B37/100)/(1+E37)</f>
        <v>1.0270399659284501</v>
      </c>
      <c r="G37">
        <f>C37/D37*100</f>
        <v>1873822956941.5166</v>
      </c>
      <c r="H37">
        <f>LOG(F37)</f>
        <v>1.1587343932695365E-2</v>
      </c>
      <c r="I37">
        <f>LOG(G37)</f>
        <v>12.272728555358825</v>
      </c>
    </row>
    <row r="38" spans="1:9">
      <c r="A38" s="3">
        <f t="shared" si="0"/>
        <v>39539</v>
      </c>
      <c r="B38">
        <v>5.66</v>
      </c>
      <c r="C38">
        <v>1724181000000</v>
      </c>
      <c r="D38">
        <v>91.954877580606805</v>
      </c>
      <c r="E38">
        <v>2.8879610299233915E-2</v>
      </c>
      <c r="F38">
        <f>(1+B38/100)/(1+E38)</f>
        <v>1.0269423063916137</v>
      </c>
      <c r="G38">
        <f>C38/D38*100</f>
        <v>1875029411559.5974</v>
      </c>
      <c r="H38">
        <f>LOG(F38)</f>
        <v>1.1546045623009987E-2</v>
      </c>
      <c r="I38">
        <f>LOG(G38)</f>
        <v>12.27300808442526</v>
      </c>
    </row>
    <row r="39" spans="1:9">
      <c r="A39" s="3">
        <f t="shared" si="0"/>
        <v>39630</v>
      </c>
      <c r="B39">
        <v>5.78</v>
      </c>
      <c r="C39">
        <v>1741358000000</v>
      </c>
      <c r="D39">
        <v>92.607922027408605</v>
      </c>
      <c r="E39">
        <v>3.0806507442021624E-2</v>
      </c>
      <c r="F39">
        <f>(1+B39/100)/(1+E39)</f>
        <v>1.0261867696440563</v>
      </c>
      <c r="G39">
        <f>C39/D39*100</f>
        <v>1880355332327.4231</v>
      </c>
      <c r="H39">
        <f>LOG(F39)</f>
        <v>1.1226411111005219E-2</v>
      </c>
      <c r="I39">
        <f>LOG(G39)</f>
        <v>12.274239926012212</v>
      </c>
    </row>
    <row r="40" spans="1:9">
      <c r="A40" s="3">
        <f t="shared" si="0"/>
        <v>39722</v>
      </c>
      <c r="B40">
        <v>5.9333333333333336</v>
      </c>
      <c r="C40">
        <v>1783127000000</v>
      </c>
      <c r="D40">
        <v>92.079266999045302</v>
      </c>
      <c r="E40">
        <v>1.612903225806428E-2</v>
      </c>
      <c r="F40">
        <f>(1+B40/100)/(1+E40)</f>
        <v>1.0425185185185186</v>
      </c>
      <c r="G40">
        <f>C40/D40*100</f>
        <v>1936513026345.5376</v>
      </c>
      <c r="H40">
        <f>LOG(F40)</f>
        <v>1.8083778196370522E-2</v>
      </c>
      <c r="I40">
        <f>LOG(G40)</f>
        <v>12.287020422701373</v>
      </c>
    </row>
    <row r="41" spans="1:9">
      <c r="A41" s="3">
        <f t="shared" si="0"/>
        <v>39814</v>
      </c>
      <c r="B41">
        <v>5.4233333333333347</v>
      </c>
      <c r="C41">
        <v>1782186000000</v>
      </c>
      <c r="D41">
        <v>92.017072289826103</v>
      </c>
      <c r="E41">
        <v>8.1771720613292853E-3</v>
      </c>
      <c r="F41">
        <f>(1+B41/100)/(1+E41)</f>
        <v>1.0456826067365097</v>
      </c>
      <c r="G41">
        <f>C41/D41*100</f>
        <v>1936799286969.9768</v>
      </c>
      <c r="H41">
        <f>LOG(F41)</f>
        <v>1.9399884282459451E-2</v>
      </c>
      <c r="I41">
        <f>LOG(G41)</f>
        <v>12.287084616548784</v>
      </c>
    </row>
    <row r="42" spans="1:9">
      <c r="A42" s="3">
        <f t="shared" si="0"/>
        <v>39904</v>
      </c>
      <c r="B42">
        <v>4.04</v>
      </c>
      <c r="C42">
        <v>1775383000000</v>
      </c>
      <c r="D42">
        <v>92.2036564174837</v>
      </c>
      <c r="E42">
        <v>2.7054447074741361E-3</v>
      </c>
      <c r="F42">
        <f>(1+B42/100)/(1+E42)</f>
        <v>1.0375928499156826</v>
      </c>
      <c r="G42">
        <f>C42/D42*100</f>
        <v>1925501730605.2856</v>
      </c>
      <c r="H42">
        <f>LOG(F42)</f>
        <v>1.6026970349671182E-2</v>
      </c>
      <c r="I42">
        <f>LOG(G42)</f>
        <v>12.28454391329476</v>
      </c>
    </row>
    <row r="43" spans="1:9">
      <c r="A43" s="3">
        <f t="shared" si="0"/>
        <v>39995</v>
      </c>
      <c r="B43">
        <v>3.5833333333333335</v>
      </c>
      <c r="C43">
        <v>1749363000000</v>
      </c>
      <c r="D43">
        <v>92.390240545141396</v>
      </c>
      <c r="E43">
        <v>-2.3505708529210079E-3</v>
      </c>
      <c r="F43">
        <f>(1+B43/100)/(1+E43)</f>
        <v>1.038273869628632</v>
      </c>
      <c r="G43">
        <f>C43/D43*100</f>
        <v>1893449989607.1492</v>
      </c>
      <c r="H43">
        <f>LOG(F43)</f>
        <v>1.6311924206513086E-2</v>
      </c>
      <c r="I43">
        <f>LOG(G43)</f>
        <v>12.277253838886748</v>
      </c>
    </row>
    <row r="44" spans="1:9">
      <c r="A44" s="3">
        <f t="shared" si="0"/>
        <v>40087</v>
      </c>
      <c r="B44">
        <v>3.3200000000000003</v>
      </c>
      <c r="C44">
        <v>1757160000000</v>
      </c>
      <c r="D44">
        <v>92.452435254360594</v>
      </c>
      <c r="E44">
        <v>4.0526849037487711E-3</v>
      </c>
      <c r="F44">
        <f>(1+B44/100)/(1+E44)</f>
        <v>1.029029667003027</v>
      </c>
      <c r="G44">
        <f>C44/D44*100</f>
        <v>1900609751561.0032</v>
      </c>
      <c r="H44">
        <f>LOG(F44)</f>
        <v>1.2427895685640893E-2</v>
      </c>
      <c r="I44">
        <f>LOG(G44)</f>
        <v>12.278892953192527</v>
      </c>
    </row>
    <row r="45" spans="1:9">
      <c r="A45" s="3">
        <f t="shared" si="0"/>
        <v>40179</v>
      </c>
      <c r="B45">
        <v>3.3366666666666673</v>
      </c>
      <c r="C45">
        <v>1760921000000</v>
      </c>
      <c r="D45">
        <v>92.763408800456602</v>
      </c>
      <c r="E45">
        <v>8.1108482595464437E-3</v>
      </c>
      <c r="F45">
        <f>(1+B45/100)/(1+E45)</f>
        <v>1.0250526204045154</v>
      </c>
      <c r="G45">
        <f>C45/D45*100</f>
        <v>1898292681102.2197</v>
      </c>
      <c r="H45">
        <f>LOG(F45)</f>
        <v>1.074616018664238E-2</v>
      </c>
      <c r="I45">
        <f>LOG(G45)</f>
        <v>12.278363173311599</v>
      </c>
    </row>
    <row r="46" spans="1:9">
      <c r="A46" s="3">
        <f t="shared" si="0"/>
        <v>40269</v>
      </c>
      <c r="B46">
        <v>3.1299999999999994</v>
      </c>
      <c r="C46">
        <v>1788564000000</v>
      </c>
      <c r="D46">
        <v>93.229869119600707</v>
      </c>
      <c r="E46">
        <v>1.1129848229342265E-2</v>
      </c>
      <c r="F46">
        <f>(1+B46/100)/(1+E46)</f>
        <v>1.0199481320880586</v>
      </c>
      <c r="G46">
        <f>C46/D46*100</f>
        <v>1918445254605.6091</v>
      </c>
      <c r="H46">
        <f>LOG(F46)</f>
        <v>8.5780869377060694E-3</v>
      </c>
      <c r="I46">
        <f>LOG(G46)</f>
        <v>12.282949410538805</v>
      </c>
    </row>
    <row r="47" spans="1:9">
      <c r="A47" s="3">
        <f t="shared" si="0"/>
        <v>40360</v>
      </c>
      <c r="B47">
        <v>3.1333333333333333</v>
      </c>
      <c r="C47">
        <v>1804331000000</v>
      </c>
      <c r="D47">
        <v>93.416453247258403</v>
      </c>
      <c r="E47">
        <v>1.1107371255469456E-2</v>
      </c>
      <c r="F47">
        <f>(1+B47/100)/(1+E47)</f>
        <v>1.020003772747448</v>
      </c>
      <c r="G47">
        <f>C47/D47*100</f>
        <v>1931491656212.0212</v>
      </c>
      <c r="H47">
        <f>LOG(F47)</f>
        <v>8.6017781152196299E-3</v>
      </c>
      <c r="I47">
        <f>LOG(G47)</f>
        <v>12.285892836390286</v>
      </c>
    </row>
    <row r="48" spans="1:9">
      <c r="A48" s="3">
        <f t="shared" si="0"/>
        <v>40452</v>
      </c>
      <c r="B48">
        <v>3.14</v>
      </c>
      <c r="C48">
        <v>1793654000000</v>
      </c>
      <c r="D48">
        <v>93.727426793354397</v>
      </c>
      <c r="E48">
        <v>1.3790783720147193E-2</v>
      </c>
      <c r="F48">
        <f>(1+B48/100)/(1+E48)</f>
        <v>1.0173696748506977</v>
      </c>
      <c r="G48">
        <f>C48/D48*100</f>
        <v>1913691713690.7639</v>
      </c>
      <c r="H48">
        <f>LOG(F48)</f>
        <v>7.4787882970212272E-3</v>
      </c>
      <c r="I48">
        <f>LOG(G48)</f>
        <v>12.281871976373615</v>
      </c>
    </row>
    <row r="49" spans="1:9">
      <c r="A49" s="3">
        <f t="shared" si="0"/>
        <v>40544</v>
      </c>
      <c r="B49">
        <v>3.2466666666666666</v>
      </c>
      <c r="C49">
        <v>1741982000000</v>
      </c>
      <c r="D49">
        <v>94.504860658594595</v>
      </c>
      <c r="E49">
        <v>1.8773047267851339E-2</v>
      </c>
      <c r="F49">
        <f>(1+B49/100)/(1+E49)</f>
        <v>1.0134412855105843</v>
      </c>
      <c r="G49">
        <f>C49/D49*100</f>
        <v>1843272386055.3921</v>
      </c>
      <c r="H49">
        <f>LOG(F49)</f>
        <v>5.798592577710638E-3</v>
      </c>
      <c r="I49">
        <f>LOG(G49)</f>
        <v>12.26558951699873</v>
      </c>
    </row>
    <row r="50" spans="1:9">
      <c r="A50" s="3">
        <f t="shared" si="0"/>
        <v>40634</v>
      </c>
      <c r="B50">
        <v>3.33</v>
      </c>
      <c r="C50">
        <v>1747584000000</v>
      </c>
      <c r="D50">
        <v>95.095710396177097</v>
      </c>
      <c r="E50">
        <v>2.0013342228152098E-2</v>
      </c>
      <c r="F50">
        <f>(1+B50/100)/(1+E50)</f>
        <v>1.0130259646827993</v>
      </c>
      <c r="G50">
        <f>C50/D50*100</f>
        <v>1837710652477.8157</v>
      </c>
      <c r="H50">
        <f>LOG(F50)</f>
        <v>5.6205768251888465E-3</v>
      </c>
      <c r="I50">
        <f>LOG(G50)</f>
        <v>12.264277132771278</v>
      </c>
    </row>
    <row r="51" spans="1:9">
      <c r="A51" s="3">
        <f t="shared" si="0"/>
        <v>40725</v>
      </c>
      <c r="B51">
        <v>3.5966666666666662</v>
      </c>
      <c r="C51">
        <v>1787390000000</v>
      </c>
      <c r="D51">
        <v>95.468878651492403</v>
      </c>
      <c r="E51">
        <v>2.1970705725698592E-2</v>
      </c>
      <c r="F51">
        <f>(1+B51/100)/(1+E51)</f>
        <v>1.0136950705754619</v>
      </c>
      <c r="G51">
        <f>C51/D51*100</f>
        <v>1872222681618.4131</v>
      </c>
      <c r="H51">
        <f>LOG(F51)</f>
        <v>5.9073346004272958E-3</v>
      </c>
      <c r="I51">
        <f>LOG(G51)</f>
        <v>12.27235750233295</v>
      </c>
    </row>
    <row r="52" spans="1:9">
      <c r="A52" s="3">
        <f t="shared" si="0"/>
        <v>40817</v>
      </c>
      <c r="B52">
        <v>3.6333333333333329</v>
      </c>
      <c r="C52">
        <v>1812065000000</v>
      </c>
      <c r="D52">
        <v>95.810949552198096</v>
      </c>
      <c r="E52">
        <v>2.2229595222296616E-2</v>
      </c>
      <c r="F52">
        <f>(1+B52/100)/(1+E52)</f>
        <v>1.0137970355945032</v>
      </c>
      <c r="G52">
        <f>C52/D52*100</f>
        <v>1891292183690.113</v>
      </c>
      <c r="H52">
        <f>LOG(F52)</f>
        <v>5.9510169852014204E-3</v>
      </c>
      <c r="I52">
        <f>LOG(G52)</f>
        <v>12.276758627714406</v>
      </c>
    </row>
    <row r="53" spans="1:9">
      <c r="A53" s="3">
        <f t="shared" si="0"/>
        <v>40909</v>
      </c>
      <c r="B53">
        <v>3.5700000000000003</v>
      </c>
      <c r="C53">
        <v>1817731000000</v>
      </c>
      <c r="D53">
        <v>96.526188708218996</v>
      </c>
      <c r="E53">
        <v>2.1388614675879936E-2</v>
      </c>
      <c r="F53">
        <f>(1+B53/100)/(1+E53)</f>
        <v>1.0140116945876292</v>
      </c>
      <c r="G53">
        <f>C53/D53*100</f>
        <v>1883148008147.9941</v>
      </c>
      <c r="H53">
        <f>LOG(F53)</f>
        <v>6.0429637405005569E-3</v>
      </c>
      <c r="I53">
        <f>LOG(G53)</f>
        <v>12.274884455224226</v>
      </c>
    </row>
    <row r="54" spans="1:9">
      <c r="A54" s="3">
        <f t="shared" si="0"/>
        <v>41000</v>
      </c>
      <c r="B54">
        <v>3.2366666666666664</v>
      </c>
      <c r="C54">
        <v>1841458000000</v>
      </c>
      <c r="D54">
        <v>96.868259608924703</v>
      </c>
      <c r="E54">
        <v>1.8639633747547624E-2</v>
      </c>
      <c r="F54">
        <f>(1+B54/100)/(1+E54)</f>
        <v>1.0134758480470838</v>
      </c>
      <c r="G54">
        <f>C54/D54*100</f>
        <v>1900992138636.8564</v>
      </c>
      <c r="H54">
        <f>LOG(F54)</f>
        <v>5.8134035619736291E-3</v>
      </c>
      <c r="I54">
        <f>LOG(G54)</f>
        <v>12.278980320887698</v>
      </c>
    </row>
    <row r="55" spans="1:9">
      <c r="A55" s="3">
        <f t="shared" si="0"/>
        <v>41091</v>
      </c>
      <c r="B55">
        <v>3.0533333333333332</v>
      </c>
      <c r="C55">
        <v>1846020000000</v>
      </c>
      <c r="D55">
        <v>97.396914637288006</v>
      </c>
      <c r="E55">
        <v>2.0195439739413512E-2</v>
      </c>
      <c r="F55">
        <f>(1+B55/100)/(1+E55)</f>
        <v>1.0101332481907197</v>
      </c>
      <c r="G55">
        <f>C55/D55*100</f>
        <v>1895357780967.3848</v>
      </c>
      <c r="H55">
        <f>LOG(F55)</f>
        <v>4.3786659974892053E-3</v>
      </c>
      <c r="I55">
        <f>LOG(G55)</f>
        <v>12.277691202501146</v>
      </c>
    </row>
    <row r="56" spans="1:9">
      <c r="A56" s="3">
        <f t="shared" si="0"/>
        <v>41183</v>
      </c>
      <c r="B56">
        <v>2.8299999999999996</v>
      </c>
      <c r="C56">
        <v>1846570000000</v>
      </c>
      <c r="D56">
        <v>97.738985537993699</v>
      </c>
      <c r="E56">
        <v>2.0123336579032758E-2</v>
      </c>
      <c r="F56">
        <f>(1+B56/100)/(1+E56)</f>
        <v>1.0080153674832961</v>
      </c>
      <c r="G56">
        <f>C56/D56*100</f>
        <v>1889287053508.6431</v>
      </c>
      <c r="H56">
        <f>LOG(F56)</f>
        <v>3.4671531038739114E-3</v>
      </c>
      <c r="I56">
        <f>LOG(G56)</f>
        <v>12.276297948543133</v>
      </c>
    </row>
    <row r="57" spans="1:9">
      <c r="A57" s="3">
        <f t="shared" si="0"/>
        <v>41275</v>
      </c>
      <c r="B57">
        <v>2.6466666666666665</v>
      </c>
      <c r="C57">
        <v>1860297000000</v>
      </c>
      <c r="D57">
        <v>98.018861729480093</v>
      </c>
      <c r="E57">
        <v>1.5463917525772919E-2</v>
      </c>
      <c r="F57">
        <f>(1+B57/100)/(1+E57)</f>
        <v>1.0108351945854486</v>
      </c>
      <c r="G57">
        <f>C57/D57*100</f>
        <v>1897896963070.4231</v>
      </c>
      <c r="H57">
        <f>LOG(F57)</f>
        <v>4.6803544866601534E-3</v>
      </c>
      <c r="I57">
        <f>LOG(G57)</f>
        <v>12.278272630860178</v>
      </c>
    </row>
    <row r="58" spans="1:9">
      <c r="A58" s="3">
        <f t="shared" si="0"/>
        <v>41365</v>
      </c>
      <c r="B58">
        <v>2.5966666666666667</v>
      </c>
      <c r="C58">
        <v>1895413000000</v>
      </c>
      <c r="D58">
        <v>98.329835275576201</v>
      </c>
      <c r="E58">
        <v>1.5088282504012618E-2</v>
      </c>
      <c r="F58">
        <f>(1+B58/100)/(1+E58)</f>
        <v>1.0107166877503693</v>
      </c>
      <c r="G58">
        <f>C58/D58*100</f>
        <v>1927607215742.7837</v>
      </c>
      <c r="H58">
        <f>LOG(F58)</f>
        <v>4.629436313298956E-3</v>
      </c>
      <c r="I58">
        <f>LOG(G58)</f>
        <v>12.285018543356193</v>
      </c>
    </row>
    <row r="59" spans="1:9">
      <c r="A59" s="3">
        <f t="shared" si="0"/>
        <v>41456</v>
      </c>
      <c r="B59">
        <v>2.56</v>
      </c>
      <c r="C59">
        <v>1914716000000</v>
      </c>
      <c r="D59">
        <v>98.982879722378001</v>
      </c>
      <c r="E59">
        <v>1.628352490421503E-2</v>
      </c>
      <c r="F59">
        <f>(1+B59/100)/(1+E59)</f>
        <v>1.0091672007540053</v>
      </c>
      <c r="G59">
        <f>C59/D59*100</f>
        <v>1934391083963.5049</v>
      </c>
      <c r="H59">
        <f>LOG(F59)</f>
        <v>3.9631269396447561E-3</v>
      </c>
      <c r="I59">
        <f>LOG(G59)</f>
        <v>12.286544281761953</v>
      </c>
    </row>
    <row r="60" spans="1:9">
      <c r="A60" s="3">
        <f t="shared" si="0"/>
        <v>41548</v>
      </c>
      <c r="B60">
        <v>2.5533333333333332</v>
      </c>
      <c r="C60">
        <v>1936585000000</v>
      </c>
      <c r="D60">
        <v>99.0450744315972</v>
      </c>
      <c r="E60">
        <v>1.3363028953229605E-2</v>
      </c>
      <c r="F60">
        <f>(1+B60/100)/(1+E60)</f>
        <v>1.0120098168498166</v>
      </c>
      <c r="G60">
        <f>C60/D60*100</f>
        <v>1955256241780.5542</v>
      </c>
      <c r="H60">
        <f>LOG(F60)</f>
        <v>5.1847253328580825E-3</v>
      </c>
      <c r="I60">
        <f>LOG(G60)</f>
        <v>12.291203680964083</v>
      </c>
    </row>
    <row r="61" spans="1:9">
      <c r="A61" s="3">
        <f t="shared" si="0"/>
        <v>41640</v>
      </c>
      <c r="B61">
        <v>2.57</v>
      </c>
      <c r="C61">
        <v>1954194000000</v>
      </c>
      <c r="D61">
        <v>99.200561204645197</v>
      </c>
      <c r="E61">
        <v>1.2055837563452299E-2</v>
      </c>
      <c r="F61">
        <f>(1+B61/100)/(1+E61)</f>
        <v>1.0134816300940435</v>
      </c>
      <c r="G61">
        <f>C61/D61*100</f>
        <v>1969942484467.0056</v>
      </c>
      <c r="H61">
        <f>LOG(F61)</f>
        <v>5.8158812765934731E-3</v>
      </c>
      <c r="I61">
        <f>LOG(G61)</f>
        <v>12.29445354644421</v>
      </c>
    </row>
    <row r="62" spans="1:9">
      <c r="A62" s="3">
        <f t="shared" si="0"/>
        <v>41730</v>
      </c>
      <c r="B62">
        <v>2.6366666666666667</v>
      </c>
      <c r="C62">
        <v>1987895000000</v>
      </c>
      <c r="D62">
        <v>99.387145332302794</v>
      </c>
      <c r="E62">
        <v>1.0752688172042779E-2</v>
      </c>
      <c r="F62">
        <f>(1+B62/100)/(1+E62)</f>
        <v>1.0154478723404257</v>
      </c>
      <c r="G62">
        <f>C62/D62*100</f>
        <v>2000153031212.8755</v>
      </c>
      <c r="H62">
        <f>LOG(F62)</f>
        <v>6.6576339584779598E-3</v>
      </c>
      <c r="I62">
        <f>LOG(G62)</f>
        <v>12.301063224698384</v>
      </c>
    </row>
    <row r="63" spans="1:9">
      <c r="A63" s="3">
        <f t="shared" si="0"/>
        <v>41821</v>
      </c>
      <c r="B63">
        <v>2.5866666666666664</v>
      </c>
      <c r="C63">
        <v>1976490000000</v>
      </c>
      <c r="D63">
        <v>99.822508296837398</v>
      </c>
      <c r="E63">
        <v>8.4825636192273901E-3</v>
      </c>
      <c r="F63">
        <f>(1+B63/100)/(1+E63)</f>
        <v>1.0172378816199374</v>
      </c>
      <c r="G63">
        <f>C63/D63*100</f>
        <v>1980004343431.8508</v>
      </c>
      <c r="H63">
        <f>LOG(F63)</f>
        <v>7.4225247952275572E-3</v>
      </c>
      <c r="I63">
        <f>LOG(G63)</f>
        <v>12.29666614295164</v>
      </c>
    </row>
    <row r="64" spans="1:9">
      <c r="A64" s="3">
        <f t="shared" si="0"/>
        <v>41913</v>
      </c>
      <c r="B64">
        <v>2.3933333333333331</v>
      </c>
      <c r="C64">
        <v>1878816000000</v>
      </c>
      <c r="D64">
        <v>99.542632105350904</v>
      </c>
      <c r="E64">
        <v>5.0235478806908151E-3</v>
      </c>
      <c r="F64">
        <f>(1+B64/100)/(1+E64)</f>
        <v>1.0188152660626888</v>
      </c>
      <c r="G64">
        <f>C64/D64*100</f>
        <v>1887448583850.5413</v>
      </c>
      <c r="H64">
        <f>LOG(F64)</f>
        <v>8.0954438662867029E-3</v>
      </c>
      <c r="I64">
        <f>LOG(G64)</f>
        <v>12.275875129808972</v>
      </c>
    </row>
    <row r="65" spans="1:9">
      <c r="A65" s="3">
        <f t="shared" si="0"/>
        <v>42005</v>
      </c>
      <c r="B65">
        <v>2.2899999999999996</v>
      </c>
      <c r="C65">
        <v>1920820000000</v>
      </c>
      <c r="D65">
        <v>99.149858309718297</v>
      </c>
      <c r="E65">
        <v>-5.1111500087486217E-4</v>
      </c>
      <c r="F65">
        <f>(1+B65/100)/(1+E65)</f>
        <v>1.023423086891952</v>
      </c>
      <c r="G65">
        <f>C65/D65*100</f>
        <v>1937289707464.6938</v>
      </c>
      <c r="H65">
        <f>LOG(F65)</f>
        <v>1.0055209779626623E-2</v>
      </c>
      <c r="I65">
        <f>LOG(G65)</f>
        <v>12.287194571129646</v>
      </c>
    </row>
    <row r="66" spans="1:9">
      <c r="A66" s="3">
        <f t="shared" si="0"/>
        <v>42095</v>
      </c>
      <c r="B66">
        <v>2.1133333333333333</v>
      </c>
      <c r="C66">
        <v>1935137000000</v>
      </c>
      <c r="D66">
        <v>100.350058343057</v>
      </c>
      <c r="E66">
        <v>9.6885065723004704E-3</v>
      </c>
      <c r="F66">
        <f>(1+B66/100)/(1+E66)</f>
        <v>1.0113350074666947</v>
      </c>
      <c r="G66">
        <f>C66/D66*100</f>
        <v>1928386522093.0269</v>
      </c>
      <c r="H66">
        <f>LOG(F66)</f>
        <v>4.8950406495848709E-3</v>
      </c>
      <c r="I66">
        <f>LOG(G66)</f>
        <v>12.285194087444301</v>
      </c>
    </row>
    <row r="67" spans="1:9">
      <c r="A67" s="3">
        <f t="shared" si="0"/>
        <v>42186</v>
      </c>
      <c r="B67">
        <v>2.1033333333333331</v>
      </c>
      <c r="C67">
        <v>1947727000000</v>
      </c>
      <c r="D67">
        <v>100.55009168194699</v>
      </c>
      <c r="E67">
        <v>7.2887708145543684E-3</v>
      </c>
      <c r="F67">
        <f>(1+B67/100)/(1+E67)</f>
        <v>1.0136451064650152</v>
      </c>
      <c r="G67">
        <f>C67/D67*100</f>
        <v>1937071331730.769</v>
      </c>
      <c r="H67">
        <f>LOG(F67)</f>
        <v>5.885928091830096E-3</v>
      </c>
      <c r="I67">
        <f>LOG(G67)</f>
        <v>12.287145613701382</v>
      </c>
    </row>
    <row r="68" spans="1:9">
      <c r="A68" s="3">
        <f t="shared" ref="A68:A97" si="1">EDATE(A67,3)</f>
        <v>42278</v>
      </c>
      <c r="B68">
        <v>2.1</v>
      </c>
      <c r="C68">
        <v>1938971000000</v>
      </c>
      <c r="D68">
        <v>99.949991665277494</v>
      </c>
      <c r="E68">
        <v>4.0923125228942148E-3</v>
      </c>
      <c r="F68">
        <f>(1+B68/100)/(1+E68)</f>
        <v>1.0168387779352908</v>
      </c>
      <c r="G68">
        <f>C68/D68*100</f>
        <v>1939941132254.8374</v>
      </c>
      <c r="H68">
        <f>LOG(F68)</f>
        <v>7.2521000186004355E-3</v>
      </c>
      <c r="I68">
        <f>LOG(G68)</f>
        <v>12.287788551412296</v>
      </c>
    </row>
    <row r="69" spans="1:9">
      <c r="A69" s="3">
        <f t="shared" si="1"/>
        <v>42370</v>
      </c>
      <c r="B69">
        <v>2.0433333333333334</v>
      </c>
      <c r="C69">
        <v>1981691000000</v>
      </c>
      <c r="D69">
        <v>99.449908318053005</v>
      </c>
      <c r="E69">
        <v>3.0262273032950482E-3</v>
      </c>
      <c r="F69">
        <f>(1+B69/100)/(1+E69)</f>
        <v>1.0173545871047045</v>
      </c>
      <c r="G69">
        <f>C69/D69*100</f>
        <v>1992652415186.0542</v>
      </c>
      <c r="H69">
        <f>LOG(F69)</f>
        <v>7.4723475964783015E-3</v>
      </c>
      <c r="I69">
        <f>LOG(G69)</f>
        <v>12.299431549913916</v>
      </c>
    </row>
    <row r="70" spans="1:9">
      <c r="A70" s="3">
        <f t="shared" si="1"/>
        <v>42461</v>
      </c>
      <c r="B70">
        <v>1.9733333333333334</v>
      </c>
      <c r="C70">
        <v>1993129000000</v>
      </c>
      <c r="D70">
        <v>100.483413902317</v>
      </c>
      <c r="E70">
        <v>1.3289036544863464E-3</v>
      </c>
      <c r="F70">
        <f>(1+B70/100)/(1+E70)</f>
        <v>1.0183800044237987</v>
      </c>
      <c r="G70">
        <f>C70/D70*100</f>
        <v>1983540290477.7715</v>
      </c>
      <c r="H70">
        <f>LOG(F70)</f>
        <v>7.9098634915734031E-3</v>
      </c>
      <c r="I70">
        <f>LOG(G70)</f>
        <v>12.297441026466059</v>
      </c>
    </row>
    <row r="71" spans="1:9">
      <c r="A71" s="3">
        <f t="shared" si="1"/>
        <v>42552</v>
      </c>
      <c r="B71">
        <v>1.8933333333333333</v>
      </c>
      <c r="C71">
        <v>2010138000000</v>
      </c>
      <c r="D71">
        <v>101.050175029172</v>
      </c>
      <c r="E71">
        <v>4.9734748010656915E-3</v>
      </c>
      <c r="F71">
        <f>(1+B71/100)/(1+E71)</f>
        <v>1.0138907731221771</v>
      </c>
      <c r="G71">
        <f>C71/D71*100</f>
        <v>1989247420323.3167</v>
      </c>
      <c r="H71">
        <f>LOG(F71)</f>
        <v>5.9911707908021083E-3</v>
      </c>
      <c r="I71">
        <f>LOG(G71)</f>
        <v>12.298688803535894</v>
      </c>
    </row>
    <row r="72" spans="1:9">
      <c r="A72" s="3">
        <f t="shared" si="1"/>
        <v>42644</v>
      </c>
      <c r="B72">
        <v>1.83</v>
      </c>
      <c r="C72">
        <v>2010950000000</v>
      </c>
      <c r="D72">
        <v>100.983497249542</v>
      </c>
      <c r="E72">
        <v>1.0340226817883158E-2</v>
      </c>
      <c r="F72">
        <f>(1+B72/100)/(1+E72)</f>
        <v>1.0078783096731549</v>
      </c>
      <c r="G72">
        <f>C72/D72*100</f>
        <v>1991364980191.4741</v>
      </c>
      <c r="H72">
        <f>LOG(F72)</f>
        <v>3.4080989469882851E-3</v>
      </c>
      <c r="I72">
        <f>LOG(G72)</f>
        <v>12.299150865429924</v>
      </c>
    </row>
    <row r="73" spans="1:9">
      <c r="A73" s="3">
        <f t="shared" si="1"/>
        <v>42736</v>
      </c>
      <c r="B73">
        <v>1.8166666666666667</v>
      </c>
      <c r="C73">
        <v>2068253000000.0002</v>
      </c>
      <c r="D73">
        <v>101.083513918986</v>
      </c>
      <c r="E73">
        <v>1.6426416359364815E-2</v>
      </c>
      <c r="F73">
        <f>(1+B73/100)/(1+E73)</f>
        <v>1.0017121262093276</v>
      </c>
      <c r="G73">
        <f>C73/D73*100</f>
        <v>2046083401550.1423</v>
      </c>
      <c r="H73">
        <f>LOG(F73)</f>
        <v>7.4293115041475721E-4</v>
      </c>
      <c r="I73">
        <f>LOG(G73)</f>
        <v>12.310923332257271</v>
      </c>
    </row>
    <row r="74" spans="1:9">
      <c r="A74" s="3">
        <f t="shared" si="1"/>
        <v>42826</v>
      </c>
      <c r="B74">
        <v>1.7566666666666666</v>
      </c>
      <c r="C74">
        <v>2075127000000</v>
      </c>
      <c r="D74">
        <v>101.91698616436101</v>
      </c>
      <c r="E74">
        <v>1.426675514267095E-2</v>
      </c>
      <c r="F74">
        <f>(1+B74/100)/(1+E74)</f>
        <v>1.0032534947115876</v>
      </c>
      <c r="G74">
        <f>C74/D74*100</f>
        <v>2036095334151.123</v>
      </c>
      <c r="H74">
        <f>LOG(F74)</f>
        <v>1.4106812205436099E-3</v>
      </c>
      <c r="I74">
        <f>LOG(G74)</f>
        <v>12.308798108697367</v>
      </c>
    </row>
    <row r="75" spans="1:9">
      <c r="A75" s="3">
        <f t="shared" si="1"/>
        <v>42917</v>
      </c>
      <c r="B75">
        <v>1.76</v>
      </c>
      <c r="C75">
        <v>2094875000000</v>
      </c>
      <c r="D75">
        <v>102.61710285047501</v>
      </c>
      <c r="E75">
        <v>1.5506433520285023E-2</v>
      </c>
      <c r="F75">
        <f>(1+B75/100)/(1+E75)</f>
        <v>1.0020615984405512</v>
      </c>
      <c r="G75">
        <f>C75/D75*100</f>
        <v>2041448200942.1719</v>
      </c>
      <c r="H75">
        <f>LOG(F75)</f>
        <v>8.9441917650336013E-4</v>
      </c>
      <c r="I75">
        <f>LOG(G75)</f>
        <v>12.309938364748664</v>
      </c>
    </row>
    <row r="76" spans="1:9">
      <c r="A76" s="3">
        <f t="shared" si="1"/>
        <v>43009</v>
      </c>
      <c r="B76">
        <v>1.7300000000000002</v>
      </c>
      <c r="C76">
        <v>2120175000000.0002</v>
      </c>
      <c r="D76">
        <v>102.417069511585</v>
      </c>
      <c r="E76">
        <v>1.4196104324852854E-2</v>
      </c>
      <c r="F76">
        <f>(1+B76/100)/(1+E76)</f>
        <v>1.0030604492187569</v>
      </c>
      <c r="G76">
        <f>C76/D76*100</f>
        <v>2070138317871.0994</v>
      </c>
      <c r="H76">
        <f>LOG(F76)</f>
        <v>1.3271064711330898E-3</v>
      </c>
      <c r="I76">
        <f>LOG(G76)</f>
        <v>12.315999364143531</v>
      </c>
    </row>
    <row r="77" spans="1:9">
      <c r="A77" s="3">
        <f t="shared" si="1"/>
        <v>43101</v>
      </c>
      <c r="B77">
        <v>1.7299999999999998</v>
      </c>
      <c r="C77">
        <v>2193674000000</v>
      </c>
      <c r="D77">
        <v>102.417069511585</v>
      </c>
      <c r="E77">
        <v>1.3192612137205462E-2</v>
      </c>
      <c r="F77">
        <f>(1+B77/100)/(1+E77)</f>
        <v>1.0040539062499978</v>
      </c>
      <c r="G77">
        <f>C77/D77*100</f>
        <v>2141902722330.7346</v>
      </c>
      <c r="H77">
        <f>LOG(F77)</f>
        <v>1.7570300982893256E-3</v>
      </c>
      <c r="I77">
        <f>LOG(G77)</f>
        <v>12.330799742819684</v>
      </c>
    </row>
    <row r="78" spans="1:9">
      <c r="A78" s="3">
        <f t="shared" si="1"/>
        <v>43191</v>
      </c>
      <c r="B78">
        <v>1.6900000000000002</v>
      </c>
      <c r="C78">
        <v>2247855000000</v>
      </c>
      <c r="D78">
        <v>103.683947324554</v>
      </c>
      <c r="E78">
        <v>1.733725875040526E-2</v>
      </c>
      <c r="F78">
        <f>(1+B78/100)/(1+E78)</f>
        <v>0.99957019292604854</v>
      </c>
      <c r="G78">
        <f>C78/D78*100</f>
        <v>2167987483118.9731</v>
      </c>
      <c r="H78">
        <f>LOG(F78)</f>
        <v>-1.8670296650278597E-4</v>
      </c>
      <c r="I78">
        <f>LOG(G78)</f>
        <v>12.336056770473336</v>
      </c>
    </row>
    <row r="79" spans="1:9">
      <c r="A79" s="3">
        <f t="shared" si="1"/>
        <v>43282</v>
      </c>
      <c r="B79">
        <v>1.6633333333333333</v>
      </c>
      <c r="C79">
        <v>2283135000000</v>
      </c>
      <c r="D79">
        <v>104.55075845974299</v>
      </c>
      <c r="E79">
        <v>1.8843404808314812E-2</v>
      </c>
      <c r="F79">
        <f>(1+B79/100)/(1+E79)</f>
        <v>0.99783080357143072</v>
      </c>
      <c r="G79">
        <f>C79/D79*100</f>
        <v>2183757472098.2205</v>
      </c>
      <c r="H79">
        <f>LOG(F79)</f>
        <v>-9.430932865916882E-4</v>
      </c>
      <c r="I79">
        <f>LOG(G79)</f>
        <v>12.339204404006086</v>
      </c>
    </row>
    <row r="80" spans="1:9">
      <c r="A80" s="3">
        <f t="shared" si="1"/>
        <v>43374</v>
      </c>
      <c r="B80">
        <v>1.5766666666666669</v>
      </c>
      <c r="C80">
        <v>2271985000000</v>
      </c>
      <c r="D80">
        <v>104.450741790298</v>
      </c>
      <c r="E80">
        <v>1.9856770833332149E-2</v>
      </c>
      <c r="F80">
        <f>(1+B80/100)/(1+E80)</f>
        <v>0.99598953080115027</v>
      </c>
      <c r="G80">
        <f>C80/D80*100</f>
        <v>2175173637887.0173</v>
      </c>
      <c r="H80">
        <f>LOG(F80)</f>
        <v>-1.7452265754843708E-3</v>
      </c>
      <c r="I80">
        <f>LOG(G80)</f>
        <v>12.337493931160182</v>
      </c>
    </row>
    <row r="81" spans="1:9">
      <c r="A81" s="3">
        <f t="shared" si="1"/>
        <v>43466</v>
      </c>
      <c r="B81">
        <v>1.6066666666666667</v>
      </c>
      <c r="C81">
        <v>2321898000000</v>
      </c>
      <c r="D81">
        <v>103.81730288381399</v>
      </c>
      <c r="E81">
        <v>1.3671875000002887E-2</v>
      </c>
      <c r="F81">
        <f>(1+B81/100)/(1+E81)</f>
        <v>1.0023624919717378</v>
      </c>
      <c r="G81">
        <f>C81/D81*100</f>
        <v>2236523137764.9316</v>
      </c>
      <c r="H81">
        <f>LOG(F81)</f>
        <v>1.0248071536199217E-3</v>
      </c>
      <c r="I81">
        <f>LOG(G81)</f>
        <v>12.349573395489518</v>
      </c>
    </row>
    <row r="82" spans="1:9">
      <c r="A82" s="3">
        <f t="shared" si="1"/>
        <v>43556</v>
      </c>
      <c r="B82">
        <v>1.5966666666666667</v>
      </c>
      <c r="C82">
        <v>2360291000000</v>
      </c>
      <c r="D82">
        <v>105.450908484747</v>
      </c>
      <c r="E82">
        <v>1.7041800643083471E-2</v>
      </c>
      <c r="F82">
        <f>(1+B82/100)/(1+E82)</f>
        <v>0.99894288123090225</v>
      </c>
      <c r="G82">
        <f>C82/D82*100</f>
        <v>2238284177837.5059</v>
      </c>
      <c r="H82">
        <f>LOG(F82)</f>
        <v>-4.5934368134803075E-4</v>
      </c>
      <c r="I82">
        <f>LOG(G82)</f>
        <v>12.349915224744489</v>
      </c>
    </row>
    <row r="83" spans="1:9">
      <c r="A83" s="3">
        <f t="shared" si="1"/>
        <v>43647</v>
      </c>
      <c r="B83">
        <v>1.5199999999999998</v>
      </c>
      <c r="C83">
        <v>2380482000000</v>
      </c>
      <c r="D83">
        <v>106.084347391232</v>
      </c>
      <c r="E83">
        <v>1.466836734694299E-2</v>
      </c>
      <c r="F83">
        <f>(1+B83/100)/(1+E83)</f>
        <v>1.000523947203013</v>
      </c>
      <c r="G83">
        <f>C83/D83*100</f>
        <v>2243952155562.5366</v>
      </c>
      <c r="H83">
        <f>LOG(F83)</f>
        <v>2.2748778848473731E-4</v>
      </c>
      <c r="I83">
        <f>LOG(G83)</f>
        <v>12.351013592870801</v>
      </c>
    </row>
    <row r="84" spans="1:9">
      <c r="A84" s="3">
        <f t="shared" si="1"/>
        <v>43739</v>
      </c>
      <c r="B84">
        <v>1.4866666666666666</v>
      </c>
      <c r="C84">
        <v>2385627000000</v>
      </c>
      <c r="D84">
        <v>105.750958493082</v>
      </c>
      <c r="E84">
        <v>1.2448132780084942E-2</v>
      </c>
      <c r="F84">
        <f>(1+B84/100)/(1+E84)</f>
        <v>1.0023887978142056</v>
      </c>
      <c r="G84">
        <f>C84/D84*100</f>
        <v>2255891609867.5952</v>
      </c>
      <c r="H84">
        <f>LOG(F84)</f>
        <v>1.0362045596567482E-3</v>
      </c>
      <c r="I84">
        <f>LOG(G84)</f>
        <v>12.353318229013762</v>
      </c>
    </row>
    <row r="85" spans="1:9">
      <c r="A85" s="3">
        <f t="shared" si="1"/>
        <v>43831</v>
      </c>
      <c r="B85">
        <v>1.5700000000000003</v>
      </c>
      <c r="C85">
        <v>2424492000000</v>
      </c>
      <c r="D85">
        <v>105.498678637488</v>
      </c>
      <c r="E85">
        <v>1.6195525283061007E-2</v>
      </c>
      <c r="F85">
        <f>(1+B85/100)/(1+E85)</f>
        <v>0.99951237210681187</v>
      </c>
      <c r="G85">
        <f>C85/D85*100</f>
        <v>2298125465941.5977</v>
      </c>
      <c r="H85">
        <f>LOG(F85)</f>
        <v>-2.1182575350503128E-4</v>
      </c>
      <c r="I85">
        <f>LOG(G85)</f>
        <v>12.361373735265522</v>
      </c>
    </row>
    <row r="86" spans="1:9">
      <c r="A86" s="3">
        <f t="shared" si="1"/>
        <v>43922</v>
      </c>
      <c r="B86">
        <v>1.5233333333333334</v>
      </c>
      <c r="C86">
        <v>2490085000000</v>
      </c>
      <c r="D86">
        <v>105.88524941197601</v>
      </c>
      <c r="E86">
        <v>4.1188922264412398E-3</v>
      </c>
      <c r="F86">
        <f>(1+B86/100)/(1+E86)</f>
        <v>1.0110688497078748</v>
      </c>
      <c r="G86">
        <f>C86/D86*100</f>
        <v>2351682612855.3862</v>
      </c>
      <c r="H86">
        <f>LOG(F86)</f>
        <v>4.7807302993267018E-3</v>
      </c>
      <c r="I86">
        <f>LOG(G86)</f>
        <v>12.371378708226107</v>
      </c>
    </row>
    <row r="87" spans="1:9">
      <c r="A87" s="3">
        <f t="shared" si="1"/>
        <v>44013</v>
      </c>
      <c r="B87">
        <v>1.5933333333333335</v>
      </c>
      <c r="C87">
        <v>2501270000000</v>
      </c>
      <c r="D87">
        <v>105.112107863001</v>
      </c>
      <c r="E87">
        <v>-9.1647783310147002E-3</v>
      </c>
      <c r="F87">
        <f>(1+B87/100)/(1+E87)</f>
        <v>1.0253302578627275</v>
      </c>
      <c r="G87">
        <f>C87/D87*100</f>
        <v>2379621197645.5244</v>
      </c>
      <c r="H87">
        <f>LOG(F87)</f>
        <v>1.0863773748564023E-2</v>
      </c>
      <c r="I87">
        <f>LOG(G87)</f>
        <v>12.376507828961735</v>
      </c>
    </row>
    <row r="88" spans="1:9">
      <c r="A88" s="3">
        <f t="shared" si="1"/>
        <v>44105</v>
      </c>
      <c r="B88">
        <v>1.6600000000000001</v>
      </c>
      <c r="C88">
        <v>2508863000000</v>
      </c>
      <c r="D88">
        <v>105.217536256043</v>
      </c>
      <c r="E88">
        <v>-5.0441361916723215E-3</v>
      </c>
      <c r="F88">
        <f>(1+B88/100)/(1+E88)</f>
        <v>1.0217538656527199</v>
      </c>
      <c r="G88">
        <f>C88/D88*100</f>
        <v>2384453285329.5234</v>
      </c>
      <c r="H88">
        <f>LOG(F88)</f>
        <v>9.3462894748660985E-3</v>
      </c>
      <c r="I88">
        <f>LOG(G88)</f>
        <v>12.377388818435918</v>
      </c>
    </row>
    <row r="89" spans="1:9">
      <c r="A89" s="3">
        <f t="shared" si="1"/>
        <v>44197</v>
      </c>
      <c r="B89">
        <v>1.5833333333333333</v>
      </c>
      <c r="C89">
        <v>2551792000000</v>
      </c>
      <c r="D89">
        <v>107.08010453311999</v>
      </c>
      <c r="E89">
        <v>1.4990006662226163E-2</v>
      </c>
      <c r="F89">
        <f>(1+B89/100)/(1+E89)</f>
        <v>1.000830871895853</v>
      </c>
      <c r="G89">
        <f>C89/D89*100</f>
        <v>2383068275032.1069</v>
      </c>
      <c r="H89">
        <f>LOG(F89)</f>
        <v>3.6069325533470204E-4</v>
      </c>
      <c r="I89">
        <f>LOG(G89)</f>
        <v>12.377136485084574</v>
      </c>
    </row>
    <row r="90" spans="1:9">
      <c r="A90" s="3">
        <f t="shared" si="1"/>
        <v>44287</v>
      </c>
      <c r="B90">
        <v>1.5033333333333332</v>
      </c>
      <c r="C90">
        <v>2557174000000</v>
      </c>
      <c r="D90">
        <v>108.204674058903</v>
      </c>
      <c r="E90">
        <v>2.1905077995355349E-2</v>
      </c>
      <c r="F90">
        <f>(1+B90/100)/(1+E90)</f>
        <v>0.99327555483381857</v>
      </c>
      <c r="G90">
        <f>C90/D90*100</f>
        <v>2363274989958.3452</v>
      </c>
      <c r="H90">
        <f>LOG(F90)</f>
        <v>-2.9302526702394056E-3</v>
      </c>
      <c r="I90">
        <f>LOG(G90)</f>
        <v>12.373514258946376</v>
      </c>
    </row>
    <row r="91" spans="1:9">
      <c r="A91" s="3">
        <f t="shared" si="1"/>
        <v>44378</v>
      </c>
      <c r="B91">
        <v>1.5999999999999999</v>
      </c>
      <c r="C91">
        <v>2587870000000</v>
      </c>
      <c r="D91">
        <v>109.188672393963</v>
      </c>
      <c r="E91">
        <v>3.8783015713805602E-2</v>
      </c>
      <c r="F91">
        <f>(1+B91/100)/(1+E91)</f>
        <v>0.97806758931445359</v>
      </c>
      <c r="G91">
        <f>C91/D91*100</f>
        <v>2370090178093.4946</v>
      </c>
      <c r="H91">
        <f>LOG(F91)</f>
        <v>-9.6311322757548033E-3</v>
      </c>
      <c r="I91">
        <f>LOG(G91)</f>
        <v>12.374764870526274</v>
      </c>
    </row>
    <row r="92" spans="1:9">
      <c r="A92" s="3">
        <f t="shared" si="1"/>
        <v>44470</v>
      </c>
      <c r="B92">
        <v>1.5766666666666669</v>
      </c>
      <c r="C92">
        <v>2655772000000</v>
      </c>
      <c r="D92">
        <v>110.172670729023</v>
      </c>
      <c r="E92">
        <v>4.7094188376753721E-2</v>
      </c>
      <c r="F92">
        <f>(1+B92/100)/(1+E92)</f>
        <v>0.97008146730462508</v>
      </c>
      <c r="G92">
        <f>C92/D92*100</f>
        <v>2410554253088.8154</v>
      </c>
      <c r="H92">
        <f>LOG(F92)</f>
        <v>-1.3191792212955886E-2</v>
      </c>
      <c r="I92">
        <f>LOG(G92)</f>
        <v>12.382116910368683</v>
      </c>
    </row>
    <row r="93" spans="1:9">
      <c r="A93" s="3">
        <f t="shared" si="1"/>
        <v>44562</v>
      </c>
      <c r="B93">
        <v>1.4466666666666665</v>
      </c>
      <c r="C93">
        <v>2685207000000</v>
      </c>
      <c r="D93">
        <v>112.210952994504</v>
      </c>
      <c r="E93">
        <v>4.7915982934038315E-2</v>
      </c>
      <c r="F93">
        <f>(1+B93/100)/(1+E93)</f>
        <v>0.96808015450464102</v>
      </c>
      <c r="G93">
        <f>C93/D93*100</f>
        <v>2392999015106.4126</v>
      </c>
      <c r="H93">
        <f>LOG(F93)</f>
        <v>-1.4088682755749152E-2</v>
      </c>
      <c r="I93">
        <f>LOG(G93)</f>
        <v>12.378942519869627</v>
      </c>
    </row>
    <row r="94" spans="1:9">
      <c r="A94" s="3">
        <f t="shared" si="1"/>
        <v>44652</v>
      </c>
      <c r="B94">
        <v>1.5933333333333335</v>
      </c>
      <c r="C94">
        <v>2715213000000</v>
      </c>
      <c r="D94">
        <v>115.408947583448</v>
      </c>
      <c r="E94">
        <v>6.6580058460536051E-2</v>
      </c>
      <c r="F94">
        <f>(1+B94/100)/(1+E94)</f>
        <v>0.95251483962647454</v>
      </c>
      <c r="G94">
        <f>C94/D94*100</f>
        <v>2352688467275.6665</v>
      </c>
      <c r="H94">
        <f>LOG(F94)</f>
        <v>-2.1128249544533878E-2</v>
      </c>
      <c r="I94">
        <f>LOG(G94)</f>
        <v>12.371564423605928</v>
      </c>
    </row>
    <row r="95" spans="1:9">
      <c r="A95" s="3">
        <f t="shared" si="1"/>
        <v>44743</v>
      </c>
      <c r="B95">
        <v>1.9066666666666665</v>
      </c>
      <c r="C95">
        <v>2786255000000</v>
      </c>
      <c r="D95">
        <v>117.27151586052599</v>
      </c>
      <c r="E95">
        <v>7.4026392018023079E-2</v>
      </c>
      <c r="F95">
        <f>(1+B95/100)/(1+E95)</f>
        <v>0.9488283288382785</v>
      </c>
      <c r="G95">
        <f>C95/D95*100</f>
        <v>2375900899340.0957</v>
      </c>
      <c r="H95">
        <f>LOG(F95)</f>
        <v>-2.2812357206544079E-2</v>
      </c>
      <c r="I95">
        <f>LOG(G95)</f>
        <v>12.375828321928967</v>
      </c>
    </row>
    <row r="96" spans="1:9">
      <c r="A96" s="3">
        <f t="shared" si="1"/>
        <v>44835</v>
      </c>
      <c r="B96">
        <v>2.3199999999999998</v>
      </c>
      <c r="C96">
        <v>2816600000000</v>
      </c>
      <c r="D96">
        <v>119.62608330513299</v>
      </c>
      <c r="E96">
        <v>8.5805422647521112E-2</v>
      </c>
      <c r="F96">
        <f>(1+B96/100)/(1+E96)</f>
        <v>0.94234195064630444</v>
      </c>
      <c r="G96">
        <f>C96/D96*100</f>
        <v>2354503233893.9272</v>
      </c>
      <c r="H96">
        <f>LOG(F96)</f>
        <v>-2.5791474775214766E-2</v>
      </c>
      <c r="I96">
        <f>LOG(G96)</f>
        <v>12.371899291279622</v>
      </c>
    </row>
    <row r="97" spans="1:9">
      <c r="A97" s="3">
        <f t="shared" si="1"/>
        <v>44927</v>
      </c>
      <c r="B97">
        <v>3.2633333333333332</v>
      </c>
      <c r="C97">
        <v>2833868000000</v>
      </c>
      <c r="D97">
        <v>121.45350878453</v>
      </c>
      <c r="E97">
        <v>8.2367679298461116E-2</v>
      </c>
      <c r="F97">
        <f>(1+B97/100)/(1+E97)</f>
        <v>0.95405041473765806</v>
      </c>
      <c r="G97">
        <f>C97/D97*100</f>
        <v>2333294466632.1245</v>
      </c>
      <c r="H97">
        <f>LOG(F97)</f>
        <v>-2.0428675333778647E-2</v>
      </c>
      <c r="I97">
        <f>LOG(G97)</f>
        <v>12.367969551122687</v>
      </c>
    </row>
    <row r="99" spans="1:9">
      <c r="B99" s="13" t="s">
        <v>41</v>
      </c>
      <c r="C99" t="s">
        <v>40</v>
      </c>
      <c r="D99" t="s">
        <v>22</v>
      </c>
      <c r="E99" t="s">
        <v>22</v>
      </c>
    </row>
  </sheetData>
  <sortState xmlns:xlrd2="http://schemas.microsoft.com/office/spreadsheetml/2017/richdata2" ref="A2:I97">
    <sortCondition ref="A2:A9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1C00-DE28-E149-B10C-27F4FE455AD6}">
  <dimension ref="A1:B347"/>
  <sheetViews>
    <sheetView topLeftCell="A337" workbookViewId="0">
      <selection activeCell="B347" sqref="B347"/>
    </sheetView>
  </sheetViews>
  <sheetFormatPr baseColWidth="10" defaultRowHeight="16"/>
  <cols>
    <col min="1" max="1" width="10.83203125" style="3"/>
  </cols>
  <sheetData>
    <row r="1" spans="1:2">
      <c r="A1" s="3" t="s">
        <v>1</v>
      </c>
      <c r="B1" t="s">
        <v>24</v>
      </c>
    </row>
    <row r="2" spans="1:2">
      <c r="A2" s="3">
        <v>45166</v>
      </c>
      <c r="B2">
        <v>10797586000000</v>
      </c>
    </row>
    <row r="3" spans="1:2">
      <c r="A3" s="3">
        <v>45135</v>
      </c>
      <c r="B3">
        <v>10805574000000</v>
      </c>
    </row>
    <row r="4" spans="1:2">
      <c r="A4" s="3">
        <v>45105</v>
      </c>
      <c r="B4">
        <v>10639761000000</v>
      </c>
    </row>
    <row r="5" spans="1:2">
      <c r="A5" s="3">
        <v>45074</v>
      </c>
      <c r="B5">
        <v>10716839000000</v>
      </c>
    </row>
    <row r="6" spans="1:2">
      <c r="A6" s="3">
        <v>45044</v>
      </c>
      <c r="B6">
        <v>10627849000000</v>
      </c>
    </row>
    <row r="7" spans="1:2">
      <c r="A7" s="3">
        <v>45013</v>
      </c>
      <c r="B7">
        <v>10617481000000</v>
      </c>
    </row>
    <row r="8" spans="1:2">
      <c r="A8" s="3">
        <v>44985</v>
      </c>
      <c r="B8">
        <v>10825700000000</v>
      </c>
    </row>
    <row r="9" spans="1:2">
      <c r="A9" s="3">
        <v>44954</v>
      </c>
      <c r="B9">
        <v>10650665000000</v>
      </c>
    </row>
    <row r="10" spans="1:2">
      <c r="A10" s="3">
        <v>44923</v>
      </c>
      <c r="B10">
        <v>10581487000000</v>
      </c>
    </row>
    <row r="11" spans="1:2">
      <c r="A11" s="3">
        <v>44893</v>
      </c>
      <c r="B11">
        <v>10826043000000</v>
      </c>
    </row>
    <row r="12" spans="1:2">
      <c r="A12" s="3">
        <v>44862</v>
      </c>
      <c r="B12">
        <v>11098423000000</v>
      </c>
    </row>
    <row r="13" spans="1:2">
      <c r="A13" s="3">
        <v>44832</v>
      </c>
      <c r="B13">
        <v>11124788000000</v>
      </c>
    </row>
    <row r="14" spans="1:2">
      <c r="A14" s="3">
        <v>44801</v>
      </c>
      <c r="B14">
        <v>10690178000000</v>
      </c>
    </row>
    <row r="15" spans="1:2">
      <c r="A15" s="3">
        <v>44770</v>
      </c>
      <c r="B15">
        <v>10330631000000</v>
      </c>
    </row>
    <row r="16" spans="1:2">
      <c r="A16" s="3">
        <v>44740</v>
      </c>
      <c r="B16">
        <v>10491694000000</v>
      </c>
    </row>
    <row r="17" spans="1:2">
      <c r="A17" s="3">
        <v>44709</v>
      </c>
      <c r="B17">
        <v>10321675000000</v>
      </c>
    </row>
    <row r="18" spans="1:2">
      <c r="A18" s="3">
        <v>44679</v>
      </c>
      <c r="B18">
        <v>10333482000000</v>
      </c>
    </row>
    <row r="19" spans="1:2">
      <c r="A19" s="3">
        <v>44648</v>
      </c>
      <c r="B19">
        <v>10025277000000</v>
      </c>
    </row>
    <row r="20" spans="1:2">
      <c r="A20" s="3">
        <v>44620</v>
      </c>
      <c r="B20">
        <v>9905674000000</v>
      </c>
    </row>
    <row r="21" spans="1:2">
      <c r="A21" s="3">
        <v>44589</v>
      </c>
      <c r="B21">
        <v>9779456000000</v>
      </c>
    </row>
    <row r="22" spans="1:2">
      <c r="A22" s="3">
        <v>44558</v>
      </c>
      <c r="B22">
        <v>9233348000000</v>
      </c>
    </row>
    <row r="23" spans="1:2">
      <c r="A23" s="3">
        <v>44528</v>
      </c>
      <c r="B23">
        <v>9556672000000</v>
      </c>
    </row>
    <row r="24" spans="1:2">
      <c r="A24" s="3">
        <v>44497</v>
      </c>
      <c r="B24">
        <v>9456660000000</v>
      </c>
    </row>
    <row r="25" spans="1:2">
      <c r="A25" s="3">
        <v>44467</v>
      </c>
      <c r="B25">
        <v>9386748000000</v>
      </c>
    </row>
    <row r="26" spans="1:2">
      <c r="A26" s="3">
        <v>44436</v>
      </c>
      <c r="B26">
        <v>9380820000000</v>
      </c>
    </row>
    <row r="27" spans="1:2">
      <c r="A27" s="3">
        <v>44405</v>
      </c>
      <c r="B27">
        <v>9383625000000</v>
      </c>
    </row>
    <row r="28" spans="1:2">
      <c r="A28" s="3">
        <v>44375</v>
      </c>
      <c r="B28">
        <v>9355039000000</v>
      </c>
    </row>
    <row r="29" spans="1:2">
      <c r="A29" s="3">
        <v>44344</v>
      </c>
      <c r="B29">
        <v>9338373000000</v>
      </c>
    </row>
    <row r="30" spans="1:2">
      <c r="A30" s="3">
        <v>44314</v>
      </c>
      <c r="B30">
        <v>9329348000000</v>
      </c>
    </row>
    <row r="31" spans="1:2">
      <c r="A31" s="3">
        <v>44283</v>
      </c>
      <c r="B31">
        <v>9321215000000</v>
      </c>
    </row>
    <row r="32" spans="1:2">
      <c r="A32" s="3">
        <v>44255</v>
      </c>
      <c r="B32">
        <v>9207469000000</v>
      </c>
    </row>
    <row r="33" spans="1:2">
      <c r="A33" s="3">
        <v>44224</v>
      </c>
      <c r="B33">
        <v>9209232000000</v>
      </c>
    </row>
    <row r="34" spans="1:2">
      <c r="A34" s="3">
        <v>44193</v>
      </c>
      <c r="B34">
        <v>9002095000000</v>
      </c>
    </row>
    <row r="35" spans="1:2">
      <c r="A35" s="3">
        <v>44163</v>
      </c>
      <c r="B35">
        <v>9154470000000</v>
      </c>
    </row>
    <row r="36" spans="1:2">
      <c r="A36" s="3">
        <v>44132</v>
      </c>
      <c r="B36">
        <v>9183370000000</v>
      </c>
    </row>
    <row r="37" spans="1:2">
      <c r="A37" s="3">
        <v>44102</v>
      </c>
      <c r="B37">
        <v>9155218000000</v>
      </c>
    </row>
    <row r="38" spans="1:2">
      <c r="A38" s="3">
        <v>44071</v>
      </c>
      <c r="B38">
        <v>9043261000000</v>
      </c>
    </row>
    <row r="39" spans="1:2">
      <c r="A39" s="3">
        <v>44040</v>
      </c>
      <c r="B39">
        <v>9126176000000</v>
      </c>
    </row>
    <row r="40" spans="1:2">
      <c r="A40" s="3">
        <v>44010</v>
      </c>
      <c r="B40">
        <v>9082205000000</v>
      </c>
    </row>
    <row r="41" spans="1:2">
      <c r="A41" s="3">
        <v>43979</v>
      </c>
      <c r="B41">
        <v>8968275000000</v>
      </c>
    </row>
    <row r="42" spans="1:2">
      <c r="A42" s="3">
        <v>43949</v>
      </c>
      <c r="B42">
        <v>9064172000000</v>
      </c>
    </row>
    <row r="43" spans="1:2">
      <c r="A43" s="3">
        <v>43918</v>
      </c>
      <c r="B43">
        <v>8963386000000</v>
      </c>
    </row>
    <row r="44" spans="1:2">
      <c r="A44" s="3">
        <v>43889</v>
      </c>
      <c r="B44">
        <v>8714677000000</v>
      </c>
    </row>
    <row r="45" spans="1:2">
      <c r="A45" s="3">
        <v>43858</v>
      </c>
      <c r="B45">
        <v>8529401000000</v>
      </c>
    </row>
    <row r="46" spans="1:2">
      <c r="A46" s="3">
        <v>43827</v>
      </c>
      <c r="B46">
        <v>8358519000000</v>
      </c>
    </row>
    <row r="47" spans="1:2">
      <c r="A47" s="3">
        <v>43797</v>
      </c>
      <c r="B47">
        <v>8558136000000</v>
      </c>
    </row>
    <row r="48" spans="1:2">
      <c r="A48" s="3">
        <v>43766</v>
      </c>
      <c r="B48">
        <v>8494308999999.999</v>
      </c>
    </row>
    <row r="49" spans="1:2">
      <c r="A49" s="3">
        <v>43736</v>
      </c>
      <c r="B49">
        <v>8599572000000</v>
      </c>
    </row>
    <row r="50" spans="1:2">
      <c r="A50" s="3">
        <v>43705</v>
      </c>
      <c r="B50">
        <v>8694977999999.999</v>
      </c>
    </row>
    <row r="51" spans="1:2">
      <c r="A51" s="3">
        <v>43674</v>
      </c>
      <c r="B51">
        <v>8421628000000.001</v>
      </c>
    </row>
    <row r="52" spans="1:2">
      <c r="A52" s="3">
        <v>43644</v>
      </c>
      <c r="B52">
        <v>8371762000000.001</v>
      </c>
    </row>
    <row r="53" spans="1:2">
      <c r="A53" s="3">
        <v>43613</v>
      </c>
      <c r="B53">
        <v>8331780000000.001</v>
      </c>
    </row>
    <row r="54" spans="1:2">
      <c r="A54" s="3">
        <v>43583</v>
      </c>
      <c r="B54">
        <v>8205466000000</v>
      </c>
    </row>
    <row r="55" spans="1:2">
      <c r="A55" s="3">
        <v>43552</v>
      </c>
      <c r="B55">
        <v>8171503000000</v>
      </c>
    </row>
    <row r="56" spans="1:2">
      <c r="A56" s="3">
        <v>43524</v>
      </c>
      <c r="B56">
        <v>7984114000000</v>
      </c>
    </row>
    <row r="57" spans="1:2">
      <c r="A57" s="3">
        <v>43493</v>
      </c>
      <c r="B57">
        <v>7949867000000</v>
      </c>
    </row>
    <row r="58" spans="1:2">
      <c r="A58" s="3">
        <v>43462</v>
      </c>
      <c r="B58">
        <v>7823674000000</v>
      </c>
    </row>
    <row r="59" spans="1:2">
      <c r="A59" s="3">
        <v>43432</v>
      </c>
      <c r="B59">
        <v>7928260000000</v>
      </c>
    </row>
    <row r="60" spans="1:2">
      <c r="A60" s="3">
        <v>43401</v>
      </c>
      <c r="B60">
        <v>7893154000000</v>
      </c>
    </row>
    <row r="61" spans="1:2">
      <c r="A61" s="3">
        <v>43371</v>
      </c>
      <c r="B61">
        <v>7848109000000</v>
      </c>
    </row>
    <row r="62" spans="1:2">
      <c r="A62" s="3">
        <v>43340</v>
      </c>
      <c r="B62">
        <v>7875610000000</v>
      </c>
    </row>
    <row r="63" spans="1:2">
      <c r="A63" s="3">
        <v>43309</v>
      </c>
      <c r="B63">
        <v>7830513000000</v>
      </c>
    </row>
    <row r="64" spans="1:2">
      <c r="A64" s="3">
        <v>43279</v>
      </c>
      <c r="B64">
        <v>7851000000000</v>
      </c>
    </row>
    <row r="65" spans="1:2">
      <c r="A65" s="3">
        <v>43248</v>
      </c>
      <c r="B65">
        <v>7929008000000</v>
      </c>
    </row>
    <row r="66" spans="1:2">
      <c r="A66" s="3">
        <v>43218</v>
      </c>
      <c r="B66">
        <v>7826662000000</v>
      </c>
    </row>
    <row r="67" spans="1:2">
      <c r="A67" s="3">
        <v>43187</v>
      </c>
      <c r="B67">
        <v>7791922000000</v>
      </c>
    </row>
    <row r="68" spans="1:2">
      <c r="A68" s="3">
        <v>43159</v>
      </c>
      <c r="B68">
        <v>7836432000000</v>
      </c>
    </row>
    <row r="69" spans="1:2">
      <c r="A69" s="3">
        <v>43128</v>
      </c>
      <c r="B69">
        <v>7861716000000</v>
      </c>
    </row>
    <row r="70" spans="1:2">
      <c r="A70" s="3">
        <v>43097</v>
      </c>
      <c r="B70">
        <v>7755268000000</v>
      </c>
    </row>
    <row r="71" spans="1:2">
      <c r="A71" s="3">
        <v>43067</v>
      </c>
      <c r="B71">
        <v>7895741000000</v>
      </c>
    </row>
    <row r="72" spans="1:2">
      <c r="A72" s="3">
        <v>43036</v>
      </c>
      <c r="B72">
        <v>7871753000000</v>
      </c>
    </row>
    <row r="73" spans="1:2">
      <c r="A73" s="3">
        <v>43006</v>
      </c>
      <c r="B73">
        <v>7857576000000</v>
      </c>
    </row>
    <row r="74" spans="1:2">
      <c r="A74" s="3">
        <v>42975</v>
      </c>
      <c r="B74">
        <v>7854282000000</v>
      </c>
    </row>
    <row r="75" spans="1:2">
      <c r="A75" s="3">
        <v>42944</v>
      </c>
      <c r="B75">
        <v>7865539000000</v>
      </c>
    </row>
    <row r="76" spans="1:2">
      <c r="A76" s="3">
        <v>42914</v>
      </c>
      <c r="B76">
        <v>7897248000000</v>
      </c>
    </row>
    <row r="77" spans="1:2">
      <c r="A77" s="3">
        <v>42883</v>
      </c>
      <c r="B77">
        <v>7993303000000</v>
      </c>
    </row>
    <row r="78" spans="1:2">
      <c r="A78" s="3">
        <v>42853</v>
      </c>
      <c r="B78">
        <v>7999019000000</v>
      </c>
    </row>
    <row r="79" spans="1:2">
      <c r="A79" s="3">
        <v>42822</v>
      </c>
      <c r="B79">
        <v>7970539000000</v>
      </c>
    </row>
    <row r="80" spans="1:2">
      <c r="A80" s="3">
        <v>42794</v>
      </c>
      <c r="B80">
        <v>7989305000000</v>
      </c>
    </row>
    <row r="81" spans="1:2">
      <c r="A81" s="3">
        <v>42763</v>
      </c>
      <c r="B81">
        <v>7933714000000</v>
      </c>
    </row>
    <row r="82" spans="1:2">
      <c r="A82" s="3">
        <v>42732</v>
      </c>
      <c r="B82">
        <v>7836273000000</v>
      </c>
    </row>
    <row r="83" spans="1:2">
      <c r="A83" s="3">
        <v>42702</v>
      </c>
      <c r="B83">
        <v>7954935000000</v>
      </c>
    </row>
    <row r="84" spans="1:2">
      <c r="A84" s="3">
        <v>42671</v>
      </c>
      <c r="B84">
        <v>7911891000000</v>
      </c>
    </row>
    <row r="85" spans="1:2">
      <c r="A85" s="3">
        <v>42641</v>
      </c>
      <c r="B85">
        <v>7907094000000</v>
      </c>
    </row>
    <row r="86" spans="1:2">
      <c r="A86" s="3">
        <v>42610</v>
      </c>
      <c r="B86">
        <v>7951781000000</v>
      </c>
    </row>
    <row r="87" spans="1:2">
      <c r="A87" s="3">
        <v>42579</v>
      </c>
      <c r="B87">
        <v>7985306000000</v>
      </c>
    </row>
    <row r="88" spans="1:2">
      <c r="A88" s="3">
        <v>42549</v>
      </c>
      <c r="B88">
        <v>7963809000000</v>
      </c>
    </row>
    <row r="89" spans="1:2">
      <c r="A89" s="3">
        <v>42518</v>
      </c>
      <c r="B89">
        <v>7860514000000</v>
      </c>
    </row>
    <row r="90" spans="1:2">
      <c r="A90" s="3">
        <v>42488</v>
      </c>
      <c r="B90">
        <v>7849475000000</v>
      </c>
    </row>
    <row r="91" spans="1:2">
      <c r="A91" s="3">
        <v>42457</v>
      </c>
      <c r="B91">
        <v>7825990000000</v>
      </c>
    </row>
    <row r="92" spans="1:2">
      <c r="A92" s="3">
        <v>42428</v>
      </c>
      <c r="B92">
        <v>7955727000000</v>
      </c>
    </row>
    <row r="93" spans="1:2">
      <c r="A93" s="3">
        <v>42397</v>
      </c>
      <c r="B93">
        <v>7866128000000</v>
      </c>
    </row>
    <row r="94" spans="1:2">
      <c r="A94" s="3">
        <v>42366</v>
      </c>
      <c r="B94">
        <v>7708280000000</v>
      </c>
    </row>
    <row r="95" spans="1:2">
      <c r="A95" s="3">
        <v>42336</v>
      </c>
      <c r="B95">
        <v>7987563000000</v>
      </c>
    </row>
    <row r="96" spans="1:2">
      <c r="A96" s="3">
        <v>42305</v>
      </c>
      <c r="B96">
        <v>7903872000000</v>
      </c>
    </row>
    <row r="97" spans="1:2">
      <c r="A97" s="3">
        <v>42275</v>
      </c>
      <c r="B97">
        <v>7877084000000</v>
      </c>
    </row>
    <row r="98" spans="1:2">
      <c r="A98" s="3">
        <v>42244</v>
      </c>
      <c r="B98">
        <v>7888364000000</v>
      </c>
    </row>
    <row r="99" spans="1:2">
      <c r="A99" s="3">
        <v>42213</v>
      </c>
      <c r="B99">
        <v>7915587000000</v>
      </c>
    </row>
    <row r="100" spans="1:2">
      <c r="A100" s="3">
        <v>42183</v>
      </c>
      <c r="B100">
        <v>7848289000000</v>
      </c>
    </row>
    <row r="101" spans="1:2">
      <c r="A101" s="3">
        <v>42152</v>
      </c>
      <c r="B101">
        <v>8053476000000</v>
      </c>
    </row>
    <row r="102" spans="1:2">
      <c r="A102" s="3">
        <v>42122</v>
      </c>
      <c r="B102">
        <v>8134159000000</v>
      </c>
    </row>
    <row r="103" spans="1:2">
      <c r="A103" s="3">
        <v>42091</v>
      </c>
      <c r="B103">
        <v>8223669000000</v>
      </c>
    </row>
    <row r="104" spans="1:2">
      <c r="A104" s="3">
        <v>42063</v>
      </c>
      <c r="B104">
        <v>8112250000000</v>
      </c>
    </row>
    <row r="105" spans="1:2">
      <c r="A105" s="3">
        <v>42032</v>
      </c>
      <c r="B105">
        <v>8176335000000</v>
      </c>
    </row>
    <row r="106" spans="1:2">
      <c r="A106" s="3">
        <v>42001</v>
      </c>
      <c r="B106">
        <v>7853364000000</v>
      </c>
    </row>
    <row r="107" spans="1:2">
      <c r="A107" s="3">
        <v>41971</v>
      </c>
      <c r="B107">
        <v>7891867000000</v>
      </c>
    </row>
    <row r="108" spans="1:2">
      <c r="A108" s="3">
        <v>41940</v>
      </c>
      <c r="B108">
        <v>7807379000000</v>
      </c>
    </row>
    <row r="109" spans="1:2">
      <c r="A109" s="3">
        <v>41910</v>
      </c>
      <c r="B109">
        <v>7797700000000</v>
      </c>
    </row>
    <row r="110" spans="1:2">
      <c r="A110" s="3">
        <v>41879</v>
      </c>
      <c r="B110">
        <v>7801551000000</v>
      </c>
    </row>
    <row r="111" spans="1:2">
      <c r="A111" s="3">
        <v>41848</v>
      </c>
      <c r="B111">
        <v>7707700000000</v>
      </c>
    </row>
    <row r="112" spans="1:2">
      <c r="A112" s="3">
        <v>41818</v>
      </c>
      <c r="B112">
        <v>7640670000000</v>
      </c>
    </row>
    <row r="113" spans="1:2">
      <c r="A113" s="3">
        <v>41787</v>
      </c>
      <c r="B113">
        <v>7671781000000</v>
      </c>
    </row>
    <row r="114" spans="1:2">
      <c r="A114" s="3">
        <v>41757</v>
      </c>
      <c r="B114">
        <v>7595240000000</v>
      </c>
    </row>
    <row r="115" spans="1:2">
      <c r="A115" s="3">
        <v>41726</v>
      </c>
      <c r="B115">
        <v>7565267000000</v>
      </c>
    </row>
    <row r="116" spans="1:2">
      <c r="A116" s="3">
        <v>41698</v>
      </c>
      <c r="B116">
        <v>7616741000000</v>
      </c>
    </row>
    <row r="117" spans="1:2">
      <c r="A117" s="3">
        <v>41667</v>
      </c>
      <c r="B117">
        <v>7685549000000</v>
      </c>
    </row>
    <row r="118" spans="1:2">
      <c r="A118" s="3">
        <v>41636</v>
      </c>
      <c r="B118">
        <v>7604207000000</v>
      </c>
    </row>
    <row r="119" spans="1:2">
      <c r="A119" s="3">
        <v>41606</v>
      </c>
      <c r="B119">
        <v>7781956000000</v>
      </c>
    </row>
    <row r="120" spans="1:2">
      <c r="A120" s="3">
        <v>41575</v>
      </c>
      <c r="B120">
        <v>7747852000000</v>
      </c>
    </row>
    <row r="121" spans="1:2">
      <c r="A121" s="3">
        <v>41545</v>
      </c>
      <c r="B121">
        <v>7760553000000</v>
      </c>
    </row>
    <row r="122" spans="1:2">
      <c r="A122" s="3">
        <v>41514</v>
      </c>
      <c r="B122">
        <v>7764053000000</v>
      </c>
    </row>
    <row r="123" spans="1:2">
      <c r="A123" s="3">
        <v>41483</v>
      </c>
      <c r="B123">
        <v>7834427000000</v>
      </c>
    </row>
    <row r="124" spans="1:2">
      <c r="A124" s="3">
        <v>41453</v>
      </c>
      <c r="B124">
        <v>7915470000000</v>
      </c>
    </row>
    <row r="125" spans="1:2">
      <c r="A125" s="3">
        <v>41422</v>
      </c>
      <c r="B125">
        <v>8020831000000</v>
      </c>
    </row>
    <row r="126" spans="1:2">
      <c r="A126" s="3">
        <v>41392</v>
      </c>
      <c r="B126">
        <v>8165602000000</v>
      </c>
    </row>
    <row r="127" spans="1:2">
      <c r="A127" s="3">
        <v>41361</v>
      </c>
      <c r="B127">
        <v>8149278000000</v>
      </c>
    </row>
    <row r="128" spans="1:2">
      <c r="A128" s="3">
        <v>41333</v>
      </c>
      <c r="B128">
        <v>8179721000000</v>
      </c>
    </row>
    <row r="129" spans="1:2">
      <c r="A129" s="3">
        <v>41302</v>
      </c>
      <c r="B129">
        <v>8194056000000.001</v>
      </c>
    </row>
    <row r="130" spans="1:2">
      <c r="A130" s="3">
        <v>41271</v>
      </c>
      <c r="B130">
        <v>8314596000000</v>
      </c>
    </row>
    <row r="131" spans="1:2">
      <c r="A131" s="3">
        <v>41241</v>
      </c>
      <c r="B131">
        <v>8530243000000</v>
      </c>
    </row>
    <row r="132" spans="1:2">
      <c r="A132" s="3">
        <v>41210</v>
      </c>
      <c r="B132">
        <v>8560959999999.999</v>
      </c>
    </row>
    <row r="133" spans="1:2">
      <c r="A133" s="3">
        <v>41180</v>
      </c>
      <c r="B133">
        <v>8639621999999.999</v>
      </c>
    </row>
    <row r="134" spans="1:2">
      <c r="A134" s="3">
        <v>41149</v>
      </c>
      <c r="B134">
        <v>8768059999999.999</v>
      </c>
    </row>
    <row r="135" spans="1:2">
      <c r="A135" s="3">
        <v>41118</v>
      </c>
      <c r="B135">
        <v>8798712000000</v>
      </c>
    </row>
    <row r="136" spans="1:2">
      <c r="A136" s="3">
        <v>41088</v>
      </c>
      <c r="B136">
        <v>8708236000000.001</v>
      </c>
    </row>
    <row r="137" spans="1:2">
      <c r="A137" s="3">
        <v>41057</v>
      </c>
      <c r="B137">
        <v>8932191000000</v>
      </c>
    </row>
    <row r="138" spans="1:2">
      <c r="A138" s="3">
        <v>41027</v>
      </c>
      <c r="B138">
        <v>8671442999999.999</v>
      </c>
    </row>
    <row r="139" spans="1:2">
      <c r="A139" s="3">
        <v>40996</v>
      </c>
      <c r="B139">
        <v>8593975000000</v>
      </c>
    </row>
    <row r="140" spans="1:2">
      <c r="A140" s="3">
        <v>40967</v>
      </c>
      <c r="B140">
        <v>8597489000000</v>
      </c>
    </row>
    <row r="141" spans="1:2">
      <c r="A141" s="3">
        <v>40936</v>
      </c>
      <c r="B141">
        <v>8589485000000.001</v>
      </c>
    </row>
    <row r="142" spans="1:2">
      <c r="A142" s="3">
        <v>40905</v>
      </c>
      <c r="B142">
        <v>8466671000000</v>
      </c>
    </row>
    <row r="143" spans="1:2">
      <c r="A143" s="3">
        <v>40875</v>
      </c>
      <c r="B143">
        <v>8457180000000</v>
      </c>
    </row>
    <row r="144" spans="1:2">
      <c r="A144" s="3">
        <v>40844</v>
      </c>
      <c r="B144">
        <v>8403298000000.001</v>
      </c>
    </row>
    <row r="145" spans="1:2">
      <c r="A145" s="3">
        <v>40814</v>
      </c>
      <c r="B145">
        <v>8538815000000.001</v>
      </c>
    </row>
    <row r="146" spans="1:2">
      <c r="A146" s="3">
        <v>40783</v>
      </c>
      <c r="B146">
        <v>8313776000000</v>
      </c>
    </row>
    <row r="147" spans="1:2">
      <c r="A147" s="3">
        <v>40752</v>
      </c>
      <c r="B147">
        <v>8051495000000</v>
      </c>
    </row>
    <row r="148" spans="1:2">
      <c r="A148" s="3">
        <v>40722</v>
      </c>
      <c r="B148">
        <v>7933618000000</v>
      </c>
    </row>
    <row r="149" spans="1:2">
      <c r="A149" s="3">
        <v>40691</v>
      </c>
      <c r="B149">
        <v>8093980000000</v>
      </c>
    </row>
    <row r="150" spans="1:2">
      <c r="A150" s="3">
        <v>40661</v>
      </c>
      <c r="B150">
        <v>8045863000000</v>
      </c>
    </row>
    <row r="151" spans="1:2">
      <c r="A151" s="3">
        <v>40630</v>
      </c>
      <c r="B151">
        <v>8002964000000</v>
      </c>
    </row>
    <row r="152" spans="1:2">
      <c r="A152" s="3">
        <v>40602</v>
      </c>
      <c r="B152">
        <v>8191642000000</v>
      </c>
    </row>
    <row r="153" spans="1:2">
      <c r="A153" s="3">
        <v>40571</v>
      </c>
      <c r="B153">
        <v>8232993000000</v>
      </c>
    </row>
    <row r="154" spans="1:2">
      <c r="A154" s="3">
        <v>40540</v>
      </c>
      <c r="B154">
        <v>8352276000000</v>
      </c>
    </row>
    <row r="155" spans="1:2">
      <c r="A155" s="3">
        <v>40510</v>
      </c>
      <c r="B155">
        <v>7583572000000</v>
      </c>
    </row>
    <row r="156" spans="1:2">
      <c r="A156" s="3">
        <v>40479</v>
      </c>
      <c r="B156">
        <v>7472376000000</v>
      </c>
    </row>
    <row r="157" spans="1:2">
      <c r="A157" s="3">
        <v>40449</v>
      </c>
      <c r="B157">
        <v>7461912000000</v>
      </c>
    </row>
    <row r="158" spans="1:2">
      <c r="A158" s="3">
        <v>40418</v>
      </c>
      <c r="B158">
        <v>7591555000000</v>
      </c>
    </row>
    <row r="159" spans="1:2">
      <c r="A159" s="3">
        <v>40387</v>
      </c>
      <c r="B159">
        <v>7511522000000</v>
      </c>
    </row>
    <row r="160" spans="1:2">
      <c r="A160" s="3">
        <v>40357</v>
      </c>
      <c r="B160">
        <v>7715690000000</v>
      </c>
    </row>
    <row r="161" spans="1:2">
      <c r="A161" s="3">
        <v>40326</v>
      </c>
      <c r="B161">
        <v>7755764000000</v>
      </c>
    </row>
    <row r="162" spans="1:2">
      <c r="A162" s="3">
        <v>40296</v>
      </c>
      <c r="B162">
        <v>7643690000000</v>
      </c>
    </row>
    <row r="163" spans="1:2">
      <c r="A163" s="3">
        <v>40265</v>
      </c>
      <c r="B163">
        <v>7527899000000</v>
      </c>
    </row>
    <row r="164" spans="1:2">
      <c r="A164" s="3">
        <v>40237</v>
      </c>
      <c r="B164">
        <v>7522707000000</v>
      </c>
    </row>
    <row r="165" spans="1:2">
      <c r="A165" s="3">
        <v>40206</v>
      </c>
      <c r="B165">
        <v>7525485000000</v>
      </c>
    </row>
    <row r="166" spans="1:2">
      <c r="A166" s="3">
        <v>40175</v>
      </c>
      <c r="B166">
        <v>7509829000000</v>
      </c>
    </row>
    <row r="167" spans="1:2">
      <c r="A167" s="3">
        <v>40145</v>
      </c>
      <c r="B167">
        <v>7565440000000</v>
      </c>
    </row>
    <row r="168" spans="1:2">
      <c r="A168" s="3">
        <v>40114</v>
      </c>
      <c r="B168">
        <v>7570355000000</v>
      </c>
    </row>
    <row r="169" spans="1:2">
      <c r="A169" s="3">
        <v>40084</v>
      </c>
      <c r="B169">
        <v>7591800000000</v>
      </c>
    </row>
    <row r="170" spans="1:2">
      <c r="A170" s="3">
        <v>40053</v>
      </c>
      <c r="B170">
        <v>7663177000000</v>
      </c>
    </row>
    <row r="171" spans="1:2">
      <c r="A171" s="3">
        <v>40022</v>
      </c>
      <c r="B171">
        <v>7681028000000</v>
      </c>
    </row>
    <row r="172" spans="1:2">
      <c r="A172" s="3">
        <v>39992</v>
      </c>
      <c r="B172">
        <v>7771856000000</v>
      </c>
    </row>
    <row r="173" spans="1:2">
      <c r="A173" s="3">
        <v>39961</v>
      </c>
      <c r="B173">
        <v>7746869000000</v>
      </c>
    </row>
    <row r="174" spans="1:2">
      <c r="A174" s="3">
        <v>39931</v>
      </c>
      <c r="B174">
        <v>7864881000000</v>
      </c>
    </row>
    <row r="175" spans="1:2">
      <c r="A175" s="3">
        <v>39900</v>
      </c>
      <c r="B175">
        <v>7840267000000</v>
      </c>
    </row>
    <row r="176" spans="1:2">
      <c r="A176" s="3">
        <v>39872</v>
      </c>
      <c r="B176">
        <v>7910878000000</v>
      </c>
    </row>
    <row r="177" spans="1:2">
      <c r="A177" s="3">
        <v>39841</v>
      </c>
      <c r="B177">
        <v>7970371000000</v>
      </c>
    </row>
    <row r="178" spans="1:2">
      <c r="A178" s="3">
        <v>39810</v>
      </c>
      <c r="B178">
        <v>7956390000000</v>
      </c>
    </row>
    <row r="179" spans="1:2">
      <c r="A179" s="3">
        <v>39780</v>
      </c>
      <c r="B179">
        <v>8049617000000</v>
      </c>
    </row>
    <row r="180" spans="1:2">
      <c r="A180" s="3">
        <v>39749</v>
      </c>
      <c r="B180">
        <v>8093228000000</v>
      </c>
    </row>
    <row r="181" spans="1:2">
      <c r="A181" s="3">
        <v>39719</v>
      </c>
      <c r="B181">
        <v>7953837000000</v>
      </c>
    </row>
    <row r="182" spans="1:2">
      <c r="A182" s="3">
        <v>39688</v>
      </c>
      <c r="B182">
        <v>7802418000000</v>
      </c>
    </row>
    <row r="183" spans="1:2">
      <c r="A183" s="3">
        <v>39657</v>
      </c>
      <c r="B183">
        <v>7732076000000</v>
      </c>
    </row>
    <row r="184" spans="1:2">
      <c r="A184" s="3">
        <v>39627</v>
      </c>
      <c r="B184">
        <v>7745110000000</v>
      </c>
    </row>
    <row r="185" spans="1:2">
      <c r="A185" s="3">
        <v>39596</v>
      </c>
      <c r="B185">
        <v>7785844000000</v>
      </c>
    </row>
    <row r="186" spans="1:2">
      <c r="A186" s="3">
        <v>39566</v>
      </c>
      <c r="B186">
        <v>7781975000000</v>
      </c>
    </row>
    <row r="187" spans="1:2">
      <c r="A187" s="3">
        <v>39535</v>
      </c>
      <c r="B187">
        <v>7695985000000</v>
      </c>
    </row>
    <row r="188" spans="1:2">
      <c r="A188" s="3">
        <v>39506</v>
      </c>
      <c r="B188">
        <v>7650381000000</v>
      </c>
    </row>
    <row r="189" spans="1:2">
      <c r="A189" s="3">
        <v>39475</v>
      </c>
      <c r="B189">
        <v>7628615000000</v>
      </c>
    </row>
    <row r="190" spans="1:2">
      <c r="A190" s="3">
        <v>39444</v>
      </c>
      <c r="B190">
        <v>7625737000000</v>
      </c>
    </row>
    <row r="191" spans="1:2">
      <c r="A191" s="3">
        <v>39414</v>
      </c>
      <c r="B191">
        <v>7585935000000</v>
      </c>
    </row>
    <row r="192" spans="1:2">
      <c r="A192" s="3">
        <v>39383</v>
      </c>
      <c r="B192">
        <v>7533623000000</v>
      </c>
    </row>
    <row r="193" spans="1:2">
      <c r="A193" s="3">
        <v>39353</v>
      </c>
      <c r="B193">
        <v>7532559000000</v>
      </c>
    </row>
    <row r="194" spans="1:2">
      <c r="A194" s="3">
        <v>39322</v>
      </c>
      <c r="B194">
        <v>7447444000000</v>
      </c>
    </row>
    <row r="195" spans="1:2">
      <c r="A195" s="3">
        <v>39291</v>
      </c>
      <c r="B195">
        <v>7399095000000</v>
      </c>
    </row>
    <row r="196" spans="1:2">
      <c r="A196" s="3">
        <v>39261</v>
      </c>
      <c r="B196">
        <v>7409705000000</v>
      </c>
    </row>
    <row r="197" spans="1:2">
      <c r="A197" s="3">
        <v>39230</v>
      </c>
      <c r="B197">
        <v>7420090000000</v>
      </c>
    </row>
    <row r="198" spans="1:2">
      <c r="A198" s="3">
        <v>39200</v>
      </c>
      <c r="B198">
        <v>7389097000000</v>
      </c>
    </row>
    <row r="199" spans="1:2">
      <c r="A199" s="3">
        <v>39169</v>
      </c>
      <c r="B199">
        <v>7320553000000</v>
      </c>
    </row>
    <row r="200" spans="1:2">
      <c r="A200" s="3">
        <v>39141</v>
      </c>
      <c r="B200">
        <v>7264554000000</v>
      </c>
    </row>
    <row r="201" spans="1:2">
      <c r="A201" s="3">
        <v>39110</v>
      </c>
      <c r="B201">
        <v>7226573000000</v>
      </c>
    </row>
    <row r="202" spans="1:2">
      <c r="A202" s="3">
        <v>39079</v>
      </c>
      <c r="B202">
        <v>7187714000000</v>
      </c>
    </row>
    <row r="203" spans="1:2">
      <c r="A203" s="3">
        <v>39049</v>
      </c>
      <c r="B203">
        <v>7175779000000</v>
      </c>
    </row>
    <row r="204" spans="1:2">
      <c r="A204" s="3">
        <v>39018</v>
      </c>
      <c r="B204">
        <v>7115392000000</v>
      </c>
    </row>
    <row r="205" spans="1:2">
      <c r="A205" s="3">
        <v>38988</v>
      </c>
      <c r="B205">
        <v>7113342000000</v>
      </c>
    </row>
    <row r="206" spans="1:2">
      <c r="A206" s="3">
        <v>38957</v>
      </c>
      <c r="B206">
        <v>7069393000000</v>
      </c>
    </row>
    <row r="207" spans="1:2">
      <c r="A207" s="3">
        <v>38926</v>
      </c>
      <c r="B207">
        <v>7074248000000</v>
      </c>
    </row>
    <row r="208" spans="1:2">
      <c r="A208" s="3">
        <v>38896</v>
      </c>
      <c r="B208">
        <v>7109312000000</v>
      </c>
    </row>
    <row r="209" spans="1:2">
      <c r="A209" s="3">
        <v>38865</v>
      </c>
      <c r="B209">
        <v>7137804000000</v>
      </c>
    </row>
    <row r="210" spans="1:2">
      <c r="A210" s="3">
        <v>38835</v>
      </c>
      <c r="B210">
        <v>7112911000000</v>
      </c>
    </row>
    <row r="211" spans="1:2">
      <c r="A211" s="3">
        <v>38804</v>
      </c>
      <c r="B211">
        <v>7041373000000</v>
      </c>
    </row>
    <row r="212" spans="1:2">
      <c r="A212" s="3">
        <v>38776</v>
      </c>
      <c r="B212">
        <v>7006357000000</v>
      </c>
    </row>
    <row r="213" spans="1:2">
      <c r="A213" s="3">
        <v>38745</v>
      </c>
      <c r="B213">
        <v>6981158000000</v>
      </c>
    </row>
    <row r="214" spans="1:2">
      <c r="A214" s="3">
        <v>38714</v>
      </c>
      <c r="B214">
        <v>6903169000000</v>
      </c>
    </row>
    <row r="215" spans="1:2">
      <c r="A215" s="3">
        <v>38684</v>
      </c>
      <c r="B215">
        <v>6967685000000</v>
      </c>
    </row>
    <row r="216" spans="1:2">
      <c r="A216" s="3">
        <v>38653</v>
      </c>
      <c r="B216">
        <v>6931040000000</v>
      </c>
    </row>
    <row r="217" spans="1:2">
      <c r="A217" s="3">
        <v>38623</v>
      </c>
      <c r="B217">
        <v>6913347000000</v>
      </c>
    </row>
    <row r="218" spans="1:2">
      <c r="A218" s="3">
        <v>38592</v>
      </c>
      <c r="B218">
        <v>6890375000000</v>
      </c>
    </row>
    <row r="219" spans="1:2">
      <c r="A219" s="3">
        <v>38561</v>
      </c>
      <c r="B219">
        <v>6910847000000</v>
      </c>
    </row>
    <row r="220" spans="1:2">
      <c r="A220" s="3">
        <v>38531</v>
      </c>
      <c r="B220">
        <v>6892602000000</v>
      </c>
    </row>
    <row r="221" spans="1:2">
      <c r="A221" s="3">
        <v>38500</v>
      </c>
      <c r="B221">
        <v>6935706000000</v>
      </c>
    </row>
    <row r="222" spans="1:2">
      <c r="A222" s="3">
        <v>38470</v>
      </c>
      <c r="B222">
        <v>6952056000000</v>
      </c>
    </row>
    <row r="223" spans="1:2">
      <c r="A223" s="3">
        <v>38439</v>
      </c>
      <c r="B223">
        <v>6767336000000</v>
      </c>
    </row>
    <row r="224" spans="1:2">
      <c r="A224" s="3">
        <v>38411</v>
      </c>
      <c r="B224">
        <v>6764481000000</v>
      </c>
    </row>
    <row r="225" spans="1:2">
      <c r="A225" s="3">
        <v>38380</v>
      </c>
      <c r="B225">
        <v>6718976000000</v>
      </c>
    </row>
    <row r="226" spans="1:2">
      <c r="A226" s="3">
        <v>38349</v>
      </c>
      <c r="B226">
        <v>6663797000000</v>
      </c>
    </row>
    <row r="227" spans="1:2">
      <c r="A227" s="3">
        <v>38319</v>
      </c>
      <c r="B227">
        <v>6725279000000</v>
      </c>
    </row>
    <row r="228" spans="1:2">
      <c r="A228" s="3">
        <v>38288</v>
      </c>
      <c r="B228">
        <v>6667417000000</v>
      </c>
    </row>
    <row r="229" spans="1:2">
      <c r="A229" s="3">
        <v>38258</v>
      </c>
      <c r="B229">
        <v>6633084000000</v>
      </c>
    </row>
    <row r="230" spans="1:2">
      <c r="A230" s="3">
        <v>38227</v>
      </c>
      <c r="B230">
        <v>6599479000000</v>
      </c>
    </row>
    <row r="231" spans="1:2">
      <c r="A231" s="3">
        <v>38196</v>
      </c>
      <c r="B231">
        <v>6608238000000</v>
      </c>
    </row>
    <row r="232" spans="1:2">
      <c r="A232" s="3">
        <v>38166</v>
      </c>
      <c r="B232">
        <v>6587501000000</v>
      </c>
    </row>
    <row r="233" spans="1:2">
      <c r="A233" s="3">
        <v>38135</v>
      </c>
      <c r="B233">
        <v>6618620000000</v>
      </c>
    </row>
    <row r="234" spans="1:2">
      <c r="A234" s="3">
        <v>38105</v>
      </c>
      <c r="B234">
        <v>6604394000000</v>
      </c>
    </row>
    <row r="235" spans="1:2">
      <c r="A235" s="3">
        <v>38074</v>
      </c>
      <c r="B235">
        <v>6542779000000</v>
      </c>
    </row>
    <row r="236" spans="1:2">
      <c r="A236" s="3">
        <v>38045</v>
      </c>
      <c r="B236">
        <v>6487954000000</v>
      </c>
    </row>
    <row r="237" spans="1:2">
      <c r="A237" s="3">
        <v>38014</v>
      </c>
      <c r="B237">
        <v>6463879000000</v>
      </c>
    </row>
    <row r="238" spans="1:2">
      <c r="A238" s="3">
        <v>37983</v>
      </c>
      <c r="B238">
        <v>6470882000000</v>
      </c>
    </row>
    <row r="239" spans="1:2">
      <c r="A239" s="3">
        <v>37953</v>
      </c>
      <c r="B239">
        <v>6492021000000</v>
      </c>
    </row>
    <row r="240" spans="1:2">
      <c r="A240" s="3">
        <v>37922</v>
      </c>
      <c r="B240">
        <v>6434437000000</v>
      </c>
    </row>
    <row r="241" spans="1:2">
      <c r="A241" s="3">
        <v>37892</v>
      </c>
      <c r="B241">
        <v>6441942000000</v>
      </c>
    </row>
    <row r="242" spans="1:2">
      <c r="A242" s="3">
        <v>37861</v>
      </c>
      <c r="B242">
        <v>6434667000000</v>
      </c>
    </row>
    <row r="243" spans="1:2">
      <c r="A243" s="3">
        <v>37830</v>
      </c>
      <c r="B243">
        <v>6464653000000</v>
      </c>
    </row>
    <row r="244" spans="1:2">
      <c r="A244" s="3">
        <v>37800</v>
      </c>
      <c r="B244">
        <v>6511216000000</v>
      </c>
    </row>
    <row r="245" spans="1:2">
      <c r="A245" s="3">
        <v>37769</v>
      </c>
      <c r="B245">
        <v>6505109000000</v>
      </c>
    </row>
    <row r="246" spans="1:2">
      <c r="A246" s="3">
        <v>37739</v>
      </c>
      <c r="B246">
        <v>6465962000000</v>
      </c>
    </row>
    <row r="247" spans="1:2">
      <c r="A247" s="3">
        <v>37708</v>
      </c>
      <c r="B247">
        <v>6470025000000</v>
      </c>
    </row>
    <row r="248" spans="1:2">
      <c r="A248" s="3">
        <v>37680</v>
      </c>
      <c r="B248">
        <v>6460578000000</v>
      </c>
    </row>
    <row r="249" spans="1:2">
      <c r="A249" s="3">
        <v>37649</v>
      </c>
      <c r="B249">
        <v>6420338000000</v>
      </c>
    </row>
    <row r="250" spans="1:2">
      <c r="A250" s="3">
        <v>37618</v>
      </c>
      <c r="B250">
        <v>6452299000000</v>
      </c>
    </row>
    <row r="251" spans="1:2">
      <c r="A251" s="3">
        <v>37588</v>
      </c>
      <c r="B251">
        <v>6495285000000</v>
      </c>
    </row>
    <row r="252" spans="1:2">
      <c r="A252" s="3">
        <v>37557</v>
      </c>
      <c r="B252">
        <v>6399935000000</v>
      </c>
    </row>
    <row r="253" spans="1:2">
      <c r="A253" s="3">
        <v>37527</v>
      </c>
      <c r="B253">
        <v>6381815000000</v>
      </c>
    </row>
    <row r="254" spans="1:2">
      <c r="A254" s="3">
        <v>37496</v>
      </c>
      <c r="B254">
        <v>6331837000000</v>
      </c>
    </row>
    <row r="255" spans="1:2">
      <c r="A255" s="3">
        <v>37465</v>
      </c>
      <c r="B255">
        <v>6308112000000</v>
      </c>
    </row>
    <row r="256" spans="1:2">
      <c r="A256" s="3">
        <v>37435</v>
      </c>
      <c r="B256">
        <v>6319703000000</v>
      </c>
    </row>
    <row r="257" spans="1:2">
      <c r="A257" s="3">
        <v>37404</v>
      </c>
      <c r="B257">
        <v>6384051000000</v>
      </c>
    </row>
    <row r="258" spans="1:2">
      <c r="A258" s="3">
        <v>37374</v>
      </c>
      <c r="B258">
        <v>6346942000000</v>
      </c>
    </row>
    <row r="259" spans="1:2">
      <c r="A259" s="3">
        <v>37343</v>
      </c>
      <c r="B259">
        <v>6349028000000</v>
      </c>
    </row>
    <row r="260" spans="1:2">
      <c r="A260" s="3">
        <v>37315</v>
      </c>
      <c r="B260">
        <v>6310918000000</v>
      </c>
    </row>
    <row r="261" spans="1:2">
      <c r="A261" s="3">
        <v>37284</v>
      </c>
      <c r="B261">
        <v>6336457000000</v>
      </c>
    </row>
    <row r="262" spans="1:2">
      <c r="A262" s="3">
        <v>37253</v>
      </c>
      <c r="B262">
        <v>6386110000000</v>
      </c>
    </row>
    <row r="263" spans="1:2">
      <c r="A263" s="3">
        <v>37223</v>
      </c>
      <c r="B263">
        <v>6404345000000</v>
      </c>
    </row>
    <row r="264" spans="1:2">
      <c r="A264" s="3">
        <v>37192</v>
      </c>
      <c r="B264">
        <v>6354845000000</v>
      </c>
    </row>
    <row r="265" spans="1:2">
      <c r="A265" s="3">
        <v>37162</v>
      </c>
      <c r="B265">
        <v>6349308000000</v>
      </c>
    </row>
    <row r="266" spans="1:2">
      <c r="A266" s="3">
        <v>37131</v>
      </c>
      <c r="B266">
        <v>6292116000000</v>
      </c>
    </row>
    <row r="267" spans="1:2">
      <c r="A267" s="3">
        <v>37100</v>
      </c>
      <c r="B267">
        <v>6283028000000</v>
      </c>
    </row>
    <row r="268" spans="1:2">
      <c r="A268" s="3">
        <v>37070</v>
      </c>
      <c r="B268">
        <v>6342212000000</v>
      </c>
    </row>
    <row r="269" spans="1:2">
      <c r="A269" s="3">
        <v>37039</v>
      </c>
      <c r="B269">
        <v>6371870000000</v>
      </c>
    </row>
    <row r="270" spans="1:2">
      <c r="A270" s="3">
        <v>37009</v>
      </c>
      <c r="B270">
        <v>6344078000000</v>
      </c>
    </row>
    <row r="271" spans="1:2">
      <c r="A271" s="3">
        <v>36978</v>
      </c>
      <c r="B271">
        <v>6320534000000</v>
      </c>
    </row>
    <row r="272" spans="1:2">
      <c r="A272" s="3">
        <v>36950</v>
      </c>
      <c r="B272">
        <v>6203431000000</v>
      </c>
    </row>
    <row r="273" spans="1:2">
      <c r="A273" s="3">
        <v>36919</v>
      </c>
      <c r="B273">
        <v>6126775000000</v>
      </c>
    </row>
    <row r="274" spans="1:2">
      <c r="A274" s="3">
        <v>36888</v>
      </c>
      <c r="B274">
        <v>6148318000000</v>
      </c>
    </row>
    <row r="275" spans="1:2">
      <c r="A275" s="3">
        <v>36858</v>
      </c>
      <c r="B275">
        <v>6140435000000</v>
      </c>
    </row>
    <row r="276" spans="1:2">
      <c r="A276" s="3">
        <v>36827</v>
      </c>
      <c r="B276">
        <v>6084421000000</v>
      </c>
    </row>
    <row r="277" spans="1:2">
      <c r="A277" s="3">
        <v>36797</v>
      </c>
      <c r="B277">
        <v>6009498000000</v>
      </c>
    </row>
    <row r="278" spans="1:2">
      <c r="A278" s="3">
        <v>36766</v>
      </c>
      <c r="B278">
        <v>5980299000000</v>
      </c>
    </row>
    <row r="279" spans="1:2">
      <c r="A279" s="3">
        <v>36735</v>
      </c>
      <c r="B279">
        <v>5926076000000</v>
      </c>
    </row>
    <row r="280" spans="1:2">
      <c r="A280" s="3">
        <v>36705</v>
      </c>
      <c r="B280">
        <v>5910771000000</v>
      </c>
    </row>
    <row r="281" spans="1:2">
      <c r="A281" s="3">
        <v>36674</v>
      </c>
      <c r="B281">
        <v>5971688000000</v>
      </c>
    </row>
    <row r="282" spans="1:2">
      <c r="A282" s="3">
        <v>36644</v>
      </c>
      <c r="B282">
        <v>5921238000000</v>
      </c>
    </row>
    <row r="283" spans="1:2">
      <c r="A283" s="3">
        <v>36613</v>
      </c>
      <c r="B283">
        <v>5864258000000</v>
      </c>
    </row>
    <row r="284" spans="1:2">
      <c r="A284" s="3">
        <v>36584</v>
      </c>
      <c r="B284">
        <v>5785622000000</v>
      </c>
    </row>
    <row r="285" spans="1:2">
      <c r="A285" s="3">
        <v>36553</v>
      </c>
      <c r="B285">
        <v>5767212000000</v>
      </c>
    </row>
    <row r="286" spans="1:2">
      <c r="A286" s="3">
        <v>36522</v>
      </c>
      <c r="B286">
        <v>5740741000000</v>
      </c>
    </row>
    <row r="287" spans="1:2">
      <c r="A287" s="3">
        <v>36492</v>
      </c>
      <c r="B287">
        <v>5758090000000</v>
      </c>
    </row>
    <row r="288" spans="1:2">
      <c r="A288" s="3">
        <v>36461</v>
      </c>
      <c r="B288">
        <v>5670614000000</v>
      </c>
    </row>
    <row r="289" spans="1:2">
      <c r="A289" s="3">
        <v>36431</v>
      </c>
      <c r="B289">
        <v>5599883000000</v>
      </c>
    </row>
    <row r="290" spans="1:2">
      <c r="A290" s="3">
        <v>36400</v>
      </c>
      <c r="B290">
        <v>5545747000000</v>
      </c>
    </row>
    <row r="291" spans="1:2">
      <c r="A291" s="3">
        <v>36369</v>
      </c>
      <c r="B291">
        <v>5497650000000</v>
      </c>
    </row>
    <row r="292" spans="1:2">
      <c r="A292" s="3">
        <v>36339</v>
      </c>
      <c r="B292">
        <v>5474231000000</v>
      </c>
    </row>
    <row r="293" spans="1:2">
      <c r="A293" s="3">
        <v>36308</v>
      </c>
      <c r="B293">
        <v>5455960000000</v>
      </c>
    </row>
    <row r="294" spans="1:2">
      <c r="A294" s="3">
        <v>36278</v>
      </c>
      <c r="B294">
        <v>5414857000000</v>
      </c>
    </row>
    <row r="295" spans="1:2">
      <c r="A295" s="3">
        <v>36247</v>
      </c>
      <c r="B295">
        <v>5361317000000</v>
      </c>
    </row>
    <row r="296" spans="1:2">
      <c r="A296" s="3">
        <v>36219</v>
      </c>
      <c r="B296">
        <v>5321253000000</v>
      </c>
    </row>
    <row r="297" spans="1:2">
      <c r="A297" s="3">
        <v>36188</v>
      </c>
      <c r="B297">
        <v>5369530000000</v>
      </c>
    </row>
    <row r="298" spans="1:2">
      <c r="A298" s="3">
        <v>36157</v>
      </c>
      <c r="B298">
        <v>10087647000000</v>
      </c>
    </row>
    <row r="299" spans="1:2">
      <c r="A299" s="3">
        <v>36127</v>
      </c>
      <c r="B299">
        <v>10046829000000</v>
      </c>
    </row>
    <row r="300" spans="1:2">
      <c r="A300" s="3">
        <v>36096</v>
      </c>
      <c r="B300">
        <v>9858251000000</v>
      </c>
    </row>
    <row r="301" spans="1:2">
      <c r="A301" s="3">
        <v>36066</v>
      </c>
      <c r="B301">
        <v>9720428000000</v>
      </c>
    </row>
    <row r="302" spans="1:2">
      <c r="A302" s="3">
        <v>36035</v>
      </c>
      <c r="B302">
        <v>9721824000000</v>
      </c>
    </row>
    <row r="303" spans="1:2">
      <c r="A303" s="3">
        <v>36004</v>
      </c>
      <c r="B303">
        <v>9573358000000</v>
      </c>
    </row>
    <row r="304" spans="1:2">
      <c r="A304" s="3">
        <v>35974</v>
      </c>
      <c r="B304">
        <v>9586914000000</v>
      </c>
    </row>
    <row r="305" spans="1:2">
      <c r="A305" s="3">
        <v>35943</v>
      </c>
      <c r="B305">
        <v>9472960000000</v>
      </c>
    </row>
    <row r="306" spans="1:2">
      <c r="A306" s="3">
        <v>35913</v>
      </c>
      <c r="B306">
        <v>9364097000000</v>
      </c>
    </row>
    <row r="307" spans="1:2">
      <c r="A307" s="3">
        <v>35882</v>
      </c>
      <c r="B307">
        <v>9297044000000</v>
      </c>
    </row>
    <row r="308" spans="1:2">
      <c r="A308" s="3">
        <v>35854</v>
      </c>
      <c r="B308">
        <v>9214490000000</v>
      </c>
    </row>
    <row r="309" spans="1:2">
      <c r="A309" s="3">
        <v>35823</v>
      </c>
      <c r="B309">
        <v>9154989000000</v>
      </c>
    </row>
    <row r="310" spans="1:2">
      <c r="A310" s="3">
        <v>35792</v>
      </c>
      <c r="B310">
        <v>9109858000000</v>
      </c>
    </row>
    <row r="311" spans="1:2">
      <c r="A311" s="3">
        <v>35762</v>
      </c>
      <c r="B311">
        <v>9069474000000</v>
      </c>
    </row>
    <row r="312" spans="1:2">
      <c r="A312" s="3">
        <v>35731</v>
      </c>
      <c r="B312">
        <v>8931054000000</v>
      </c>
    </row>
    <row r="313" spans="1:2">
      <c r="A313" s="3">
        <v>35701</v>
      </c>
      <c r="B313">
        <v>8810716000000</v>
      </c>
    </row>
    <row r="314" spans="1:2">
      <c r="A314" s="3">
        <v>35670</v>
      </c>
      <c r="B314">
        <v>8800156000000</v>
      </c>
    </row>
    <row r="315" spans="1:2">
      <c r="A315" s="3">
        <v>35639</v>
      </c>
      <c r="B315">
        <v>8755442999999.999</v>
      </c>
    </row>
    <row r="316" spans="1:2">
      <c r="A316" s="3">
        <v>35609</v>
      </c>
      <c r="B316">
        <v>8689443999999.999</v>
      </c>
    </row>
    <row r="317" spans="1:2">
      <c r="A317" s="3">
        <v>35578</v>
      </c>
      <c r="B317">
        <v>8571959999999.999</v>
      </c>
    </row>
    <row r="318" spans="1:2">
      <c r="A318" s="3">
        <v>35548</v>
      </c>
      <c r="B318">
        <v>8514812000000</v>
      </c>
    </row>
    <row r="319" spans="1:2">
      <c r="A319" s="3">
        <v>35517</v>
      </c>
      <c r="B319">
        <v>8474677000000</v>
      </c>
    </row>
    <row r="320" spans="1:2">
      <c r="A320" s="3">
        <v>35489</v>
      </c>
      <c r="B320">
        <v>8390788000000</v>
      </c>
    </row>
    <row r="321" spans="1:2">
      <c r="A321" s="3">
        <v>35458</v>
      </c>
      <c r="B321">
        <v>8273894000000</v>
      </c>
    </row>
    <row r="322" spans="1:2">
      <c r="A322" s="3">
        <v>35427</v>
      </c>
      <c r="B322">
        <v>8292385000000</v>
      </c>
    </row>
    <row r="323" spans="1:2">
      <c r="A323" s="3">
        <v>35397</v>
      </c>
      <c r="B323">
        <v>8187179000000</v>
      </c>
    </row>
    <row r="324" spans="1:2">
      <c r="A324" s="3">
        <v>35366</v>
      </c>
      <c r="B324">
        <v>8012272000000</v>
      </c>
    </row>
    <row r="325" spans="1:2">
      <c r="A325" s="3">
        <v>35336</v>
      </c>
      <c r="B325">
        <v>7955774000000</v>
      </c>
    </row>
    <row r="326" spans="1:2">
      <c r="A326" s="3">
        <v>35305</v>
      </c>
      <c r="B326">
        <v>7873720000000</v>
      </c>
    </row>
    <row r="327" spans="1:2">
      <c r="A327" s="3">
        <v>35274</v>
      </c>
      <c r="B327">
        <v>7819562000000</v>
      </c>
    </row>
    <row r="328" spans="1:2">
      <c r="A328" s="3">
        <v>35244</v>
      </c>
      <c r="B328">
        <v>7821034000000</v>
      </c>
    </row>
    <row r="329" spans="1:2">
      <c r="A329" s="3">
        <v>35213</v>
      </c>
      <c r="B329">
        <v>7754682000000</v>
      </c>
    </row>
    <row r="330" spans="1:2">
      <c r="A330" s="3">
        <v>35183</v>
      </c>
      <c r="B330">
        <v>7734084000000</v>
      </c>
    </row>
    <row r="331" spans="1:2">
      <c r="A331" s="3">
        <v>35152</v>
      </c>
      <c r="B331">
        <v>7690422000000</v>
      </c>
    </row>
    <row r="332" spans="1:2">
      <c r="A332" s="3">
        <v>35123</v>
      </c>
      <c r="B332">
        <v>7641028000000</v>
      </c>
    </row>
    <row r="333" spans="1:2">
      <c r="A333" s="3">
        <v>35092</v>
      </c>
      <c r="B333">
        <v>7563947000000</v>
      </c>
    </row>
    <row r="334" spans="1:2">
      <c r="A334" s="3">
        <v>35061</v>
      </c>
      <c r="B334">
        <v>7538879000000</v>
      </c>
    </row>
    <row r="335" spans="1:2">
      <c r="A335" s="3">
        <v>35031</v>
      </c>
      <c r="B335">
        <v>7445335000000</v>
      </c>
    </row>
    <row r="336" spans="1:2">
      <c r="A336" s="3">
        <v>35000</v>
      </c>
      <c r="B336">
        <v>7279263000000</v>
      </c>
    </row>
    <row r="337" spans="1:2">
      <c r="A337" s="3">
        <v>34970</v>
      </c>
      <c r="B337">
        <v>7220634000000</v>
      </c>
    </row>
    <row r="338" spans="1:2">
      <c r="A338" s="3">
        <v>34939</v>
      </c>
      <c r="B338">
        <v>7142340000000</v>
      </c>
    </row>
    <row r="339" spans="1:2">
      <c r="A339" s="3">
        <v>34908</v>
      </c>
      <c r="B339">
        <v>7057619000000</v>
      </c>
    </row>
    <row r="340" spans="1:2">
      <c r="A340" s="3">
        <v>34878</v>
      </c>
      <c r="B340">
        <v>7061508000000</v>
      </c>
    </row>
    <row r="341" spans="1:2">
      <c r="A341" s="3">
        <v>34847</v>
      </c>
      <c r="B341">
        <v>7038040000000</v>
      </c>
    </row>
    <row r="342" spans="1:2">
      <c r="A342" s="3">
        <v>34817</v>
      </c>
      <c r="B342">
        <v>6997008000000</v>
      </c>
    </row>
    <row r="343" spans="1:2">
      <c r="A343" s="3">
        <v>34786</v>
      </c>
      <c r="B343">
        <v>6947599000000</v>
      </c>
    </row>
    <row r="344" spans="1:2">
      <c r="A344" s="3">
        <v>34758</v>
      </c>
      <c r="B344">
        <v>6967036000000</v>
      </c>
    </row>
    <row r="345" spans="1:2">
      <c r="A345" s="3">
        <v>34730</v>
      </c>
      <c r="B345">
        <v>6896596000000</v>
      </c>
    </row>
    <row r="347" spans="1:2">
      <c r="B347" t="s">
        <v>25</v>
      </c>
    </row>
  </sheetData>
  <sortState xmlns:xlrd2="http://schemas.microsoft.com/office/spreadsheetml/2017/richdata2" ref="A2:B898">
    <sortCondition descending="1" ref="A2:A89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F893-DCD1-A644-8895-58D4FC79A20A}">
  <dimension ref="A1:B28"/>
  <sheetViews>
    <sheetView workbookViewId="0">
      <selection activeCell="A2" sqref="A2"/>
    </sheetView>
  </sheetViews>
  <sheetFormatPr baseColWidth="10" defaultRowHeight="16"/>
  <cols>
    <col min="1" max="1" width="10.83203125" style="3"/>
    <col min="2" max="2" width="12.1640625" style="8" bestFit="1" customWidth="1"/>
  </cols>
  <sheetData>
    <row r="1" spans="1:2">
      <c r="A1" s="3" t="s">
        <v>1</v>
      </c>
      <c r="B1" s="8" t="s">
        <v>28</v>
      </c>
    </row>
    <row r="2" spans="1:2">
      <c r="A2" s="3">
        <v>36525</v>
      </c>
      <c r="B2" s="8">
        <v>66966000000</v>
      </c>
    </row>
    <row r="3" spans="1:2">
      <c r="A3" s="3">
        <v>36891</v>
      </c>
      <c r="B3" s="8">
        <v>74234000000</v>
      </c>
    </row>
    <row r="4" spans="1:2">
      <c r="A4" s="3">
        <v>37256</v>
      </c>
      <c r="B4" s="8">
        <v>77651000000</v>
      </c>
    </row>
    <row r="5" spans="1:2">
      <c r="A5" s="3">
        <v>37621</v>
      </c>
      <c r="B5" s="8">
        <v>74877000000</v>
      </c>
    </row>
    <row r="6" spans="1:2">
      <c r="A6" s="3">
        <v>37986</v>
      </c>
      <c r="B6" s="8">
        <v>74298000000</v>
      </c>
    </row>
    <row r="7" spans="1:2">
      <c r="A7" s="3">
        <v>38352</v>
      </c>
      <c r="B7" s="8">
        <v>73324000000</v>
      </c>
    </row>
    <row r="8" spans="1:2">
      <c r="A8" s="3">
        <v>38717</v>
      </c>
      <c r="B8" s="8">
        <v>76704000000</v>
      </c>
    </row>
    <row r="9" spans="1:2">
      <c r="A9" s="3">
        <v>39082</v>
      </c>
      <c r="B9" s="8">
        <v>79714000000</v>
      </c>
    </row>
    <row r="10" spans="1:2">
      <c r="A10" s="3">
        <v>39447</v>
      </c>
      <c r="B10" s="8">
        <f>79818*1000000</f>
        <v>79818000000</v>
      </c>
    </row>
    <row r="11" spans="1:2">
      <c r="A11" s="3">
        <v>39813</v>
      </c>
      <c r="B11" s="8">
        <v>77105000000</v>
      </c>
    </row>
    <row r="12" spans="1:2">
      <c r="A12" s="3">
        <v>40178</v>
      </c>
      <c r="B12" s="8">
        <v>80589000000</v>
      </c>
    </row>
    <row r="13" spans="1:2">
      <c r="A13" s="3">
        <v>40543</v>
      </c>
      <c r="B13" s="8">
        <v>78683000000</v>
      </c>
    </row>
    <row r="14" spans="1:2">
      <c r="A14" s="3">
        <v>40908</v>
      </c>
      <c r="B14" s="8">
        <v>78599000000</v>
      </c>
    </row>
    <row r="15" spans="1:2">
      <c r="A15" s="3">
        <v>41274</v>
      </c>
      <c r="B15" s="8">
        <v>80935000000</v>
      </c>
    </row>
    <row r="16" spans="1:2">
      <c r="A16" s="3">
        <v>41639</v>
      </c>
      <c r="B16" s="8">
        <v>81145000000</v>
      </c>
    </row>
    <row r="17" spans="1:2">
      <c r="A17" s="3">
        <v>42004</v>
      </c>
      <c r="B17" s="8">
        <v>82008000000</v>
      </c>
    </row>
    <row r="18" spans="1:2">
      <c r="A18" s="3">
        <v>42369</v>
      </c>
      <c r="B18" s="8">
        <v>85965000000</v>
      </c>
    </row>
    <row r="19" spans="1:2">
      <c r="A19" s="3">
        <v>42735</v>
      </c>
      <c r="B19" s="8">
        <v>84410000000</v>
      </c>
    </row>
    <row r="20" spans="1:2">
      <c r="A20" s="3">
        <v>43100</v>
      </c>
      <c r="B20" s="8">
        <v>84002000000</v>
      </c>
    </row>
    <row r="21" spans="1:2">
      <c r="A21" s="3">
        <v>43465</v>
      </c>
      <c r="B21" s="8">
        <v>83641000000</v>
      </c>
    </row>
    <row r="22" spans="1:2">
      <c r="A22" s="3">
        <v>43830</v>
      </c>
      <c r="B22" s="8">
        <v>84750000000</v>
      </c>
    </row>
    <row r="23" spans="1:2">
      <c r="A23" s="3">
        <v>44196</v>
      </c>
      <c r="B23" s="8">
        <v>82554000000</v>
      </c>
    </row>
    <row r="24" spans="1:2">
      <c r="A24" s="3">
        <v>44561</v>
      </c>
      <c r="B24" s="8">
        <v>87120000000</v>
      </c>
    </row>
    <row r="27" spans="1:2">
      <c r="B27" s="8" t="s">
        <v>26</v>
      </c>
    </row>
    <row r="28" spans="1:2">
      <c r="B28" s="8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805D-9B8C-3B41-B4D0-120D752CA159}">
  <dimension ref="A1:C64"/>
  <sheetViews>
    <sheetView workbookViewId="0">
      <selection sqref="A1:C1048576"/>
    </sheetView>
  </sheetViews>
  <sheetFormatPr baseColWidth="10" defaultRowHeight="16"/>
  <cols>
    <col min="1" max="1" width="10.83203125" style="3"/>
  </cols>
  <sheetData>
    <row r="1" spans="1:3">
      <c r="A1" s="5" t="s">
        <v>6</v>
      </c>
    </row>
    <row r="2" spans="1:3">
      <c r="A2" s="3" t="s">
        <v>1</v>
      </c>
      <c r="B2" t="s">
        <v>3</v>
      </c>
      <c r="C2" t="s">
        <v>4</v>
      </c>
    </row>
    <row r="3" spans="1:3">
      <c r="A3" s="3">
        <v>22282</v>
      </c>
      <c r="B3">
        <v>23.518254088744801</v>
      </c>
      <c r="C3">
        <v>2.2936864506974297</v>
      </c>
    </row>
    <row r="4" spans="1:3">
      <c r="A4" s="3">
        <v>22647</v>
      </c>
      <c r="B4">
        <v>24.1869423117951</v>
      </c>
      <c r="C4">
        <v>2.8432732316227227</v>
      </c>
    </row>
    <row r="5" spans="1:3">
      <c r="A5" s="3">
        <v>23012</v>
      </c>
      <c r="B5">
        <v>24.904558941410102</v>
      </c>
      <c r="C5">
        <v>2.9669588671613401</v>
      </c>
    </row>
    <row r="6" spans="1:3">
      <c r="A6" s="3">
        <v>23377</v>
      </c>
      <c r="B6">
        <v>25.486263330567699</v>
      </c>
      <c r="C6">
        <v>2.3357345557739162</v>
      </c>
    </row>
    <row r="7" spans="1:3">
      <c r="A7" s="3">
        <v>23743</v>
      </c>
      <c r="B7">
        <v>26.3126097525485</v>
      </c>
      <c r="C7">
        <v>3.2423208191123765</v>
      </c>
    </row>
    <row r="8" spans="1:3">
      <c r="A8" s="3">
        <v>24108</v>
      </c>
      <c r="B8">
        <v>27.242249477276999</v>
      </c>
      <c r="C8">
        <v>3.5330578512397848</v>
      </c>
    </row>
    <row r="9" spans="1:3">
      <c r="A9" s="3">
        <v>24473</v>
      </c>
      <c r="B9">
        <v>27.731533542923501</v>
      </c>
      <c r="C9">
        <v>1.7960486928754404</v>
      </c>
    </row>
    <row r="10" spans="1:3">
      <c r="A10" s="3">
        <v>24838</v>
      </c>
      <c r="B10">
        <v>28.1392702642957</v>
      </c>
      <c r="C10">
        <v>1.4702999411882356</v>
      </c>
    </row>
    <row r="11" spans="1:3">
      <c r="A11" s="3">
        <v>25204</v>
      </c>
      <c r="B11">
        <v>28.677482736506899</v>
      </c>
      <c r="C11">
        <v>1.9126738794435161</v>
      </c>
    </row>
    <row r="12" spans="1:3">
      <c r="A12" s="3">
        <v>25569</v>
      </c>
      <c r="B12">
        <v>29.6669238470366</v>
      </c>
      <c r="C12">
        <v>3.4502369668245825</v>
      </c>
    </row>
    <row r="13" spans="1:3">
      <c r="A13" s="3">
        <v>25934</v>
      </c>
      <c r="B13">
        <v>31.221759877869001</v>
      </c>
      <c r="C13">
        <v>5.2409748946307122</v>
      </c>
    </row>
    <row r="14" spans="1:3">
      <c r="A14" s="3">
        <v>26299</v>
      </c>
      <c r="B14">
        <v>32.934254107632</v>
      </c>
      <c r="C14">
        <v>5.4849381856173718</v>
      </c>
    </row>
    <row r="15" spans="1:3">
      <c r="A15" s="3">
        <v>26665</v>
      </c>
      <c r="B15">
        <v>35.250198685025701</v>
      </c>
      <c r="C15">
        <v>7.0320237702210964</v>
      </c>
    </row>
    <row r="16" spans="1:3">
      <c r="A16" s="3">
        <v>27030</v>
      </c>
      <c r="B16">
        <v>37.712928482113398</v>
      </c>
      <c r="C16">
        <v>6.9864281307834508</v>
      </c>
    </row>
    <row r="17" spans="1:3">
      <c r="A17" s="3">
        <v>27395</v>
      </c>
      <c r="B17">
        <v>39.941889225614403</v>
      </c>
      <c r="C17">
        <v>5.910335880063422</v>
      </c>
    </row>
    <row r="18" spans="1:3">
      <c r="A18" s="3">
        <v>27760</v>
      </c>
      <c r="B18">
        <v>41.6380739865225</v>
      </c>
      <c r="C18">
        <v>4.2466312780727211</v>
      </c>
    </row>
    <row r="19" spans="1:3">
      <c r="A19" s="3">
        <v>28126</v>
      </c>
      <c r="B19">
        <v>43.192910017354997</v>
      </c>
      <c r="C19">
        <v>3.7341689515604681</v>
      </c>
    </row>
    <row r="20" spans="1:3">
      <c r="A20" s="3">
        <v>28491</v>
      </c>
      <c r="B20">
        <v>44.367191774906701</v>
      </c>
      <c r="C20">
        <v>2.7186910006292031</v>
      </c>
    </row>
    <row r="21" spans="1:3">
      <c r="A21" s="3">
        <v>28856</v>
      </c>
      <c r="B21">
        <v>46.161233348944101</v>
      </c>
      <c r="C21">
        <v>4.0436221051341814</v>
      </c>
    </row>
    <row r="22" spans="1:3">
      <c r="A22" s="3">
        <v>29221</v>
      </c>
      <c r="B22">
        <v>48.672891552596496</v>
      </c>
      <c r="C22">
        <v>5.4410552349547281</v>
      </c>
    </row>
    <row r="23" spans="1:3">
      <c r="A23" s="3">
        <v>29587</v>
      </c>
      <c r="B23">
        <v>51.760817655788102</v>
      </c>
      <c r="C23">
        <v>6.3442421534680271</v>
      </c>
    </row>
    <row r="24" spans="1:3">
      <c r="A24" s="3">
        <v>29952</v>
      </c>
      <c r="B24">
        <v>54.473625975317397</v>
      </c>
      <c r="C24">
        <v>5.2410461086020765</v>
      </c>
    </row>
    <row r="25" spans="1:3">
      <c r="A25" s="3">
        <v>30317</v>
      </c>
      <c r="B25">
        <v>56.267667549354798</v>
      </c>
      <c r="C25">
        <v>3.2934131736527039</v>
      </c>
    </row>
    <row r="26" spans="1:3">
      <c r="A26" s="3">
        <v>30682</v>
      </c>
      <c r="B26">
        <v>57.621353464310303</v>
      </c>
      <c r="C26">
        <v>2.4057971014493029</v>
      </c>
    </row>
    <row r="27" spans="1:3">
      <c r="A27" s="3">
        <v>31048</v>
      </c>
      <c r="B27">
        <v>58.811944690716899</v>
      </c>
      <c r="C27">
        <v>2.0662326634587336</v>
      </c>
    </row>
    <row r="28" spans="1:3">
      <c r="A28" s="3">
        <v>31413</v>
      </c>
      <c r="B28">
        <v>58.735833836060799</v>
      </c>
      <c r="C28">
        <v>-0.12941393973002757</v>
      </c>
    </row>
    <row r="29" spans="1:3">
      <c r="A29" s="3">
        <v>31778</v>
      </c>
      <c r="B29">
        <v>58.882619055754702</v>
      </c>
      <c r="C29">
        <v>0.24990744168815748</v>
      </c>
    </row>
    <row r="30" spans="1:3">
      <c r="A30" s="3">
        <v>32143</v>
      </c>
      <c r="B30">
        <v>59.632854623079503</v>
      </c>
      <c r="C30">
        <v>1.2741205798173061</v>
      </c>
    </row>
    <row r="31" spans="1:3">
      <c r="A31" s="3">
        <v>32509</v>
      </c>
      <c r="B31">
        <v>61.290983956659502</v>
      </c>
      <c r="C31">
        <v>2.780563405962222</v>
      </c>
    </row>
    <row r="32" spans="1:3">
      <c r="A32" s="3">
        <v>32874</v>
      </c>
      <c r="B32">
        <v>62.943676800621198</v>
      </c>
      <c r="C32">
        <v>2.6964697534148874</v>
      </c>
    </row>
    <row r="33" spans="1:3">
      <c r="A33" s="3">
        <v>33239</v>
      </c>
      <c r="B33">
        <v>65.491028807831597</v>
      </c>
      <c r="C33">
        <v>4.0470340099122648</v>
      </c>
    </row>
    <row r="34" spans="1:3">
      <c r="A34" s="3">
        <v>33604</v>
      </c>
      <c r="B34">
        <v>68.802897073754707</v>
      </c>
      <c r="C34">
        <v>5.0569800569800538</v>
      </c>
    </row>
    <row r="35" spans="1:3">
      <c r="A35" s="3">
        <v>33970</v>
      </c>
      <c r="B35">
        <v>71.8815351801058</v>
      </c>
      <c r="C35">
        <v>4.4745762711864812</v>
      </c>
    </row>
    <row r="36" spans="1:3">
      <c r="A36" s="3">
        <v>34335</v>
      </c>
      <c r="B36">
        <v>73.817345504553799</v>
      </c>
      <c r="C36">
        <v>2.6930564568461879</v>
      </c>
    </row>
    <row r="37" spans="1:3">
      <c r="A37" s="3">
        <v>34700</v>
      </c>
      <c r="B37">
        <v>75.076788366242894</v>
      </c>
      <c r="C37">
        <v>1.7061611374407981</v>
      </c>
    </row>
    <row r="38" spans="1:3">
      <c r="A38" s="3">
        <v>35065</v>
      </c>
      <c r="B38">
        <v>76.1651957775791</v>
      </c>
      <c r="C38">
        <v>1.4497255876565918</v>
      </c>
    </row>
    <row r="39" spans="1:3">
      <c r="A39" s="3">
        <v>35431</v>
      </c>
      <c r="B39">
        <v>77.642320121535406</v>
      </c>
      <c r="C39">
        <v>1.939369194651408</v>
      </c>
    </row>
    <row r="40" spans="1:3">
      <c r="A40" s="3">
        <v>35796</v>
      </c>
      <c r="B40">
        <v>78.349784938903994</v>
      </c>
      <c r="C40">
        <v>0.91118453990191028</v>
      </c>
    </row>
    <row r="41" spans="1:3">
      <c r="A41" s="3">
        <v>36161</v>
      </c>
      <c r="B41">
        <v>78.808470919395603</v>
      </c>
      <c r="C41">
        <v>0.58543361778118364</v>
      </c>
    </row>
    <row r="42" spans="1:3">
      <c r="A42" s="3">
        <v>36526</v>
      </c>
      <c r="B42">
        <v>79.943524362646301</v>
      </c>
      <c r="C42">
        <v>1.4402683239618019</v>
      </c>
    </row>
    <row r="43" spans="1:3">
      <c r="A43" s="3">
        <v>36892</v>
      </c>
      <c r="B43">
        <v>81.529489447736196</v>
      </c>
      <c r="C43">
        <v>1.9838568511134413</v>
      </c>
    </row>
    <row r="44" spans="1:3">
      <c r="A44" s="3">
        <v>37257</v>
      </c>
      <c r="B44">
        <v>82.687865906944097</v>
      </c>
      <c r="C44">
        <v>1.4208067130733859</v>
      </c>
    </row>
    <row r="45" spans="1:3">
      <c r="A45" s="3">
        <v>37622</v>
      </c>
      <c r="B45">
        <v>83.543043158708201</v>
      </c>
      <c r="C45">
        <v>1.0342233922526312</v>
      </c>
    </row>
    <row r="46" spans="1:3">
      <c r="A46" s="3">
        <v>37987</v>
      </c>
      <c r="B46">
        <v>84.934649777488204</v>
      </c>
      <c r="C46">
        <v>1.6657360878467697</v>
      </c>
    </row>
    <row r="47" spans="1:3">
      <c r="A47" s="3">
        <v>38353</v>
      </c>
      <c r="B47">
        <v>86.248513009744002</v>
      </c>
      <c r="C47">
        <v>1.5469107551486339</v>
      </c>
    </row>
    <row r="48" spans="1:3">
      <c r="A48" s="3">
        <v>38718</v>
      </c>
      <c r="B48">
        <v>87.609022273914306</v>
      </c>
      <c r="C48">
        <v>1.5774292410312141</v>
      </c>
    </row>
    <row r="49" spans="1:3">
      <c r="A49" s="3">
        <v>39083</v>
      </c>
      <c r="B49">
        <v>89.622575984886396</v>
      </c>
      <c r="C49">
        <v>2.2983405803532531</v>
      </c>
    </row>
    <row r="50" spans="1:3">
      <c r="A50" s="3">
        <v>39448</v>
      </c>
      <c r="B50">
        <v>91.978200596564093</v>
      </c>
      <c r="C50">
        <v>2.628383067314366</v>
      </c>
    </row>
    <row r="51" spans="1:3">
      <c r="A51" s="3">
        <v>39814</v>
      </c>
      <c r="B51">
        <v>92.265851126702898</v>
      </c>
      <c r="C51">
        <v>0.31273772293121116</v>
      </c>
    </row>
    <row r="52" spans="1:3">
      <c r="A52" s="3">
        <v>40179</v>
      </c>
      <c r="B52">
        <v>93.284289490167495</v>
      </c>
      <c r="C52">
        <v>1.1038085608358283</v>
      </c>
    </row>
    <row r="53" spans="1:3">
      <c r="A53" s="3">
        <v>40544</v>
      </c>
      <c r="B53">
        <v>95.220099814615494</v>
      </c>
      <c r="C53">
        <v>2.0751729310775735</v>
      </c>
    </row>
    <row r="54" spans="1:3">
      <c r="A54" s="3">
        <v>40909</v>
      </c>
      <c r="B54">
        <v>97.132587123106404</v>
      </c>
      <c r="C54">
        <v>2.0084911822339402</v>
      </c>
    </row>
    <row r="55" spans="1:3">
      <c r="A55" s="3">
        <v>41275</v>
      </c>
      <c r="B55">
        <v>98.594162789757902</v>
      </c>
      <c r="C55">
        <v>1.5047222666879856</v>
      </c>
    </row>
    <row r="56" spans="1:3">
      <c r="A56" s="3">
        <v>41640</v>
      </c>
      <c r="B56">
        <v>99.488211734784002</v>
      </c>
      <c r="C56">
        <v>0.90679703516787225</v>
      </c>
    </row>
    <row r="57" spans="1:3">
      <c r="A57" s="3">
        <v>42005</v>
      </c>
      <c r="B57">
        <v>100</v>
      </c>
      <c r="C57">
        <v>0.51442101158709619</v>
      </c>
    </row>
    <row r="58" spans="1:3">
      <c r="A58" s="3">
        <v>42370</v>
      </c>
      <c r="B58">
        <v>100.49174862477101</v>
      </c>
      <c r="C58">
        <v>0.49174862477101566</v>
      </c>
    </row>
    <row r="59" spans="1:3">
      <c r="A59" s="3">
        <v>42736</v>
      </c>
      <c r="B59">
        <v>102.00866811135199</v>
      </c>
      <c r="C59">
        <v>1.5094965580159769</v>
      </c>
    </row>
    <row r="60" spans="1:3">
      <c r="A60" s="3">
        <v>43101</v>
      </c>
      <c r="B60">
        <v>103.775629271545</v>
      </c>
      <c r="C60">
        <v>1.7321676607562342</v>
      </c>
    </row>
    <row r="61" spans="1:3">
      <c r="A61" s="3">
        <v>43466</v>
      </c>
      <c r="B61">
        <v>105.27587931321899</v>
      </c>
      <c r="C61">
        <v>1.4456670146979933</v>
      </c>
    </row>
    <row r="62" spans="1:3">
      <c r="A62" s="3">
        <v>43831</v>
      </c>
      <c r="B62">
        <v>105.428393042127</v>
      </c>
      <c r="C62">
        <v>0.14487053435501274</v>
      </c>
    </row>
    <row r="63" spans="1:3">
      <c r="A63" s="3">
        <v>44197</v>
      </c>
      <c r="B63">
        <v>108.661530428752</v>
      </c>
      <c r="C63">
        <v>3.0666666666664621</v>
      </c>
    </row>
    <row r="64" spans="1:3">
      <c r="A64" s="3">
        <v>44562</v>
      </c>
      <c r="B64">
        <v>116.129374935903</v>
      </c>
      <c r="C64">
        <v>6.8725743855113208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A99F-2579-B045-A6B6-C59D836D0CD1}">
  <dimension ref="A1:B33"/>
  <sheetViews>
    <sheetView workbookViewId="0">
      <selection activeCell="F30" sqref="F30"/>
    </sheetView>
  </sheetViews>
  <sheetFormatPr baseColWidth="10" defaultRowHeight="16"/>
  <cols>
    <col min="1" max="1" width="10.83203125" style="3"/>
  </cols>
  <sheetData>
    <row r="1" spans="1:2">
      <c r="A1" s="3" t="s">
        <v>1</v>
      </c>
      <c r="B1" t="s">
        <v>7</v>
      </c>
    </row>
    <row r="2" spans="1:2">
      <c r="A2" s="3">
        <v>33603</v>
      </c>
      <c r="B2">
        <v>1585800000000</v>
      </c>
    </row>
    <row r="3" spans="1:2">
      <c r="A3" s="3">
        <v>33969</v>
      </c>
      <c r="B3">
        <v>1702060000000</v>
      </c>
    </row>
    <row r="4" spans="1:2">
      <c r="A4" s="3">
        <v>34334</v>
      </c>
      <c r="B4">
        <v>1750890000000</v>
      </c>
    </row>
    <row r="5" spans="1:2">
      <c r="A5" s="3">
        <v>34699</v>
      </c>
      <c r="B5">
        <v>1829550000000</v>
      </c>
    </row>
    <row r="6" spans="1:2">
      <c r="A6" s="3">
        <v>35064</v>
      </c>
      <c r="B6">
        <v>1894610000000</v>
      </c>
    </row>
    <row r="7" spans="1:2">
      <c r="A7" s="3">
        <v>35430</v>
      </c>
      <c r="B7">
        <v>1921380000000</v>
      </c>
    </row>
    <row r="8" spans="1:2">
      <c r="A8" s="3">
        <v>35795</v>
      </c>
      <c r="B8">
        <v>1961150000000</v>
      </c>
    </row>
    <row r="9" spans="1:2">
      <c r="A9" s="3">
        <v>36160</v>
      </c>
      <c r="B9">
        <v>2014420000000</v>
      </c>
    </row>
    <row r="10" spans="1:2">
      <c r="A10" s="3">
        <v>36525</v>
      </c>
      <c r="B10">
        <v>2059480000000</v>
      </c>
    </row>
    <row r="11" spans="1:2">
      <c r="A11" s="3">
        <v>36891</v>
      </c>
      <c r="B11">
        <v>2109090000000.0002</v>
      </c>
    </row>
    <row r="12" spans="1:2">
      <c r="A12" s="3">
        <v>37256</v>
      </c>
      <c r="B12">
        <v>2172540000000</v>
      </c>
    </row>
    <row r="13" spans="1:2">
      <c r="A13" s="3">
        <v>37621</v>
      </c>
      <c r="B13">
        <v>2198120000000</v>
      </c>
    </row>
    <row r="14" spans="1:2">
      <c r="A14" s="3">
        <v>37986</v>
      </c>
      <c r="B14">
        <v>2211570000000</v>
      </c>
    </row>
    <row r="15" spans="1:2">
      <c r="A15" s="3">
        <v>38352</v>
      </c>
      <c r="B15">
        <v>2262520000000</v>
      </c>
    </row>
    <row r="16" spans="1:2">
      <c r="A16" s="3">
        <v>38717</v>
      </c>
      <c r="B16">
        <v>2288310000000</v>
      </c>
    </row>
    <row r="17" spans="1:2">
      <c r="A17" s="3">
        <v>39082</v>
      </c>
      <c r="B17">
        <v>2385080000000</v>
      </c>
    </row>
    <row r="18" spans="1:2">
      <c r="A18" s="3">
        <v>39447</v>
      </c>
      <c r="B18">
        <v>2499550000000</v>
      </c>
    </row>
    <row r="19" spans="1:2">
      <c r="A19" s="3">
        <v>39813</v>
      </c>
      <c r="B19">
        <v>2546490000000</v>
      </c>
    </row>
    <row r="20" spans="1:2">
      <c r="A20" s="3">
        <v>40178</v>
      </c>
      <c r="B20">
        <v>2445730000000</v>
      </c>
    </row>
    <row r="21" spans="1:2">
      <c r="A21" s="3">
        <v>40543</v>
      </c>
      <c r="B21">
        <v>2564400000000</v>
      </c>
    </row>
    <row r="22" spans="1:2">
      <c r="A22" s="3">
        <v>40908</v>
      </c>
      <c r="B22">
        <v>2693560000000</v>
      </c>
    </row>
    <row r="23" spans="1:2">
      <c r="A23" s="3">
        <v>41274</v>
      </c>
      <c r="B23">
        <v>2745310000000</v>
      </c>
    </row>
    <row r="24" spans="1:2">
      <c r="A24" s="3">
        <v>41639</v>
      </c>
      <c r="B24">
        <v>2811350000000</v>
      </c>
    </row>
    <row r="25" spans="1:2">
      <c r="A25" s="3">
        <v>42004</v>
      </c>
      <c r="B25">
        <v>2927430000000</v>
      </c>
    </row>
    <row r="26" spans="1:2">
      <c r="A26" s="3">
        <v>42369</v>
      </c>
      <c r="B26">
        <v>3026180000000</v>
      </c>
    </row>
    <row r="27" spans="1:2">
      <c r="A27" s="3">
        <v>42735</v>
      </c>
      <c r="B27">
        <v>3134740000000</v>
      </c>
    </row>
    <row r="28" spans="1:2">
      <c r="A28" s="3">
        <v>43100</v>
      </c>
      <c r="B28">
        <v>3267160000000</v>
      </c>
    </row>
    <row r="29" spans="1:2">
      <c r="A29" s="3">
        <v>43465</v>
      </c>
      <c r="B29">
        <v>3365450000000</v>
      </c>
    </row>
    <row r="30" spans="1:2">
      <c r="A30" s="3">
        <v>43830</v>
      </c>
      <c r="B30">
        <v>3474110000000</v>
      </c>
    </row>
    <row r="31" spans="1:2">
      <c r="A31" s="3">
        <v>44196</v>
      </c>
      <c r="B31">
        <v>3403730000000</v>
      </c>
    </row>
    <row r="32" spans="1:2">
      <c r="A32" s="3">
        <v>44561</v>
      </c>
      <c r="B32">
        <v>3617450000000</v>
      </c>
    </row>
    <row r="33" spans="1:2">
      <c r="A33" s="3">
        <v>44926</v>
      </c>
      <c r="B33">
        <v>3876810000000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D2A4-D640-F94B-9A06-28C17ABC92F4}">
  <dimension ref="A1:B616"/>
  <sheetViews>
    <sheetView workbookViewId="0">
      <selection activeCell="B287" sqref="B287"/>
    </sheetView>
  </sheetViews>
  <sheetFormatPr baseColWidth="10" defaultRowHeight="16"/>
  <sheetData>
    <row r="1" spans="1:2">
      <c r="A1" t="s">
        <v>9</v>
      </c>
    </row>
    <row r="2" spans="1:2">
      <c r="A2" t="s">
        <v>1</v>
      </c>
      <c r="B2" t="s">
        <v>8</v>
      </c>
    </row>
    <row r="3" spans="1:2">
      <c r="A3" s="2">
        <v>45197</v>
      </c>
      <c r="B3" s="1">
        <v>3.65</v>
      </c>
    </row>
    <row r="4" spans="1:2">
      <c r="A4" s="2">
        <v>45166</v>
      </c>
      <c r="B4" s="1">
        <v>3.43</v>
      </c>
    </row>
    <row r="5" spans="1:2">
      <c r="A5" s="2">
        <v>45135</v>
      </c>
      <c r="B5" s="1">
        <v>3.45</v>
      </c>
    </row>
    <row r="6" spans="1:2">
      <c r="A6" s="2">
        <v>45105</v>
      </c>
      <c r="B6" s="1">
        <v>3.48</v>
      </c>
    </row>
    <row r="7" spans="1:2">
      <c r="A7" s="2">
        <v>45074</v>
      </c>
      <c r="B7" s="1">
        <v>3.13</v>
      </c>
    </row>
    <row r="8" spans="1:2">
      <c r="A8" s="2">
        <v>45044</v>
      </c>
      <c r="B8" s="1">
        <v>2.9</v>
      </c>
    </row>
    <row r="9" spans="1:2">
      <c r="A9" s="2">
        <v>45013</v>
      </c>
      <c r="B9" s="1">
        <v>2.92</v>
      </c>
    </row>
    <row r="10" spans="1:2">
      <c r="A10" s="2">
        <v>44985</v>
      </c>
      <c r="B10" s="1">
        <v>2.97</v>
      </c>
    </row>
    <row r="11" spans="1:2">
      <c r="A11" s="2">
        <v>44954</v>
      </c>
      <c r="B11" s="1">
        <v>2.4700000000000002</v>
      </c>
    </row>
    <row r="12" spans="1:2">
      <c r="A12" s="2">
        <v>44923</v>
      </c>
      <c r="B12" s="1">
        <v>1.96</v>
      </c>
    </row>
    <row r="13" spans="1:2">
      <c r="A13" s="2">
        <v>44893</v>
      </c>
      <c r="B13" s="1">
        <v>1.69</v>
      </c>
    </row>
    <row r="14" spans="1:2">
      <c r="A14" s="2">
        <v>44862</v>
      </c>
      <c r="B14" s="1">
        <v>1.57</v>
      </c>
    </row>
    <row r="15" spans="1:2">
      <c r="A15" s="2">
        <v>44832</v>
      </c>
      <c r="B15" s="1">
        <v>1.19</v>
      </c>
    </row>
    <row r="16" spans="1:2">
      <c r="A16" s="2">
        <v>44801</v>
      </c>
      <c r="B16" s="1">
        <v>0.2</v>
      </c>
    </row>
    <row r="17" spans="1:2">
      <c r="A17" s="2">
        <v>44770</v>
      </c>
      <c r="B17" s="1">
        <v>0.11</v>
      </c>
    </row>
    <row r="18" spans="1:2">
      <c r="A18" s="2">
        <v>44740</v>
      </c>
      <c r="B18" s="1">
        <v>-0.09</v>
      </c>
    </row>
    <row r="19" spans="1:2">
      <c r="A19" s="2">
        <v>44709</v>
      </c>
      <c r="B19" s="1">
        <v>-0.35</v>
      </c>
    </row>
    <row r="20" spans="1:2">
      <c r="A20" s="2">
        <v>44679</v>
      </c>
      <c r="B20" s="1">
        <v>-0.5</v>
      </c>
    </row>
    <row r="21" spans="1:2">
      <c r="A21" s="2">
        <v>44648</v>
      </c>
      <c r="B21" s="1">
        <v>-0.64</v>
      </c>
    </row>
    <row r="22" spans="1:2">
      <c r="A22" s="2">
        <v>44620</v>
      </c>
      <c r="B22" s="1">
        <v>-0.71</v>
      </c>
    </row>
    <row r="23" spans="1:2">
      <c r="A23" s="2">
        <v>44589</v>
      </c>
      <c r="B23" s="1">
        <v>-0.68</v>
      </c>
    </row>
    <row r="24" spans="1:2">
      <c r="A24" s="2">
        <v>44558</v>
      </c>
      <c r="B24" s="1">
        <v>-0.75</v>
      </c>
    </row>
    <row r="25" spans="1:2">
      <c r="A25" s="2">
        <v>44528</v>
      </c>
      <c r="B25" s="1">
        <v>-0.85</v>
      </c>
    </row>
    <row r="26" spans="1:2">
      <c r="A26" s="2">
        <v>44497</v>
      </c>
      <c r="B26" s="1">
        <v>-0.7</v>
      </c>
    </row>
    <row r="27" spans="1:2">
      <c r="A27" s="2">
        <v>44467</v>
      </c>
      <c r="B27" s="1">
        <v>-0.7</v>
      </c>
    </row>
    <row r="28" spans="1:2">
      <c r="A28" s="2">
        <v>44436</v>
      </c>
      <c r="B28" s="1">
        <v>-0.7</v>
      </c>
    </row>
    <row r="29" spans="1:2">
      <c r="A29" s="2">
        <v>44405</v>
      </c>
      <c r="B29" s="1">
        <v>-0.71</v>
      </c>
    </row>
    <row r="30" spans="1:2">
      <c r="A30" s="2">
        <v>44375</v>
      </c>
      <c r="B30" s="1">
        <v>-0.67</v>
      </c>
    </row>
    <row r="31" spans="1:2">
      <c r="A31" s="2">
        <v>44344</v>
      </c>
      <c r="B31" s="1">
        <v>-0.65</v>
      </c>
    </row>
    <row r="32" spans="1:2">
      <c r="A32" s="2">
        <v>44314</v>
      </c>
      <c r="B32" s="1">
        <v>-0.66</v>
      </c>
    </row>
    <row r="33" spans="1:2">
      <c r="A33" s="2">
        <v>44283</v>
      </c>
      <c r="B33" s="1">
        <v>-0.66</v>
      </c>
    </row>
    <row r="34" spans="1:2">
      <c r="A34" s="2">
        <v>44255</v>
      </c>
      <c r="B34" s="1">
        <v>-0.62</v>
      </c>
    </row>
    <row r="35" spans="1:2">
      <c r="A35" s="2">
        <v>44224</v>
      </c>
      <c r="B35" s="1">
        <v>-0.63</v>
      </c>
    </row>
    <row r="36" spans="1:2">
      <c r="A36" s="2">
        <v>44193</v>
      </c>
      <c r="B36" s="1">
        <v>-0.75</v>
      </c>
    </row>
    <row r="37" spans="1:2">
      <c r="A37" s="2">
        <v>44163</v>
      </c>
      <c r="B37" s="1">
        <v>-0.69</v>
      </c>
    </row>
    <row r="38" spans="1:2">
      <c r="A38" s="2">
        <v>44132</v>
      </c>
      <c r="B38" s="1">
        <v>-0.74</v>
      </c>
    </row>
    <row r="39" spans="1:2">
      <c r="A39" s="2">
        <v>44102</v>
      </c>
      <c r="B39" s="1">
        <v>-0.67</v>
      </c>
    </row>
    <row r="40" spans="1:2">
      <c r="A40" s="2">
        <v>44071</v>
      </c>
      <c r="B40" s="1">
        <v>-0.65</v>
      </c>
    </row>
    <row r="41" spans="1:2">
      <c r="A41" s="2">
        <v>44040</v>
      </c>
      <c r="B41" s="1">
        <v>-0.7</v>
      </c>
    </row>
    <row r="42" spans="1:2">
      <c r="A42" s="2">
        <v>44010</v>
      </c>
      <c r="B42" s="1">
        <v>-0.68</v>
      </c>
    </row>
    <row r="43" spans="1:2">
      <c r="A43" s="2">
        <v>43979</v>
      </c>
      <c r="B43" s="1">
        <v>-0.57999999999999996</v>
      </c>
    </row>
    <row r="44" spans="1:2">
      <c r="A44" s="2">
        <v>43949</v>
      </c>
      <c r="B44" s="1">
        <v>-0.57999999999999996</v>
      </c>
    </row>
    <row r="45" spans="1:2">
      <c r="A45" s="2">
        <v>43918</v>
      </c>
      <c r="B45" s="1">
        <v>-0.71</v>
      </c>
    </row>
    <row r="46" spans="1:2">
      <c r="A46" s="2">
        <v>43889</v>
      </c>
      <c r="B46" s="1">
        <v>-0.7</v>
      </c>
    </row>
    <row r="47" spans="1:2">
      <c r="A47" s="2">
        <v>43858</v>
      </c>
      <c r="B47" s="1">
        <v>-0.61</v>
      </c>
    </row>
    <row r="48" spans="1:2">
      <c r="A48" s="2">
        <v>43827</v>
      </c>
      <c r="B48" s="1">
        <v>-0.72</v>
      </c>
    </row>
    <row r="49" spans="1:2">
      <c r="A49" s="2">
        <v>43797</v>
      </c>
      <c r="B49" s="1">
        <v>-0.62</v>
      </c>
    </row>
    <row r="50" spans="1:2">
      <c r="A50" s="2">
        <v>43766</v>
      </c>
      <c r="B50" s="1">
        <v>-0.64</v>
      </c>
    </row>
    <row r="51" spans="1:2">
      <c r="A51" s="2">
        <v>43736</v>
      </c>
      <c r="B51" s="1">
        <v>-0.69</v>
      </c>
    </row>
    <row r="52" spans="1:2">
      <c r="A52" s="2">
        <v>43705</v>
      </c>
      <c r="B52" s="1">
        <v>-0.79</v>
      </c>
    </row>
    <row r="53" spans="1:2">
      <c r="A53" s="2">
        <v>43674</v>
      </c>
      <c r="B53" s="1">
        <v>-0.7</v>
      </c>
    </row>
    <row r="54" spans="1:2">
      <c r="A54" s="2">
        <v>43644</v>
      </c>
      <c r="B54" s="1">
        <v>-0.66</v>
      </c>
    </row>
    <row r="55" spans="1:2">
      <c r="A55" s="2">
        <v>43613</v>
      </c>
      <c r="B55" s="1">
        <v>-0.6</v>
      </c>
    </row>
    <row r="56" spans="1:2">
      <c r="A56" s="2">
        <v>43583</v>
      </c>
      <c r="B56" s="1">
        <v>-0.56000000000000005</v>
      </c>
    </row>
    <row r="57" spans="1:2">
      <c r="A57" s="2">
        <v>43552</v>
      </c>
      <c r="B57" s="1">
        <v>-0.57999999999999996</v>
      </c>
    </row>
    <row r="58" spans="1:2">
      <c r="A58" s="2">
        <v>43524</v>
      </c>
      <c r="B58" s="1">
        <v>-0.56999999999999995</v>
      </c>
    </row>
    <row r="59" spans="1:2">
      <c r="A59" s="2">
        <v>43493</v>
      </c>
      <c r="B59" s="1">
        <v>-0.56999999999999995</v>
      </c>
    </row>
    <row r="60" spans="1:2">
      <c r="A60" s="2">
        <v>43462</v>
      </c>
      <c r="B60" s="1">
        <v>-0.75</v>
      </c>
    </row>
    <row r="61" spans="1:2">
      <c r="A61" s="2">
        <v>43432</v>
      </c>
      <c r="B61" s="1">
        <v>-0.69</v>
      </c>
    </row>
    <row r="62" spans="1:2">
      <c r="A62" s="2">
        <v>43401</v>
      </c>
      <c r="B62" s="1">
        <v>-0.74</v>
      </c>
    </row>
    <row r="63" spans="1:2">
      <c r="A63" s="2">
        <v>43371</v>
      </c>
      <c r="B63" s="1">
        <v>-0.64</v>
      </c>
    </row>
    <row r="64" spans="1:2">
      <c r="A64" s="2">
        <v>43340</v>
      </c>
      <c r="B64" s="1">
        <v>-0.66</v>
      </c>
    </row>
    <row r="65" spans="1:2">
      <c r="A65" s="2">
        <v>43309</v>
      </c>
      <c r="B65" s="1">
        <v>-0.68</v>
      </c>
    </row>
    <row r="66" spans="1:2">
      <c r="A66" s="2">
        <v>43279</v>
      </c>
      <c r="B66" s="1">
        <v>-0.66</v>
      </c>
    </row>
    <row r="67" spans="1:2">
      <c r="A67" s="2">
        <v>43248</v>
      </c>
      <c r="B67" s="1">
        <v>-0.65</v>
      </c>
    </row>
    <row r="68" spans="1:2">
      <c r="A68" s="2">
        <v>43218</v>
      </c>
      <c r="B68" s="1">
        <v>-0.67</v>
      </c>
    </row>
    <row r="69" spans="1:2">
      <c r="A69" s="2">
        <v>43187</v>
      </c>
      <c r="B69" s="1">
        <v>-0.69</v>
      </c>
    </row>
    <row r="70" spans="1:2">
      <c r="A70" s="2">
        <v>43159</v>
      </c>
      <c r="B70" s="1">
        <v>-0.65</v>
      </c>
    </row>
    <row r="71" spans="1:2">
      <c r="A71" s="2">
        <v>43128</v>
      </c>
      <c r="B71" s="1">
        <v>-0.65</v>
      </c>
    </row>
    <row r="72" spans="1:2">
      <c r="A72" s="2">
        <v>43097</v>
      </c>
      <c r="B72" s="1">
        <v>-0.78</v>
      </c>
    </row>
    <row r="73" spans="1:2">
      <c r="A73" s="2">
        <v>43067</v>
      </c>
      <c r="B73" s="1">
        <v>-0.77</v>
      </c>
    </row>
    <row r="74" spans="1:2">
      <c r="A74" s="2">
        <v>43036</v>
      </c>
      <c r="B74" s="1">
        <v>-0.79</v>
      </c>
    </row>
    <row r="75" spans="1:2">
      <c r="A75" s="2">
        <v>43006</v>
      </c>
      <c r="B75" s="1">
        <v>-0.76</v>
      </c>
    </row>
    <row r="76" spans="1:2">
      <c r="A76" s="2">
        <v>42975</v>
      </c>
      <c r="B76" s="1">
        <v>-0.77</v>
      </c>
    </row>
    <row r="77" spans="1:2">
      <c r="A77" s="2">
        <v>42944</v>
      </c>
      <c r="B77" s="1">
        <v>-0.7</v>
      </c>
    </row>
    <row r="78" spans="1:2">
      <c r="A78" s="2">
        <v>42914</v>
      </c>
      <c r="B78" s="1">
        <v>-0.71</v>
      </c>
    </row>
    <row r="79" spans="1:2">
      <c r="A79" s="2">
        <v>42883</v>
      </c>
      <c r="B79" s="1">
        <v>-0.76</v>
      </c>
    </row>
    <row r="80" spans="1:2">
      <c r="A80" s="2">
        <v>42853</v>
      </c>
      <c r="B80" s="1">
        <v>-0.76</v>
      </c>
    </row>
    <row r="81" spans="1:2">
      <c r="A81" s="2">
        <v>42822</v>
      </c>
      <c r="B81" s="1">
        <v>-0.76</v>
      </c>
    </row>
    <row r="82" spans="1:2">
      <c r="A82" s="2">
        <v>42794</v>
      </c>
      <c r="B82" s="1">
        <v>-0.92</v>
      </c>
    </row>
    <row r="83" spans="1:2">
      <c r="A83" s="2">
        <v>42763</v>
      </c>
      <c r="B83" s="1">
        <v>-0.68</v>
      </c>
    </row>
    <row r="84" spans="1:2">
      <c r="A84" s="2">
        <v>42732</v>
      </c>
      <c r="B84" s="1">
        <v>-0.92</v>
      </c>
    </row>
    <row r="85" spans="1:2">
      <c r="A85" s="2">
        <v>42702</v>
      </c>
      <c r="B85" s="1">
        <v>-0.84</v>
      </c>
    </row>
    <row r="86" spans="1:2">
      <c r="A86" s="2">
        <v>42671</v>
      </c>
      <c r="B86" s="1">
        <v>-0.72</v>
      </c>
    </row>
    <row r="87" spans="1:2">
      <c r="A87" s="2">
        <v>42641</v>
      </c>
      <c r="B87" s="1">
        <v>-0.71</v>
      </c>
    </row>
    <row r="88" spans="1:2">
      <c r="A88" s="2">
        <v>42610</v>
      </c>
      <c r="B88" s="1">
        <v>-0.63</v>
      </c>
    </row>
    <row r="89" spans="1:2">
      <c r="A89" s="2">
        <v>42579</v>
      </c>
      <c r="B89" s="1">
        <v>-0.63</v>
      </c>
    </row>
    <row r="90" spans="1:2">
      <c r="A90" s="2">
        <v>42549</v>
      </c>
      <c r="B90" s="1">
        <v>-0.65</v>
      </c>
    </row>
    <row r="91" spans="1:2">
      <c r="A91" s="2">
        <v>42518</v>
      </c>
      <c r="B91" s="1">
        <v>-0.55000000000000004</v>
      </c>
    </row>
    <row r="92" spans="1:2">
      <c r="A92" s="2">
        <v>42488</v>
      </c>
      <c r="B92" s="1">
        <v>-0.53</v>
      </c>
    </row>
    <row r="93" spans="1:2">
      <c r="A93" s="2">
        <v>42457</v>
      </c>
      <c r="B93" s="1">
        <v>-0.48</v>
      </c>
    </row>
    <row r="94" spans="1:2">
      <c r="A94" s="2">
        <v>42428</v>
      </c>
      <c r="B94" s="1">
        <v>-0.48</v>
      </c>
    </row>
    <row r="95" spans="1:2">
      <c r="A95" s="2">
        <v>42397</v>
      </c>
      <c r="B95" s="1">
        <v>-0.43</v>
      </c>
    </row>
    <row r="96" spans="1:2">
      <c r="A96" s="2">
        <v>42366</v>
      </c>
      <c r="B96" s="1">
        <v>-0.4</v>
      </c>
    </row>
    <row r="97" spans="1:2">
      <c r="A97" s="2">
        <v>42336</v>
      </c>
      <c r="B97" s="1">
        <v>-0.37</v>
      </c>
    </row>
    <row r="98" spans="1:2">
      <c r="A98" s="2">
        <v>42305</v>
      </c>
      <c r="B98" s="1">
        <v>-0.32</v>
      </c>
    </row>
    <row r="99" spans="1:2">
      <c r="A99" s="2">
        <v>42275</v>
      </c>
      <c r="B99" s="1">
        <v>-0.25</v>
      </c>
    </row>
    <row r="100" spans="1:2">
      <c r="A100" s="2">
        <v>42244</v>
      </c>
      <c r="B100" s="1">
        <v>-0.24</v>
      </c>
    </row>
    <row r="101" spans="1:2">
      <c r="A101" s="2">
        <v>42213</v>
      </c>
      <c r="B101" s="1">
        <v>-0.25</v>
      </c>
    </row>
    <row r="102" spans="1:2">
      <c r="A102" s="2">
        <v>42183</v>
      </c>
      <c r="B102" s="1">
        <v>-0.26</v>
      </c>
    </row>
    <row r="103" spans="1:2">
      <c r="A103" s="2">
        <v>42152</v>
      </c>
      <c r="B103" s="1">
        <v>-0.24</v>
      </c>
    </row>
    <row r="104" spans="1:2">
      <c r="A104" s="2">
        <v>42122</v>
      </c>
      <c r="B104" s="1">
        <v>-0.26</v>
      </c>
    </row>
    <row r="105" spans="1:2">
      <c r="A105" s="2">
        <v>42091</v>
      </c>
      <c r="B105" s="1">
        <v>-0.25</v>
      </c>
    </row>
    <row r="106" spans="1:2">
      <c r="A106" s="2">
        <v>42063</v>
      </c>
      <c r="B106" s="1">
        <v>-0.18</v>
      </c>
    </row>
    <row r="107" spans="1:2">
      <c r="A107" s="2">
        <v>42032</v>
      </c>
      <c r="B107" s="1">
        <v>-0.16</v>
      </c>
    </row>
    <row r="108" spans="1:2">
      <c r="A108" s="2">
        <v>42001</v>
      </c>
      <c r="B108" s="1">
        <v>-0.14000000000000001</v>
      </c>
    </row>
    <row r="109" spans="1:2">
      <c r="A109" s="2">
        <v>41971</v>
      </c>
      <c r="B109" s="1">
        <v>-0.05</v>
      </c>
    </row>
    <row r="110" spans="1:2">
      <c r="A110" s="2">
        <v>41940</v>
      </c>
      <c r="B110" s="1">
        <v>-7.0000000000000007E-2</v>
      </c>
    </row>
    <row r="111" spans="1:2">
      <c r="A111" s="2">
        <v>41910</v>
      </c>
      <c r="B111" s="1">
        <v>-0.04</v>
      </c>
    </row>
    <row r="112" spans="1:2">
      <c r="A112" s="2">
        <v>41879</v>
      </c>
      <c r="B112" s="1">
        <v>0.01</v>
      </c>
    </row>
    <row r="113" spans="1:2">
      <c r="A113" s="2">
        <v>41848</v>
      </c>
      <c r="B113" s="1">
        <v>0.04</v>
      </c>
    </row>
    <row r="114" spans="1:2">
      <c r="A114" s="2">
        <v>41818</v>
      </c>
      <c r="B114" s="1">
        <v>0.04</v>
      </c>
    </row>
    <row r="115" spans="1:2">
      <c r="A115" s="2">
        <v>41787</v>
      </c>
      <c r="B115" s="1">
        <v>0.09</v>
      </c>
    </row>
    <row r="116" spans="1:2">
      <c r="A116" s="2">
        <v>41757</v>
      </c>
      <c r="B116" s="1">
        <v>0.17</v>
      </c>
    </row>
    <row r="117" spans="1:2">
      <c r="A117" s="2">
        <v>41726</v>
      </c>
      <c r="B117" s="1">
        <v>0.17</v>
      </c>
    </row>
    <row r="118" spans="1:2">
      <c r="A118" s="2">
        <v>41698</v>
      </c>
      <c r="B118" s="1">
        <v>0.11</v>
      </c>
    </row>
    <row r="119" spans="1:2">
      <c r="A119" s="2">
        <v>41667</v>
      </c>
      <c r="B119" s="1">
        <v>0.1</v>
      </c>
    </row>
    <row r="120" spans="1:2">
      <c r="A120" s="2">
        <v>41636</v>
      </c>
      <c r="B120" s="1">
        <v>0.11</v>
      </c>
    </row>
    <row r="121" spans="1:2">
      <c r="A121" s="2">
        <v>41606</v>
      </c>
      <c r="B121" s="1">
        <v>0.09</v>
      </c>
    </row>
    <row r="122" spans="1:2">
      <c r="A122" s="2">
        <v>41575</v>
      </c>
      <c r="B122" s="1">
        <v>0.09</v>
      </c>
    </row>
    <row r="123" spans="1:2">
      <c r="A123" s="2">
        <v>41545</v>
      </c>
      <c r="B123" s="1">
        <v>0.09</v>
      </c>
    </row>
    <row r="124" spans="1:2">
      <c r="A124" s="2">
        <v>41514</v>
      </c>
      <c r="B124" s="1">
        <v>0.05</v>
      </c>
    </row>
    <row r="125" spans="1:2">
      <c r="A125" s="2">
        <v>41483</v>
      </c>
      <c r="B125" s="1">
        <v>0.05</v>
      </c>
    </row>
    <row r="126" spans="1:2">
      <c r="A126" s="2">
        <v>41453</v>
      </c>
      <c r="B126" s="1">
        <v>0.04</v>
      </c>
    </row>
    <row r="127" spans="1:2">
      <c r="A127" s="2">
        <v>41422</v>
      </c>
      <c r="B127" s="1">
        <v>0.02</v>
      </c>
    </row>
    <row r="128" spans="1:2">
      <c r="A128" s="2">
        <v>41392</v>
      </c>
      <c r="B128" s="1">
        <v>0.03</v>
      </c>
    </row>
    <row r="129" spans="1:2">
      <c r="A129" s="2">
        <v>41361</v>
      </c>
      <c r="B129" s="1">
        <v>0.03</v>
      </c>
    </row>
    <row r="130" spans="1:2">
      <c r="A130" s="2">
        <v>41333</v>
      </c>
      <c r="B130" s="1">
        <v>0.03</v>
      </c>
    </row>
    <row r="131" spans="1:2">
      <c r="A131" s="2">
        <v>41302</v>
      </c>
      <c r="B131" s="1">
        <v>0.11</v>
      </c>
    </row>
    <row r="132" spans="1:2">
      <c r="A132" s="2">
        <v>41271</v>
      </c>
      <c r="B132" s="1">
        <v>0.02</v>
      </c>
    </row>
    <row r="133" spans="1:2">
      <c r="A133" s="2">
        <v>41241</v>
      </c>
      <c r="B133" s="1">
        <v>0.01</v>
      </c>
    </row>
    <row r="134" spans="1:2">
      <c r="A134" s="2">
        <v>41210</v>
      </c>
      <c r="B134" s="1">
        <v>0.03</v>
      </c>
    </row>
    <row r="135" spans="1:2">
      <c r="A135" s="2">
        <v>41180</v>
      </c>
      <c r="B135" s="1">
        <v>-0.03</v>
      </c>
    </row>
    <row r="136" spans="1:2">
      <c r="A136" s="2">
        <v>41149</v>
      </c>
      <c r="B136" s="1">
        <v>-0.01</v>
      </c>
    </row>
    <row r="137" spans="1:2">
      <c r="A137" s="2">
        <v>41118</v>
      </c>
      <c r="B137" s="1">
        <v>-0.06</v>
      </c>
    </row>
    <row r="138" spans="1:2">
      <c r="A138" s="2">
        <v>41088</v>
      </c>
      <c r="B138" s="1">
        <v>0.03</v>
      </c>
    </row>
    <row r="139" spans="1:2">
      <c r="A139" s="2">
        <v>41057</v>
      </c>
      <c r="B139" s="1">
        <v>0.04</v>
      </c>
    </row>
    <row r="140" spans="1:2">
      <c r="A140" s="2">
        <v>41027</v>
      </c>
      <c r="B140" s="1">
        <v>0.06</v>
      </c>
    </row>
    <row r="141" spans="1:2">
      <c r="A141" s="2">
        <v>40996</v>
      </c>
      <c r="B141" s="1">
        <v>0.11</v>
      </c>
    </row>
    <row r="142" spans="1:2">
      <c r="A142" s="2">
        <v>40967</v>
      </c>
      <c r="B142" s="1">
        <v>0.14000000000000001</v>
      </c>
    </row>
    <row r="143" spans="1:2">
      <c r="A143" s="2">
        <v>40936</v>
      </c>
      <c r="B143" s="1">
        <v>0.09</v>
      </c>
    </row>
    <row r="144" spans="1:2">
      <c r="A144" s="2">
        <v>40905</v>
      </c>
      <c r="B144" s="1">
        <v>-0.06</v>
      </c>
    </row>
    <row r="145" spans="1:2">
      <c r="A145" s="2">
        <v>40875</v>
      </c>
      <c r="B145" s="1">
        <v>-0.04</v>
      </c>
    </row>
    <row r="146" spans="1:2">
      <c r="A146" s="2">
        <v>40844</v>
      </c>
      <c r="B146" s="1">
        <v>0.36</v>
      </c>
    </row>
    <row r="147" spans="1:2">
      <c r="A147" s="2">
        <v>40814</v>
      </c>
      <c r="B147" s="1">
        <v>0.28000000000000003</v>
      </c>
    </row>
    <row r="148" spans="1:2">
      <c r="A148" s="2">
        <v>40783</v>
      </c>
      <c r="B148" s="1">
        <v>0.56999999999999995</v>
      </c>
    </row>
    <row r="149" spans="1:2">
      <c r="A149" s="2">
        <v>40752</v>
      </c>
      <c r="B149" s="1">
        <v>1.04</v>
      </c>
    </row>
    <row r="150" spans="1:2">
      <c r="A150" s="2">
        <v>40722</v>
      </c>
      <c r="B150" s="1">
        <v>1.28</v>
      </c>
    </row>
    <row r="151" spans="1:2">
      <c r="A151" s="2">
        <v>40691</v>
      </c>
      <c r="B151" s="1">
        <v>1.19</v>
      </c>
    </row>
    <row r="152" spans="1:2">
      <c r="A152" s="2">
        <v>40661</v>
      </c>
      <c r="B152" s="1">
        <v>1.18</v>
      </c>
    </row>
    <row r="153" spans="1:2">
      <c r="A153" s="2">
        <v>40630</v>
      </c>
      <c r="B153" s="1">
        <v>0.95</v>
      </c>
    </row>
    <row r="154" spans="1:2">
      <c r="A154" s="2">
        <v>40602</v>
      </c>
      <c r="B154" s="1">
        <v>0.89</v>
      </c>
    </row>
    <row r="155" spans="1:2">
      <c r="A155" s="2">
        <v>40571</v>
      </c>
      <c r="B155" s="1">
        <v>0.83</v>
      </c>
    </row>
    <row r="156" spans="1:2">
      <c r="A156" s="2">
        <v>40540</v>
      </c>
      <c r="B156" s="1">
        <v>0.45</v>
      </c>
    </row>
    <row r="157" spans="1:2">
      <c r="A157" s="2">
        <v>40510</v>
      </c>
      <c r="B157" s="1">
        <v>0.63</v>
      </c>
    </row>
    <row r="158" spans="1:2">
      <c r="A158" s="2">
        <v>40479</v>
      </c>
      <c r="B158" s="1">
        <v>0.83</v>
      </c>
    </row>
    <row r="159" spans="1:2">
      <c r="A159" s="2">
        <v>40449</v>
      </c>
      <c r="B159" s="1">
        <v>0.54</v>
      </c>
    </row>
    <row r="160" spans="1:2">
      <c r="A160" s="2">
        <v>40418</v>
      </c>
      <c r="B160" s="1">
        <v>0.39</v>
      </c>
    </row>
    <row r="161" spans="1:2">
      <c r="A161" s="2">
        <v>40387</v>
      </c>
      <c r="B161" s="1">
        <v>0.45</v>
      </c>
    </row>
    <row r="162" spans="1:2">
      <c r="A162" s="2">
        <v>40357</v>
      </c>
      <c r="B162" s="1">
        <v>0.25</v>
      </c>
    </row>
    <row r="163" spans="1:2">
      <c r="A163" s="2">
        <v>40326</v>
      </c>
      <c r="B163" s="1">
        <v>0.19</v>
      </c>
    </row>
    <row r="164" spans="1:2">
      <c r="A164" s="2">
        <v>40296</v>
      </c>
      <c r="B164" s="1">
        <v>0.38</v>
      </c>
    </row>
    <row r="165" spans="1:2">
      <c r="A165" s="2">
        <v>40265</v>
      </c>
      <c r="B165" s="1">
        <v>0.38</v>
      </c>
    </row>
    <row r="166" spans="1:2">
      <c r="A166" s="2">
        <v>40237</v>
      </c>
      <c r="B166" s="1">
        <v>0.36</v>
      </c>
    </row>
    <row r="167" spans="1:2">
      <c r="A167" s="2">
        <v>40206</v>
      </c>
      <c r="B167" s="1">
        <v>0.41</v>
      </c>
    </row>
    <row r="168" spans="1:2">
      <c r="A168" s="2">
        <v>40175</v>
      </c>
      <c r="B168" s="1">
        <v>0.44</v>
      </c>
    </row>
    <row r="169" spans="1:2">
      <c r="A169" s="2">
        <v>40145</v>
      </c>
      <c r="B169" s="1">
        <v>0.52</v>
      </c>
    </row>
    <row r="170" spans="1:2">
      <c r="A170" s="2">
        <v>40114</v>
      </c>
      <c r="B170" s="1">
        <v>0.5</v>
      </c>
    </row>
    <row r="171" spans="1:2">
      <c r="A171" s="2">
        <v>40084</v>
      </c>
      <c r="B171" s="1">
        <v>0.42</v>
      </c>
    </row>
    <row r="172" spans="1:2">
      <c r="A172" s="2">
        <v>40053</v>
      </c>
      <c r="B172" s="1">
        <v>0.44</v>
      </c>
    </row>
    <row r="173" spans="1:2">
      <c r="A173" s="2">
        <v>40022</v>
      </c>
      <c r="B173" s="1">
        <v>0.43</v>
      </c>
    </row>
    <row r="174" spans="1:2">
      <c r="A174" s="2">
        <v>39992</v>
      </c>
      <c r="B174" s="1">
        <v>0.59</v>
      </c>
    </row>
    <row r="175" spans="1:2">
      <c r="A175" s="2">
        <v>39961</v>
      </c>
      <c r="B175" s="1">
        <v>0.8</v>
      </c>
    </row>
    <row r="176" spans="1:2">
      <c r="A176" s="2">
        <v>39931</v>
      </c>
      <c r="B176" s="1">
        <v>0.76</v>
      </c>
    </row>
    <row r="177" spans="1:2">
      <c r="A177" s="2">
        <v>39900</v>
      </c>
      <c r="B177" s="1">
        <v>0.73</v>
      </c>
    </row>
    <row r="178" spans="1:2">
      <c r="A178" s="2">
        <v>39872</v>
      </c>
      <c r="B178" s="1">
        <v>0.9</v>
      </c>
    </row>
    <row r="179" spans="1:2">
      <c r="A179" s="2">
        <v>39841</v>
      </c>
      <c r="B179" s="1">
        <v>1.03</v>
      </c>
    </row>
    <row r="180" spans="1:2">
      <c r="A180" s="2">
        <v>39810</v>
      </c>
      <c r="B180" s="1">
        <v>1.5</v>
      </c>
    </row>
    <row r="181" spans="1:2">
      <c r="A181" s="2">
        <v>39780</v>
      </c>
      <c r="B181" s="1">
        <v>1.92</v>
      </c>
    </row>
    <row r="182" spans="1:2">
      <c r="A182" s="2">
        <v>39749</v>
      </c>
      <c r="B182" s="1">
        <v>2.34</v>
      </c>
    </row>
    <row r="183" spans="1:2">
      <c r="A183" s="2">
        <v>39719</v>
      </c>
      <c r="B183" s="1">
        <v>2.44</v>
      </c>
    </row>
    <row r="184" spans="1:2">
      <c r="A184" s="2">
        <v>39688</v>
      </c>
      <c r="B184" s="1">
        <v>4.38</v>
      </c>
    </row>
    <row r="185" spans="1:2">
      <c r="A185" s="2">
        <v>39657</v>
      </c>
      <c r="B185" s="1">
        <v>4.49</v>
      </c>
    </row>
    <row r="186" spans="1:2">
      <c r="A186" s="2">
        <v>39627</v>
      </c>
      <c r="B186" s="1">
        <v>4.42</v>
      </c>
    </row>
    <row r="187" spans="1:2">
      <c r="A187" s="2">
        <v>39596</v>
      </c>
      <c r="B187" s="1">
        <v>4.2</v>
      </c>
    </row>
    <row r="188" spans="1:2">
      <c r="A188" s="2">
        <v>39566</v>
      </c>
      <c r="B188" s="1">
        <v>4.01</v>
      </c>
    </row>
    <row r="189" spans="1:2">
      <c r="A189" s="2">
        <v>39535</v>
      </c>
      <c r="B189" s="1">
        <v>3.88</v>
      </c>
    </row>
    <row r="190" spans="1:2">
      <c r="A190" s="2">
        <v>39506</v>
      </c>
      <c r="B190" s="1">
        <v>3.8</v>
      </c>
    </row>
    <row r="191" spans="1:2">
      <c r="A191" s="2">
        <v>39475</v>
      </c>
      <c r="B191" s="1">
        <v>3.85</v>
      </c>
    </row>
    <row r="192" spans="1:2">
      <c r="A192" s="2">
        <v>39444</v>
      </c>
      <c r="B192" s="1">
        <v>4.07</v>
      </c>
    </row>
    <row r="193" spans="1:2">
      <c r="A193" s="2">
        <v>39414</v>
      </c>
      <c r="B193" s="1">
        <v>4.0599999999999996</v>
      </c>
    </row>
    <row r="194" spans="1:2">
      <c r="A194" s="2">
        <v>39383</v>
      </c>
      <c r="B194" s="1">
        <v>4.12</v>
      </c>
    </row>
    <row r="195" spans="1:2">
      <c r="A195" s="2">
        <v>39353</v>
      </c>
      <c r="B195" s="1">
        <v>4.07</v>
      </c>
    </row>
    <row r="196" spans="1:2">
      <c r="A196" s="2">
        <v>39322</v>
      </c>
      <c r="B196" s="1">
        <v>4.12</v>
      </c>
    </row>
    <row r="197" spans="1:2">
      <c r="A197" s="2">
        <v>39291</v>
      </c>
      <c r="B197" s="1">
        <v>4.29</v>
      </c>
    </row>
    <row r="198" spans="1:2">
      <c r="A198" s="2">
        <v>39261</v>
      </c>
      <c r="B198" s="1">
        <v>4.26</v>
      </c>
    </row>
    <row r="199" spans="1:2">
      <c r="A199" s="2">
        <v>39230</v>
      </c>
      <c r="B199" s="1">
        <v>4.1900000000000004</v>
      </c>
    </row>
    <row r="200" spans="1:2">
      <c r="A200" s="2">
        <v>39200</v>
      </c>
      <c r="B200" s="1">
        <v>4.0599999999999996</v>
      </c>
    </row>
    <row r="201" spans="1:2">
      <c r="A201" s="2">
        <v>39169</v>
      </c>
      <c r="B201" s="1">
        <v>3.96</v>
      </c>
    </row>
    <row r="202" spans="1:2">
      <c r="A202" s="2">
        <v>39141</v>
      </c>
      <c r="B202" s="1">
        <v>3.89</v>
      </c>
    </row>
    <row r="203" spans="1:2">
      <c r="A203" s="2">
        <v>39110</v>
      </c>
      <c r="B203" s="1">
        <v>3.85</v>
      </c>
    </row>
    <row r="204" spans="1:2">
      <c r="A204" s="2">
        <v>39079</v>
      </c>
      <c r="B204" s="1">
        <v>3.75</v>
      </c>
    </row>
    <row r="205" spans="1:2">
      <c r="A205" s="2">
        <v>39049</v>
      </c>
      <c r="B205" s="1">
        <v>3.64</v>
      </c>
    </row>
    <row r="206" spans="1:2">
      <c r="A206" s="2">
        <v>39018</v>
      </c>
      <c r="B206" s="1">
        <v>3.6</v>
      </c>
    </row>
    <row r="207" spans="1:2">
      <c r="A207" s="2">
        <v>38988</v>
      </c>
      <c r="B207" s="1">
        <v>3.47</v>
      </c>
    </row>
    <row r="208" spans="1:2">
      <c r="A208" s="2">
        <v>38957</v>
      </c>
      <c r="B208" s="1">
        <v>3.33</v>
      </c>
    </row>
    <row r="209" spans="1:2">
      <c r="A209" s="2">
        <v>38926</v>
      </c>
      <c r="B209" s="1">
        <v>3.18</v>
      </c>
    </row>
    <row r="210" spans="1:2">
      <c r="A210" s="2">
        <v>38896</v>
      </c>
      <c r="B210" s="1">
        <v>3.09</v>
      </c>
    </row>
    <row r="211" spans="1:2">
      <c r="A211" s="2">
        <v>38865</v>
      </c>
      <c r="B211" s="1">
        <v>2.97</v>
      </c>
    </row>
    <row r="212" spans="1:2">
      <c r="A212" s="2">
        <v>38835</v>
      </c>
      <c r="B212" s="1">
        <v>2.92</v>
      </c>
    </row>
    <row r="213" spans="1:2">
      <c r="A213" s="2">
        <v>38804</v>
      </c>
      <c r="B213" s="1">
        <v>2.85</v>
      </c>
    </row>
    <row r="214" spans="1:2">
      <c r="A214" s="2">
        <v>38776</v>
      </c>
      <c r="B214" s="1">
        <v>2.68</v>
      </c>
    </row>
    <row r="215" spans="1:2">
      <c r="A215" s="2">
        <v>38745</v>
      </c>
      <c r="B215" s="1">
        <v>2.62</v>
      </c>
    </row>
    <row r="216" spans="1:2">
      <c r="A216" s="2">
        <v>38714</v>
      </c>
      <c r="B216" s="1">
        <v>2.5499999999999998</v>
      </c>
    </row>
    <row r="217" spans="1:2">
      <c r="A217" s="2">
        <v>38684</v>
      </c>
      <c r="B217" s="1">
        <v>2.5499999999999998</v>
      </c>
    </row>
    <row r="218" spans="1:2">
      <c r="A218" s="2">
        <v>38653</v>
      </c>
      <c r="B218" s="1">
        <v>2.29</v>
      </c>
    </row>
    <row r="219" spans="1:2">
      <c r="A219" s="2">
        <v>38623</v>
      </c>
      <c r="B219" s="1">
        <v>2.15</v>
      </c>
    </row>
    <row r="220" spans="1:2">
      <c r="A220" s="2">
        <v>38592</v>
      </c>
      <c r="B220" s="1">
        <v>2.1</v>
      </c>
    </row>
    <row r="221" spans="1:2">
      <c r="A221" s="2">
        <v>38561</v>
      </c>
      <c r="B221" s="1">
        <v>2.1</v>
      </c>
    </row>
    <row r="222" spans="1:2">
      <c r="A222" s="2">
        <v>38531</v>
      </c>
      <c r="B222" s="1">
        <v>2.0099999999999998</v>
      </c>
    </row>
    <row r="223" spans="1:2">
      <c r="A223" s="2">
        <v>38500</v>
      </c>
      <c r="B223" s="1">
        <v>2.0699999999999998</v>
      </c>
    </row>
    <row r="224" spans="1:2">
      <c r="A224" s="2">
        <v>38470</v>
      </c>
      <c r="B224" s="1">
        <v>2.0699999999999998</v>
      </c>
    </row>
    <row r="225" spans="1:2">
      <c r="A225" s="2">
        <v>38439</v>
      </c>
      <c r="B225" s="1">
        <v>2.15</v>
      </c>
    </row>
    <row r="226" spans="1:2">
      <c r="A226" s="2">
        <v>38411</v>
      </c>
      <c r="B226" s="1">
        <v>2.12</v>
      </c>
    </row>
    <row r="227" spans="1:2">
      <c r="A227" s="2">
        <v>38380</v>
      </c>
      <c r="B227" s="1">
        <v>2.12</v>
      </c>
    </row>
    <row r="228" spans="1:2">
      <c r="A228" s="2">
        <v>38349</v>
      </c>
      <c r="B228" s="1">
        <v>2.14</v>
      </c>
    </row>
    <row r="229" spans="1:2">
      <c r="A229" s="2">
        <v>38319</v>
      </c>
      <c r="B229" s="1">
        <v>2.16</v>
      </c>
    </row>
    <row r="230" spans="1:2">
      <c r="A230" s="2">
        <v>38288</v>
      </c>
      <c r="B230" s="1">
        <v>2.16</v>
      </c>
    </row>
    <row r="231" spans="1:2">
      <c r="A231" s="2">
        <v>38258</v>
      </c>
      <c r="B231" s="1">
        <v>2.15</v>
      </c>
    </row>
    <row r="232" spans="1:2">
      <c r="A232" s="2">
        <v>38227</v>
      </c>
      <c r="B232" s="1">
        <v>2.11</v>
      </c>
    </row>
    <row r="233" spans="1:2">
      <c r="A233" s="2">
        <v>38196</v>
      </c>
      <c r="B233" s="1">
        <v>2.12</v>
      </c>
    </row>
    <row r="234" spans="1:2">
      <c r="A234" s="2">
        <v>38166</v>
      </c>
      <c r="B234" s="1">
        <v>2.12</v>
      </c>
    </row>
    <row r="235" spans="1:2">
      <c r="A235" s="2">
        <v>38135</v>
      </c>
      <c r="B235" s="1">
        <v>2.1</v>
      </c>
    </row>
    <row r="236" spans="1:2">
      <c r="A236" s="2">
        <v>38105</v>
      </c>
      <c r="B236" s="1">
        <v>2.0099999999999998</v>
      </c>
    </row>
    <row r="237" spans="1:2">
      <c r="A237" s="2">
        <v>38074</v>
      </c>
      <c r="B237" s="1">
        <v>1.86</v>
      </c>
    </row>
    <row r="238" spans="1:2">
      <c r="A238" s="2">
        <v>38045</v>
      </c>
      <c r="B238" s="1">
        <v>1.93</v>
      </c>
    </row>
    <row r="239" spans="1:2">
      <c r="A239" s="2">
        <v>38014</v>
      </c>
      <c r="B239" s="1">
        <v>2.0299999999999998</v>
      </c>
    </row>
    <row r="240" spans="1:2">
      <c r="A240" s="2">
        <v>37983</v>
      </c>
      <c r="B240" s="1">
        <v>2.0499999999999998</v>
      </c>
    </row>
    <row r="241" spans="1:2">
      <c r="A241" s="2">
        <v>37953</v>
      </c>
      <c r="B241" s="1">
        <v>2.16</v>
      </c>
    </row>
    <row r="242" spans="1:2">
      <c r="A242" s="2">
        <v>37922</v>
      </c>
      <c r="B242" s="1">
        <v>2.13</v>
      </c>
    </row>
    <row r="243" spans="1:2">
      <c r="A243" s="2">
        <v>37892</v>
      </c>
      <c r="B243" s="1">
        <v>1.99</v>
      </c>
    </row>
    <row r="244" spans="1:2">
      <c r="A244" s="2">
        <v>37861</v>
      </c>
      <c r="B244" s="1">
        <v>2.12</v>
      </c>
    </row>
    <row r="245" spans="1:2">
      <c r="A245" s="2">
        <v>37830</v>
      </c>
      <c r="B245" s="1">
        <v>2</v>
      </c>
    </row>
    <row r="246" spans="1:2">
      <c r="A246" s="2">
        <v>37800</v>
      </c>
      <c r="B246" s="1">
        <v>1.95</v>
      </c>
    </row>
    <row r="247" spans="1:2">
      <c r="A247" s="2">
        <v>37769</v>
      </c>
      <c r="B247" s="1">
        <v>2.1</v>
      </c>
    </row>
    <row r="248" spans="1:2">
      <c r="A248" s="2">
        <v>37739</v>
      </c>
      <c r="B248" s="1">
        <v>2.39</v>
      </c>
    </row>
    <row r="249" spans="1:2">
      <c r="A249" s="2">
        <v>37708</v>
      </c>
      <c r="B249" s="1">
        <v>2.36</v>
      </c>
    </row>
    <row r="250" spans="1:2">
      <c r="A250" s="2">
        <v>37680</v>
      </c>
      <c r="B250" s="1">
        <v>2.38</v>
      </c>
    </row>
    <row r="251" spans="1:2">
      <c r="A251" s="2">
        <v>37649</v>
      </c>
      <c r="B251" s="1">
        <v>2.62</v>
      </c>
    </row>
    <row r="252" spans="1:2">
      <c r="A252" s="2">
        <v>37618</v>
      </c>
      <c r="B252" s="1">
        <v>2.66</v>
      </c>
    </row>
    <row r="253" spans="1:2">
      <c r="A253" s="2">
        <v>37588</v>
      </c>
      <c r="B253" s="1">
        <v>2.9</v>
      </c>
    </row>
    <row r="254" spans="1:2">
      <c r="A254" s="2">
        <v>37557</v>
      </c>
      <c r="B254" s="1">
        <v>3.07</v>
      </c>
    </row>
    <row r="255" spans="1:2">
      <c r="A255" s="2">
        <v>37527</v>
      </c>
      <c r="B255" s="1">
        <v>3.09</v>
      </c>
    </row>
    <row r="256" spans="1:2">
      <c r="A256" s="2">
        <v>37496</v>
      </c>
      <c r="B256" s="1">
        <v>3.27</v>
      </c>
    </row>
    <row r="257" spans="1:2">
      <c r="A257" s="2">
        <v>37465</v>
      </c>
      <c r="B257" s="1">
        <v>3.34</v>
      </c>
    </row>
    <row r="258" spans="1:2">
      <c r="A258" s="2">
        <v>37435</v>
      </c>
      <c r="B258" s="1">
        <v>3.52</v>
      </c>
    </row>
    <row r="259" spans="1:2">
      <c r="A259" s="2">
        <v>37404</v>
      </c>
      <c r="B259" s="1">
        <v>3.64</v>
      </c>
    </row>
    <row r="260" spans="1:2">
      <c r="A260" s="2">
        <v>37374</v>
      </c>
      <c r="B260" s="1">
        <v>3.51</v>
      </c>
    </row>
    <row r="261" spans="1:2">
      <c r="A261" s="2">
        <v>37343</v>
      </c>
      <c r="B261" s="1">
        <v>3.57</v>
      </c>
    </row>
    <row r="262" spans="1:2">
      <c r="A262" s="2">
        <v>37315</v>
      </c>
      <c r="B262" s="1">
        <v>3.4</v>
      </c>
    </row>
    <row r="263" spans="1:2">
      <c r="A263" s="2">
        <v>37284</v>
      </c>
      <c r="B263" s="1">
        <v>3.39</v>
      </c>
    </row>
    <row r="264" spans="1:2">
      <c r="A264" s="2">
        <v>37253</v>
      </c>
      <c r="B264" s="1">
        <v>3.19</v>
      </c>
    </row>
    <row r="265" spans="1:2">
      <c r="A265" s="2">
        <v>37223</v>
      </c>
      <c r="B265" s="1">
        <v>3.19</v>
      </c>
    </row>
    <row r="266" spans="1:2">
      <c r="A266" s="2">
        <v>37192</v>
      </c>
      <c r="B266" s="1">
        <v>3.32</v>
      </c>
    </row>
    <row r="267" spans="1:2">
      <c r="A267" s="2">
        <v>37162</v>
      </c>
      <c r="B267" s="1">
        <v>3.5</v>
      </c>
    </row>
    <row r="268" spans="1:2">
      <c r="A268" s="2">
        <v>37131</v>
      </c>
      <c r="B268" s="1">
        <v>4.1100000000000003</v>
      </c>
    </row>
    <row r="269" spans="1:2">
      <c r="A269" s="2">
        <v>37100</v>
      </c>
      <c r="B269" s="1">
        <v>4.3099999999999996</v>
      </c>
    </row>
    <row r="270" spans="1:2">
      <c r="A270" s="2">
        <v>37070</v>
      </c>
      <c r="B270" s="1">
        <v>4.34</v>
      </c>
    </row>
    <row r="271" spans="1:2">
      <c r="A271" s="2">
        <v>37039</v>
      </c>
      <c r="B271" s="1">
        <v>4.43</v>
      </c>
    </row>
    <row r="272" spans="1:2">
      <c r="A272" s="2">
        <v>37009</v>
      </c>
      <c r="B272" s="1">
        <v>4.75</v>
      </c>
    </row>
    <row r="273" spans="1:2">
      <c r="A273" s="2">
        <v>36978</v>
      </c>
      <c r="B273" s="1">
        <v>4.42</v>
      </c>
    </row>
    <row r="274" spans="1:2">
      <c r="A274" s="2">
        <v>36950</v>
      </c>
      <c r="B274" s="1">
        <v>4.6399999999999997</v>
      </c>
    </row>
    <row r="275" spans="1:2">
      <c r="A275" s="2">
        <v>36919</v>
      </c>
      <c r="B275" s="1">
        <v>4.5999999999999996</v>
      </c>
    </row>
    <row r="276" spans="1:2">
      <c r="A276" s="2">
        <v>36888</v>
      </c>
      <c r="B276" s="1">
        <v>4.76</v>
      </c>
    </row>
    <row r="277" spans="1:2">
      <c r="A277" s="2">
        <v>36858</v>
      </c>
      <c r="B277" s="1">
        <v>5.0199999999999996</v>
      </c>
    </row>
    <row r="278" spans="1:2">
      <c r="A278" s="2">
        <v>36827</v>
      </c>
      <c r="B278" s="1">
        <v>5.1100000000000003</v>
      </c>
    </row>
    <row r="279" spans="1:2">
      <c r="A279" s="2">
        <v>36797</v>
      </c>
      <c r="B279" s="1">
        <v>5.04</v>
      </c>
    </row>
    <row r="280" spans="1:2">
      <c r="A280" s="2">
        <v>36766</v>
      </c>
      <c r="B280" s="1">
        <v>5.09</v>
      </c>
    </row>
    <row r="281" spans="1:2">
      <c r="A281" s="2">
        <v>36735</v>
      </c>
      <c r="B281" s="1">
        <v>4.8600000000000003</v>
      </c>
    </row>
    <row r="282" spans="1:2">
      <c r="A282" s="2">
        <v>36705</v>
      </c>
      <c r="B282" s="1">
        <v>4.6900000000000004</v>
      </c>
    </row>
    <row r="283" spans="1:2">
      <c r="A283" s="2">
        <v>36674</v>
      </c>
      <c r="B283" s="1">
        <v>4.6100000000000003</v>
      </c>
    </row>
    <row r="284" spans="1:2">
      <c r="A284" s="2">
        <v>36644</v>
      </c>
      <c r="B284" s="1">
        <v>4.18</v>
      </c>
    </row>
    <row r="285" spans="1:2">
      <c r="A285" s="2">
        <v>36613</v>
      </c>
      <c r="B285" s="1">
        <v>3.96</v>
      </c>
    </row>
    <row r="286" spans="1:2">
      <c r="A286" s="2">
        <v>36584</v>
      </c>
      <c r="B286" s="1">
        <v>3.79</v>
      </c>
    </row>
    <row r="287" spans="1:2">
      <c r="A287" s="2">
        <v>36553</v>
      </c>
      <c r="B287" s="1">
        <v>3.63</v>
      </c>
    </row>
    <row r="288" spans="1:2">
      <c r="A288" s="2">
        <v>36522</v>
      </c>
      <c r="B288" s="1">
        <v>3.46</v>
      </c>
    </row>
    <row r="289" spans="1:2">
      <c r="A289" s="2">
        <v>36492</v>
      </c>
      <c r="B289" s="1">
        <v>3.41</v>
      </c>
    </row>
    <row r="290" spans="1:2">
      <c r="A290" s="2">
        <v>36461</v>
      </c>
      <c r="B290" s="1">
        <v>3.26</v>
      </c>
    </row>
    <row r="291" spans="1:2">
      <c r="A291" s="2">
        <v>36431</v>
      </c>
      <c r="B291" s="1">
        <v>2.84</v>
      </c>
    </row>
    <row r="292" spans="1:2">
      <c r="A292" s="2">
        <v>36400</v>
      </c>
      <c r="B292" s="1">
        <v>2.88</v>
      </c>
    </row>
    <row r="293" spans="1:2">
      <c r="A293" s="2">
        <v>36369</v>
      </c>
      <c r="B293" s="1">
        <v>2.74</v>
      </c>
    </row>
    <row r="294" spans="1:2">
      <c r="A294" s="2">
        <v>36339</v>
      </c>
      <c r="B294" s="1">
        <v>2.69</v>
      </c>
    </row>
    <row r="295" spans="1:2">
      <c r="A295" s="2">
        <v>36308</v>
      </c>
      <c r="B295" s="1">
        <v>2.58</v>
      </c>
    </row>
    <row r="296" spans="1:2">
      <c r="A296" s="2">
        <v>36278</v>
      </c>
      <c r="B296" s="1">
        <v>2.5499999999999998</v>
      </c>
    </row>
    <row r="297" spans="1:2">
      <c r="A297" s="2">
        <v>36247</v>
      </c>
      <c r="B297" s="1">
        <v>2.85</v>
      </c>
    </row>
    <row r="298" spans="1:2">
      <c r="A298" s="2">
        <v>36219</v>
      </c>
      <c r="B298" s="1">
        <v>2.98</v>
      </c>
    </row>
    <row r="299" spans="1:2">
      <c r="A299" s="2">
        <v>36188</v>
      </c>
      <c r="B299" s="1">
        <v>2.9</v>
      </c>
    </row>
    <row r="300" spans="1:2">
      <c r="A300" s="2">
        <v>36157</v>
      </c>
      <c r="B300" s="1">
        <v>3.02</v>
      </c>
    </row>
    <row r="301" spans="1:2">
      <c r="A301" s="2">
        <v>36127</v>
      </c>
      <c r="B301" s="1">
        <v>3.33</v>
      </c>
    </row>
    <row r="302" spans="1:2">
      <c r="A302" s="2">
        <v>36096</v>
      </c>
      <c r="B302" s="1">
        <v>3.41</v>
      </c>
    </row>
    <row r="303" spans="1:2">
      <c r="A303" s="2">
        <v>36066</v>
      </c>
      <c r="B303" s="1">
        <v>3.5</v>
      </c>
    </row>
    <row r="304" spans="1:2">
      <c r="A304" s="2">
        <v>36035</v>
      </c>
      <c r="B304" s="1">
        <v>3.43</v>
      </c>
    </row>
    <row r="305" spans="1:2">
      <c r="A305" s="2">
        <v>36004</v>
      </c>
      <c r="B305" s="1">
        <v>3.58</v>
      </c>
    </row>
    <row r="306" spans="1:2">
      <c r="A306" s="2">
        <v>35974</v>
      </c>
      <c r="B306" s="1">
        <v>3.41</v>
      </c>
    </row>
    <row r="307" spans="1:2">
      <c r="A307" s="2">
        <v>35943</v>
      </c>
      <c r="B307" s="1">
        <v>3.59</v>
      </c>
    </row>
    <row r="308" spans="1:2">
      <c r="A308" s="2">
        <v>35913</v>
      </c>
      <c r="B308" s="1">
        <v>3.72</v>
      </c>
    </row>
    <row r="309" spans="1:2">
      <c r="A309" s="2">
        <v>35882</v>
      </c>
      <c r="B309" s="1">
        <v>3.61</v>
      </c>
    </row>
    <row r="310" spans="1:2">
      <c r="A310" s="2">
        <v>35854</v>
      </c>
      <c r="B310" s="1">
        <v>3.51</v>
      </c>
    </row>
    <row r="311" spans="1:2">
      <c r="A311" s="2">
        <v>35823</v>
      </c>
      <c r="B311" s="1">
        <v>3.52</v>
      </c>
    </row>
    <row r="312" spans="1:2">
      <c r="A312" s="2">
        <v>35792</v>
      </c>
      <c r="B312" s="1">
        <v>3.65</v>
      </c>
    </row>
    <row r="313" spans="1:2">
      <c r="A313" s="2">
        <v>35762</v>
      </c>
      <c r="B313" s="1">
        <v>3.81</v>
      </c>
    </row>
    <row r="314" spans="1:2">
      <c r="A314" s="2">
        <v>35731</v>
      </c>
      <c r="B314" s="1">
        <v>3.74</v>
      </c>
    </row>
    <row r="315" spans="1:2">
      <c r="A315" s="2">
        <v>35701</v>
      </c>
      <c r="B315" s="1">
        <v>3.44</v>
      </c>
    </row>
    <row r="316" spans="1:2">
      <c r="A316" s="2">
        <v>35670</v>
      </c>
      <c r="B316" s="1">
        <v>3.31</v>
      </c>
    </row>
    <row r="317" spans="1:2">
      <c r="A317" s="2">
        <v>35639</v>
      </c>
      <c r="B317" s="1">
        <v>3.18</v>
      </c>
    </row>
    <row r="318" spans="1:2">
      <c r="A318" s="2">
        <v>35609</v>
      </c>
      <c r="B318" s="1">
        <v>3.09</v>
      </c>
    </row>
    <row r="319" spans="1:2">
      <c r="A319" s="2">
        <v>35578</v>
      </c>
      <c r="B319" s="1">
        <v>3.18</v>
      </c>
    </row>
    <row r="320" spans="1:2">
      <c r="A320" s="2">
        <v>35548</v>
      </c>
      <c r="B320" s="1">
        <v>3.22</v>
      </c>
    </row>
    <row r="321" spans="1:2">
      <c r="A321" s="2">
        <v>35517</v>
      </c>
      <c r="B321" s="1">
        <v>3.27</v>
      </c>
    </row>
    <row r="322" spans="1:2">
      <c r="A322" s="2">
        <v>35489</v>
      </c>
      <c r="B322" s="1">
        <v>3.23</v>
      </c>
    </row>
    <row r="323" spans="1:2">
      <c r="A323" s="2">
        <v>35458</v>
      </c>
      <c r="B323" s="1">
        <v>3.09</v>
      </c>
    </row>
    <row r="324" spans="1:2">
      <c r="A324" s="2">
        <v>35427</v>
      </c>
      <c r="B324" s="1">
        <v>3.16</v>
      </c>
    </row>
    <row r="325" spans="1:2">
      <c r="A325" s="2">
        <v>35397</v>
      </c>
      <c r="B325" s="1">
        <v>3.19</v>
      </c>
    </row>
    <row r="326" spans="1:2">
      <c r="A326" s="2">
        <v>35366</v>
      </c>
      <c r="B326" s="1">
        <v>3.18</v>
      </c>
    </row>
    <row r="327" spans="1:2">
      <c r="A327" s="2">
        <v>35336</v>
      </c>
      <c r="B327" s="1">
        <v>3.08</v>
      </c>
    </row>
    <row r="328" spans="1:2">
      <c r="A328" s="2">
        <v>35305</v>
      </c>
      <c r="B328" s="1">
        <v>3.19</v>
      </c>
    </row>
    <row r="329" spans="1:2">
      <c r="A329" s="2">
        <v>35274</v>
      </c>
      <c r="B329" s="1">
        <v>3.35</v>
      </c>
    </row>
    <row r="330" spans="1:2">
      <c r="A330" s="2">
        <v>35244</v>
      </c>
      <c r="B330" s="1">
        <v>3.39</v>
      </c>
    </row>
    <row r="331" spans="1:2">
      <c r="A331" s="2">
        <v>35213</v>
      </c>
      <c r="B331" s="1">
        <v>3.26</v>
      </c>
    </row>
    <row r="332" spans="1:2">
      <c r="A332" s="2">
        <v>35183</v>
      </c>
      <c r="B332" s="1">
        <v>3.15</v>
      </c>
    </row>
    <row r="333" spans="1:2">
      <c r="A333" s="2">
        <v>35152</v>
      </c>
      <c r="B333" s="1">
        <v>3.22</v>
      </c>
    </row>
    <row r="334" spans="1:2">
      <c r="A334" s="2">
        <v>35123</v>
      </c>
      <c r="B334" s="1">
        <v>3.29</v>
      </c>
    </row>
    <row r="335" spans="1:2">
      <c r="A335" s="2">
        <v>35092</v>
      </c>
      <c r="B335" s="1">
        <v>3.19</v>
      </c>
    </row>
    <row r="336" spans="1:2">
      <c r="A336" s="2">
        <v>35061</v>
      </c>
      <c r="B336" s="1">
        <v>3.69</v>
      </c>
    </row>
    <row r="337" spans="1:2">
      <c r="A337" s="2">
        <v>35031</v>
      </c>
      <c r="B337" s="1">
        <v>3.82</v>
      </c>
    </row>
    <row r="338" spans="1:2">
      <c r="A338" s="2">
        <v>35000</v>
      </c>
      <c r="B338" s="1">
        <v>4.0199999999999996</v>
      </c>
    </row>
    <row r="339" spans="1:2">
      <c r="A339" s="2">
        <v>34970</v>
      </c>
      <c r="B339" s="1">
        <v>4.0199999999999996</v>
      </c>
    </row>
    <row r="340" spans="1:2">
      <c r="A340" s="2">
        <v>34939</v>
      </c>
      <c r="B340" s="1">
        <v>4.24</v>
      </c>
    </row>
    <row r="341" spans="1:2">
      <c r="A341" s="2">
        <v>34908</v>
      </c>
      <c r="B341" s="1">
        <v>4.47</v>
      </c>
    </row>
    <row r="342" spans="1:2">
      <c r="A342" s="2">
        <v>34878</v>
      </c>
      <c r="B342" s="1">
        <v>4.6100000000000003</v>
      </c>
    </row>
    <row r="343" spans="1:2">
      <c r="A343" s="2">
        <v>34847</v>
      </c>
      <c r="B343" s="1">
        <v>4.4800000000000004</v>
      </c>
    </row>
    <row r="344" spans="1:2">
      <c r="A344" s="2">
        <v>34817</v>
      </c>
      <c r="B344" s="1">
        <v>4.5999999999999996</v>
      </c>
    </row>
    <row r="345" spans="1:2">
      <c r="A345" s="2">
        <v>34786</v>
      </c>
      <c r="B345" s="1">
        <v>4.9000000000000004</v>
      </c>
    </row>
    <row r="346" spans="1:2">
      <c r="A346" s="2">
        <v>34758</v>
      </c>
      <c r="B346" s="1">
        <v>5.31</v>
      </c>
    </row>
    <row r="347" spans="1:2">
      <c r="A347" s="2">
        <v>34727</v>
      </c>
      <c r="B347" s="1">
        <v>5.28</v>
      </c>
    </row>
    <row r="348" spans="1:2">
      <c r="A348" s="2">
        <v>34696</v>
      </c>
      <c r="B348" s="1">
        <v>5.45</v>
      </c>
    </row>
    <row r="349" spans="1:2">
      <c r="A349" s="2">
        <v>34666</v>
      </c>
      <c r="B349" s="1">
        <v>5.34</v>
      </c>
    </row>
    <row r="350" spans="1:2">
      <c r="A350" s="2">
        <v>34635</v>
      </c>
      <c r="B350" s="1">
        <v>5.25</v>
      </c>
    </row>
    <row r="351" spans="1:2">
      <c r="A351" s="2">
        <v>34605</v>
      </c>
      <c r="B351" s="1">
        <v>5.34</v>
      </c>
    </row>
    <row r="352" spans="1:2">
      <c r="A352" s="2">
        <v>34574</v>
      </c>
      <c r="B352" s="1">
        <v>5.08</v>
      </c>
    </row>
    <row r="353" spans="1:2">
      <c r="A353" s="2">
        <v>34543</v>
      </c>
      <c r="B353" s="1">
        <v>5</v>
      </c>
    </row>
    <row r="354" spans="1:2">
      <c r="A354" s="2">
        <v>34513</v>
      </c>
      <c r="B354" s="1">
        <v>5.03</v>
      </c>
    </row>
    <row r="355" spans="1:2">
      <c r="A355" s="2">
        <v>34482</v>
      </c>
      <c r="B355" s="1">
        <v>5.15</v>
      </c>
    </row>
    <row r="356" spans="1:2">
      <c r="A356" s="2">
        <v>34452</v>
      </c>
      <c r="B356" s="1">
        <v>5.36</v>
      </c>
    </row>
    <row r="357" spans="1:2">
      <c r="A357" s="2">
        <v>34421</v>
      </c>
      <c r="B357" s="1">
        <v>5.57</v>
      </c>
    </row>
    <row r="358" spans="1:2">
      <c r="A358" s="2">
        <v>34393</v>
      </c>
      <c r="B358" s="1">
        <v>5.71</v>
      </c>
    </row>
    <row r="359" spans="1:2">
      <c r="A359" s="2">
        <v>34362</v>
      </c>
      <c r="B359" s="1">
        <v>5.5</v>
      </c>
    </row>
    <row r="360" spans="1:2">
      <c r="A360" s="2">
        <v>34331</v>
      </c>
      <c r="B360" s="1">
        <v>5.64</v>
      </c>
    </row>
    <row r="361" spans="1:2">
      <c r="A361" s="2">
        <v>34301</v>
      </c>
      <c r="B361" s="1">
        <v>5.65</v>
      </c>
    </row>
    <row r="362" spans="1:2">
      <c r="A362" s="2">
        <v>34270</v>
      </c>
      <c r="B362" s="1">
        <v>6.02</v>
      </c>
    </row>
    <row r="363" spans="1:2">
      <c r="A363" s="2">
        <v>34240</v>
      </c>
      <c r="B363" s="1">
        <v>6.21</v>
      </c>
    </row>
    <row r="364" spans="1:2">
      <c r="A364" s="2">
        <v>34209</v>
      </c>
      <c r="B364" s="1">
        <v>6.22</v>
      </c>
    </row>
    <row r="365" spans="1:2">
      <c r="A365" s="2">
        <v>34178</v>
      </c>
      <c r="B365" s="1">
        <v>6.77</v>
      </c>
    </row>
    <row r="366" spans="1:2">
      <c r="A366" s="2">
        <v>34148</v>
      </c>
      <c r="B366" s="1">
        <v>7.02</v>
      </c>
    </row>
    <row r="367" spans="1:2">
      <c r="A367" s="2">
        <v>34117</v>
      </c>
      <c r="B367" s="1">
        <v>7</v>
      </c>
    </row>
    <row r="368" spans="1:2">
      <c r="A368" s="2">
        <v>34087</v>
      </c>
      <c r="B368" s="1">
        <v>7.38</v>
      </c>
    </row>
    <row r="369" spans="1:2">
      <c r="A369" s="2">
        <v>34056</v>
      </c>
      <c r="B369" s="1">
        <v>7.24</v>
      </c>
    </row>
    <row r="370" spans="1:2">
      <c r="A370" s="2">
        <v>34028</v>
      </c>
      <c r="B370" s="1">
        <v>7.46</v>
      </c>
    </row>
    <row r="371" spans="1:2">
      <c r="A371" s="2">
        <v>33997</v>
      </c>
      <c r="B371" s="1">
        <v>7.58</v>
      </c>
    </row>
    <row r="372" spans="1:2">
      <c r="A372" s="2">
        <v>33966</v>
      </c>
      <c r="B372" s="1">
        <v>7.97</v>
      </c>
    </row>
    <row r="373" spans="1:2">
      <c r="A373" s="2">
        <v>33936</v>
      </c>
      <c r="B373" s="1">
        <v>7.85</v>
      </c>
    </row>
    <row r="374" spans="1:2">
      <c r="A374" s="2">
        <v>33905</v>
      </c>
      <c r="B374" s="1">
        <v>7.89</v>
      </c>
    </row>
    <row r="375" spans="1:2">
      <c r="A375" s="2">
        <v>33875</v>
      </c>
      <c r="B375" s="1">
        <v>8.39</v>
      </c>
    </row>
    <row r="376" spans="1:2">
      <c r="A376" s="2">
        <v>33844</v>
      </c>
      <c r="B376" s="1">
        <v>9.6300000000000008</v>
      </c>
    </row>
    <row r="377" spans="1:2">
      <c r="A377" s="2">
        <v>33813</v>
      </c>
      <c r="B377" s="1">
        <v>9.48</v>
      </c>
    </row>
    <row r="378" spans="1:2">
      <c r="A378" s="2">
        <v>33783</v>
      </c>
      <c r="B378" s="1">
        <v>9.3800000000000008</v>
      </c>
    </row>
    <row r="379" spans="1:2">
      <c r="A379" s="2">
        <v>33752</v>
      </c>
      <c r="B379" s="1">
        <v>9.5399999999999991</v>
      </c>
    </row>
    <row r="380" spans="1:2">
      <c r="A380" s="2">
        <v>33722</v>
      </c>
      <c r="B380" s="1">
        <v>9.43</v>
      </c>
    </row>
    <row r="381" spans="1:2">
      <c r="A381" s="2">
        <v>33691</v>
      </c>
      <c r="B381" s="1">
        <v>9.0399999999999991</v>
      </c>
    </row>
    <row r="382" spans="1:2">
      <c r="A382" s="2">
        <v>33662</v>
      </c>
      <c r="B382" s="1">
        <v>9.2200000000000006</v>
      </c>
    </row>
    <row r="383" spans="1:2">
      <c r="A383" s="2">
        <v>33631</v>
      </c>
      <c r="B383" s="1">
        <v>9.2100000000000009</v>
      </c>
    </row>
    <row r="384" spans="1:2">
      <c r="A384" s="2">
        <v>33600</v>
      </c>
      <c r="B384" s="1">
        <v>8.91</v>
      </c>
    </row>
    <row r="385" spans="1:2">
      <c r="A385" s="2">
        <v>33570</v>
      </c>
      <c r="B385" s="1">
        <v>9.19</v>
      </c>
    </row>
    <row r="386" spans="1:2">
      <c r="A386" s="2">
        <v>33539</v>
      </c>
      <c r="B386" s="1">
        <v>9.07</v>
      </c>
    </row>
    <row r="387" spans="1:2">
      <c r="A387" s="2">
        <v>33509</v>
      </c>
      <c r="B387" s="1">
        <v>9</v>
      </c>
    </row>
    <row r="388" spans="1:2">
      <c r="A388" s="2">
        <v>33478</v>
      </c>
      <c r="B388" s="1">
        <v>8.8699999999999992</v>
      </c>
    </row>
    <row r="389" spans="1:2">
      <c r="A389" s="2">
        <v>33447</v>
      </c>
      <c r="B389" s="1">
        <v>9.2799999999999994</v>
      </c>
    </row>
    <row r="390" spans="1:2">
      <c r="A390" s="2">
        <v>33417</v>
      </c>
      <c r="B390" s="1">
        <v>8.9700000000000006</v>
      </c>
    </row>
    <row r="391" spans="1:2">
      <c r="A391" s="2">
        <v>33386</v>
      </c>
      <c r="B391" s="1">
        <v>8.6999999999999993</v>
      </c>
    </row>
    <row r="392" spans="1:2">
      <c r="A392" s="2">
        <v>33356</v>
      </c>
      <c r="B392" s="1">
        <v>8.9700000000000006</v>
      </c>
    </row>
    <row r="393" spans="1:2">
      <c r="A393" s="2">
        <v>33325</v>
      </c>
      <c r="B393" s="1">
        <v>8.77</v>
      </c>
    </row>
    <row r="394" spans="1:2">
      <c r="A394" s="2">
        <v>33297</v>
      </c>
      <c r="B394" s="1">
        <v>8.73</v>
      </c>
    </row>
    <row r="395" spans="1:2">
      <c r="A395" s="2">
        <v>33266</v>
      </c>
      <c r="B395" s="1">
        <v>8.86</v>
      </c>
    </row>
    <row r="396" spans="1:2">
      <c r="A396" s="2">
        <v>33235</v>
      </c>
      <c r="B396" s="1">
        <v>9.19</v>
      </c>
    </row>
    <row r="397" spans="1:2">
      <c r="A397" s="2">
        <v>33205</v>
      </c>
      <c r="B397" s="1">
        <v>8.9600000000000009</v>
      </c>
    </row>
    <row r="398" spans="1:2">
      <c r="A398" s="2">
        <v>33174</v>
      </c>
      <c r="B398" s="1">
        <v>8.49</v>
      </c>
    </row>
    <row r="399" spans="1:2">
      <c r="A399" s="2">
        <v>33144</v>
      </c>
      <c r="B399" s="1">
        <v>8.6999999999999993</v>
      </c>
    </row>
    <row r="400" spans="1:2">
      <c r="A400" s="2">
        <v>33113</v>
      </c>
      <c r="B400" s="1">
        <v>8.73</v>
      </c>
    </row>
    <row r="401" spans="1:2">
      <c r="A401" s="2">
        <v>33082</v>
      </c>
      <c r="B401" s="1">
        <v>8.26</v>
      </c>
    </row>
    <row r="402" spans="1:2">
      <c r="A402" s="2">
        <v>33052</v>
      </c>
      <c r="B402" s="1">
        <v>8.39</v>
      </c>
    </row>
    <row r="403" spans="1:2">
      <c r="A403" s="2">
        <v>33021</v>
      </c>
      <c r="B403" s="1">
        <v>8.41</v>
      </c>
    </row>
    <row r="404" spans="1:2">
      <c r="A404" s="2">
        <v>32991</v>
      </c>
      <c r="B404" s="1">
        <v>8.51</v>
      </c>
    </row>
    <row r="405" spans="1:2">
      <c r="A405" s="2">
        <v>32960</v>
      </c>
      <c r="B405" s="1">
        <v>8.41</v>
      </c>
    </row>
    <row r="406" spans="1:2">
      <c r="A406" s="2">
        <v>32932</v>
      </c>
      <c r="B406" s="1">
        <v>8.6999999999999993</v>
      </c>
    </row>
    <row r="407" spans="1:2">
      <c r="A407" s="2">
        <v>32901</v>
      </c>
      <c r="B407" s="1">
        <v>8.16</v>
      </c>
    </row>
    <row r="408" spans="1:2">
      <c r="A408" s="2">
        <v>32870</v>
      </c>
      <c r="B408" s="1">
        <v>7.83</v>
      </c>
    </row>
    <row r="409" spans="1:2">
      <c r="A409" s="2">
        <v>32840</v>
      </c>
      <c r="B409" s="1">
        <v>8.0299999999999994</v>
      </c>
    </row>
    <row r="410" spans="1:2">
      <c r="A410" s="2">
        <v>32809</v>
      </c>
      <c r="B410" s="1">
        <v>7.82</v>
      </c>
    </row>
    <row r="411" spans="1:2">
      <c r="A411" s="2">
        <v>32779</v>
      </c>
      <c r="B411" s="1">
        <v>7.4</v>
      </c>
    </row>
    <row r="412" spans="1:2">
      <c r="A412" s="2">
        <v>32748</v>
      </c>
      <c r="B412" s="1">
        <v>6.98</v>
      </c>
    </row>
    <row r="413" spans="1:2">
      <c r="A413" s="2">
        <v>32717</v>
      </c>
      <c r="B413" s="1">
        <v>6.76</v>
      </c>
    </row>
    <row r="414" spans="1:2">
      <c r="A414" s="2">
        <v>32687</v>
      </c>
      <c r="B414" s="1">
        <v>6.92</v>
      </c>
    </row>
    <row r="415" spans="1:2">
      <c r="A415" s="2">
        <v>32656</v>
      </c>
      <c r="B415" s="1">
        <v>7.18</v>
      </c>
    </row>
    <row r="416" spans="1:2">
      <c r="A416" s="2">
        <v>32626</v>
      </c>
      <c r="B416" s="1">
        <v>6.55</v>
      </c>
    </row>
    <row r="417" spans="1:2">
      <c r="A417" s="2">
        <v>32595</v>
      </c>
      <c r="B417" s="1">
        <v>6.59</v>
      </c>
    </row>
    <row r="418" spans="1:2">
      <c r="A418" s="2">
        <v>32567</v>
      </c>
      <c r="B418" s="1">
        <v>6.79</v>
      </c>
    </row>
    <row r="419" spans="1:2">
      <c r="A419" s="2">
        <v>32536</v>
      </c>
      <c r="B419" s="1">
        <v>6.04</v>
      </c>
    </row>
    <row r="420" spans="1:2">
      <c r="A420" s="2">
        <v>32505</v>
      </c>
      <c r="B420" s="1">
        <v>5.63</v>
      </c>
    </row>
    <row r="421" spans="1:2">
      <c r="A421" s="2">
        <v>32475</v>
      </c>
      <c r="B421" s="1">
        <v>5.24</v>
      </c>
    </row>
    <row r="422" spans="1:2">
      <c r="A422" s="2">
        <v>32444</v>
      </c>
      <c r="B422" s="1">
        <v>4.9800000000000004</v>
      </c>
    </row>
    <row r="423" spans="1:2">
      <c r="A423" s="2">
        <v>32414</v>
      </c>
      <c r="B423" s="1">
        <v>5.29</v>
      </c>
    </row>
    <row r="424" spans="1:2">
      <c r="A424" s="2">
        <v>32383</v>
      </c>
      <c r="B424" s="1">
        <v>5.49</v>
      </c>
    </row>
    <row r="425" spans="1:2">
      <c r="A425" s="2">
        <v>32352</v>
      </c>
      <c r="B425" s="1">
        <v>5.17</v>
      </c>
    </row>
    <row r="426" spans="1:2">
      <c r="A426" s="2">
        <v>32322</v>
      </c>
      <c r="B426" s="1">
        <v>4.41</v>
      </c>
    </row>
    <row r="427" spans="1:2">
      <c r="A427" s="2">
        <v>32291</v>
      </c>
      <c r="B427" s="1">
        <v>3.71</v>
      </c>
    </row>
    <row r="428" spans="1:2">
      <c r="A428" s="2">
        <v>32261</v>
      </c>
      <c r="B428" s="1">
        <v>3.57</v>
      </c>
    </row>
    <row r="429" spans="1:2">
      <c r="A429" s="2">
        <v>32230</v>
      </c>
      <c r="B429" s="1">
        <v>3.59</v>
      </c>
    </row>
    <row r="430" spans="1:2">
      <c r="A430" s="2">
        <v>32201</v>
      </c>
      <c r="B430" s="1">
        <v>3.46</v>
      </c>
    </row>
    <row r="431" spans="1:2">
      <c r="A431" s="2">
        <v>32170</v>
      </c>
      <c r="B431" s="1">
        <v>3.39</v>
      </c>
    </row>
    <row r="432" spans="1:2">
      <c r="A432" s="2">
        <v>32139</v>
      </c>
      <c r="B432" s="1">
        <v>3.79</v>
      </c>
    </row>
    <row r="433" spans="1:2">
      <c r="A433" s="2">
        <v>32109</v>
      </c>
      <c r="B433" s="1">
        <v>3.8</v>
      </c>
    </row>
    <row r="434" spans="1:2">
      <c r="A434" s="2">
        <v>32078</v>
      </c>
      <c r="B434" s="1">
        <v>3.89</v>
      </c>
    </row>
    <row r="435" spans="1:2">
      <c r="A435" s="2">
        <v>32048</v>
      </c>
      <c r="B435" s="1">
        <v>4.42</v>
      </c>
    </row>
    <row r="436" spans="1:2">
      <c r="A436" s="2">
        <v>32017</v>
      </c>
      <c r="B436" s="1">
        <v>4.2300000000000004</v>
      </c>
    </row>
    <row r="437" spans="1:2">
      <c r="A437" s="2">
        <v>31986</v>
      </c>
      <c r="B437" s="1">
        <v>4.05</v>
      </c>
    </row>
    <row r="438" spans="1:2">
      <c r="A438" s="2">
        <v>31956</v>
      </c>
      <c r="B438" s="1">
        <v>3.77</v>
      </c>
    </row>
    <row r="439" spans="1:2">
      <c r="A439" s="2">
        <v>31925</v>
      </c>
      <c r="B439" s="1">
        <v>3.68</v>
      </c>
    </row>
    <row r="440" spans="1:2">
      <c r="A440" s="2">
        <v>31895</v>
      </c>
      <c r="B440" s="1">
        <v>3.93</v>
      </c>
    </row>
    <row r="441" spans="1:2">
      <c r="A441" s="2">
        <v>31864</v>
      </c>
      <c r="B441" s="1">
        <v>4.13</v>
      </c>
    </row>
    <row r="442" spans="1:2">
      <c r="A442" s="2">
        <v>31836</v>
      </c>
      <c r="B442" s="1">
        <v>3.92</v>
      </c>
    </row>
    <row r="443" spans="1:2">
      <c r="A443" s="2">
        <v>31805</v>
      </c>
      <c r="B443" s="1">
        <v>3.99</v>
      </c>
    </row>
    <row r="444" spans="1:2">
      <c r="A444" s="2">
        <v>31774</v>
      </c>
      <c r="B444" s="1">
        <v>4.92</v>
      </c>
    </row>
    <row r="445" spans="1:2">
      <c r="A445" s="2">
        <v>31744</v>
      </c>
      <c r="B445" s="1">
        <v>4.6500000000000004</v>
      </c>
    </row>
    <row r="446" spans="1:2">
      <c r="A446" s="2">
        <v>31713</v>
      </c>
      <c r="B446" s="1">
        <v>4.7300000000000004</v>
      </c>
    </row>
    <row r="447" spans="1:2">
      <c r="A447" s="2">
        <v>31683</v>
      </c>
      <c r="B447" s="1">
        <v>4.7300000000000004</v>
      </c>
    </row>
    <row r="448" spans="1:2">
      <c r="A448" s="2">
        <v>31652</v>
      </c>
      <c r="B448" s="1">
        <v>4.5</v>
      </c>
    </row>
    <row r="449" spans="1:2">
      <c r="A449" s="2">
        <v>31621</v>
      </c>
      <c r="B449" s="1">
        <v>4.71</v>
      </c>
    </row>
    <row r="450" spans="1:2">
      <c r="A450" s="2">
        <v>31591</v>
      </c>
      <c r="B450" s="1">
        <v>4.5999999999999996</v>
      </c>
    </row>
    <row r="451" spans="1:2">
      <c r="A451" s="2">
        <v>31560</v>
      </c>
      <c r="B451" s="1">
        <v>4.53</v>
      </c>
    </row>
    <row r="452" spans="1:2">
      <c r="A452" s="2">
        <v>31530</v>
      </c>
      <c r="B452" s="1">
        <v>4.4800000000000004</v>
      </c>
    </row>
    <row r="453" spans="1:2">
      <c r="A453" s="2">
        <v>31499</v>
      </c>
      <c r="B453" s="1">
        <v>4.3600000000000003</v>
      </c>
    </row>
    <row r="454" spans="1:2">
      <c r="A454" s="2">
        <v>31471</v>
      </c>
      <c r="B454" s="1">
        <v>4.28</v>
      </c>
    </row>
    <row r="455" spans="1:2">
      <c r="A455" s="2">
        <v>31440</v>
      </c>
      <c r="B455" s="1">
        <v>4.59</v>
      </c>
    </row>
    <row r="456" spans="1:2">
      <c r="A456" s="2">
        <v>31409</v>
      </c>
      <c r="B456" s="1">
        <v>4.87</v>
      </c>
    </row>
    <row r="457" spans="1:2">
      <c r="A457" s="2">
        <v>31379</v>
      </c>
      <c r="B457" s="1">
        <v>4.88</v>
      </c>
    </row>
    <row r="458" spans="1:2">
      <c r="A458" s="2">
        <v>31348</v>
      </c>
      <c r="B458" s="1">
        <v>5.1100000000000003</v>
      </c>
    </row>
    <row r="459" spans="1:2">
      <c r="A459" s="2">
        <v>31318</v>
      </c>
      <c r="B459" s="1">
        <v>4.58</v>
      </c>
    </row>
    <row r="460" spans="1:2">
      <c r="A460" s="2">
        <v>31287</v>
      </c>
      <c r="B460" s="1">
        <v>4.68</v>
      </c>
    </row>
    <row r="461" spans="1:2">
      <c r="A461" s="2">
        <v>31256</v>
      </c>
      <c r="B461" s="1">
        <v>5.08</v>
      </c>
    </row>
    <row r="462" spans="1:2">
      <c r="A462" s="2">
        <v>31226</v>
      </c>
      <c r="B462" s="1">
        <v>5.43</v>
      </c>
    </row>
    <row r="463" spans="1:2">
      <c r="A463" s="2">
        <v>31195</v>
      </c>
      <c r="B463" s="1">
        <v>5.64</v>
      </c>
    </row>
    <row r="464" spans="1:2">
      <c r="A464" s="2">
        <v>31165</v>
      </c>
      <c r="B464" s="1">
        <v>5.92</v>
      </c>
    </row>
    <row r="465" spans="1:2">
      <c r="A465" s="2">
        <v>31134</v>
      </c>
      <c r="B465" s="1">
        <v>6.21</v>
      </c>
    </row>
    <row r="466" spans="1:2">
      <c r="A466" s="2">
        <v>31106</v>
      </c>
      <c r="B466" s="1">
        <v>6.42</v>
      </c>
    </row>
    <row r="467" spans="1:2">
      <c r="A467" s="2">
        <v>31075</v>
      </c>
      <c r="B467" s="1">
        <v>6.05</v>
      </c>
    </row>
    <row r="468" spans="1:2">
      <c r="A468" s="2">
        <v>31044</v>
      </c>
      <c r="B468" s="1">
        <v>5.6</v>
      </c>
    </row>
    <row r="469" spans="1:2">
      <c r="A469" s="2">
        <v>31014</v>
      </c>
      <c r="B469" s="1">
        <v>5.87</v>
      </c>
    </row>
    <row r="470" spans="1:2">
      <c r="A470" s="2">
        <v>30983</v>
      </c>
      <c r="B470" s="1">
        <v>5.98</v>
      </c>
    </row>
    <row r="471" spans="1:2">
      <c r="A471" s="2">
        <v>30953</v>
      </c>
      <c r="B471" s="1">
        <v>5.96</v>
      </c>
    </row>
    <row r="472" spans="1:2">
      <c r="A472" s="2">
        <v>30922</v>
      </c>
      <c r="B472" s="1">
        <v>6.09</v>
      </c>
    </row>
    <row r="473" spans="1:2">
      <c r="A473" s="2">
        <v>30891</v>
      </c>
      <c r="B473" s="1">
        <v>6.29</v>
      </c>
    </row>
    <row r="474" spans="1:2">
      <c r="A474" s="2">
        <v>30861</v>
      </c>
      <c r="B474" s="1">
        <v>6.24</v>
      </c>
    </row>
    <row r="475" spans="1:2">
      <c r="A475" s="2">
        <v>30830</v>
      </c>
      <c r="B475" s="1">
        <v>6.22</v>
      </c>
    </row>
    <row r="476" spans="1:2">
      <c r="A476" s="2">
        <v>30800</v>
      </c>
      <c r="B476" s="1">
        <v>5.83</v>
      </c>
    </row>
    <row r="477" spans="1:2">
      <c r="A477" s="2">
        <v>30769</v>
      </c>
      <c r="B477" s="1">
        <v>6.08</v>
      </c>
    </row>
    <row r="478" spans="1:2">
      <c r="A478" s="2">
        <v>30740</v>
      </c>
      <c r="B478" s="1">
        <v>5.93</v>
      </c>
    </row>
    <row r="479" spans="1:2">
      <c r="A479" s="2">
        <v>30709</v>
      </c>
      <c r="B479" s="1">
        <v>6.17</v>
      </c>
    </row>
    <row r="480" spans="1:2">
      <c r="A480" s="2">
        <v>30678</v>
      </c>
      <c r="B480" s="1">
        <v>6.51</v>
      </c>
    </row>
    <row r="481" spans="1:2">
      <c r="A481" s="2">
        <v>30648</v>
      </c>
      <c r="B481" s="1">
        <v>6.41</v>
      </c>
    </row>
    <row r="482" spans="1:2">
      <c r="A482" s="2">
        <v>30617</v>
      </c>
      <c r="B482" s="1">
        <v>6.04</v>
      </c>
    </row>
    <row r="483" spans="1:2">
      <c r="A483" s="2">
        <v>30587</v>
      </c>
      <c r="B483" s="1">
        <v>6.16</v>
      </c>
    </row>
    <row r="484" spans="1:2">
      <c r="A484" s="2">
        <v>30556</v>
      </c>
      <c r="B484" s="1">
        <v>6.15</v>
      </c>
    </row>
    <row r="485" spans="1:2">
      <c r="A485" s="2">
        <v>30525</v>
      </c>
      <c r="B485" s="1">
        <v>5.88</v>
      </c>
    </row>
    <row r="486" spans="1:2">
      <c r="A486" s="2">
        <v>30495</v>
      </c>
      <c r="B486" s="1">
        <v>5.74</v>
      </c>
    </row>
    <row r="487" spans="1:2">
      <c r="A487" s="2">
        <v>30464</v>
      </c>
      <c r="B487" s="1">
        <v>5.92</v>
      </c>
    </row>
    <row r="488" spans="1:2">
      <c r="A488" s="2">
        <v>30434</v>
      </c>
      <c r="B488" s="1">
        <v>5.81</v>
      </c>
    </row>
    <row r="489" spans="1:2">
      <c r="A489" s="2">
        <v>30403</v>
      </c>
      <c r="B489" s="1">
        <v>5.62</v>
      </c>
    </row>
    <row r="490" spans="1:2">
      <c r="A490" s="2">
        <v>30375</v>
      </c>
      <c r="B490" s="1">
        <v>5.61</v>
      </c>
    </row>
    <row r="491" spans="1:2">
      <c r="A491" s="2">
        <v>30344</v>
      </c>
      <c r="B491" s="1">
        <v>5.71</v>
      </c>
    </row>
    <row r="492" spans="1:2">
      <c r="A492" s="2">
        <v>30313</v>
      </c>
      <c r="B492" s="1">
        <v>6.84</v>
      </c>
    </row>
    <row r="493" spans="1:2">
      <c r="A493" s="2">
        <v>30283</v>
      </c>
      <c r="B493" s="1">
        <v>7.44</v>
      </c>
    </row>
    <row r="494" spans="1:2">
      <c r="A494" s="2">
        <v>30252</v>
      </c>
      <c r="B494" s="1">
        <v>7.56</v>
      </c>
    </row>
    <row r="495" spans="1:2">
      <c r="A495" s="2">
        <v>30222</v>
      </c>
      <c r="B495" s="1">
        <v>8.36</v>
      </c>
    </row>
    <row r="496" spans="1:2">
      <c r="A496" s="2">
        <v>30191</v>
      </c>
      <c r="B496" s="1">
        <v>8.68</v>
      </c>
    </row>
    <row r="497" spans="1:2">
      <c r="A497" s="2">
        <v>30160</v>
      </c>
      <c r="B497" s="1">
        <v>9.34</v>
      </c>
    </row>
    <row r="498" spans="1:2">
      <c r="A498" s="2">
        <v>30130</v>
      </c>
      <c r="B498" s="1">
        <v>9.43</v>
      </c>
    </row>
    <row r="499" spans="1:2">
      <c r="A499" s="2">
        <v>30099</v>
      </c>
      <c r="B499" s="1">
        <v>8.82</v>
      </c>
    </row>
    <row r="500" spans="1:2">
      <c r="A500" s="2">
        <v>30069</v>
      </c>
      <c r="B500" s="1">
        <v>9.07</v>
      </c>
    </row>
    <row r="501" spans="1:2">
      <c r="A501" s="2">
        <v>30038</v>
      </c>
      <c r="B501" s="1">
        <v>9.65</v>
      </c>
    </row>
    <row r="502" spans="1:2">
      <c r="A502" s="2">
        <v>30010</v>
      </c>
      <c r="B502" s="1">
        <v>10.27</v>
      </c>
    </row>
    <row r="503" spans="1:2">
      <c r="A503" s="2">
        <v>29979</v>
      </c>
      <c r="B503" s="1">
        <v>10.16</v>
      </c>
    </row>
    <row r="504" spans="1:2">
      <c r="A504" s="2">
        <v>29948</v>
      </c>
      <c r="B504" s="1">
        <v>10.68</v>
      </c>
    </row>
    <row r="505" spans="1:2">
      <c r="A505" s="2">
        <v>29918</v>
      </c>
      <c r="B505" s="1">
        <v>10.27</v>
      </c>
    </row>
    <row r="506" spans="1:2">
      <c r="A506" s="2">
        <v>29887</v>
      </c>
      <c r="B506" s="1">
        <v>11.82</v>
      </c>
    </row>
    <row r="507" spans="1:2">
      <c r="A507" s="2">
        <v>29857</v>
      </c>
      <c r="B507" s="1">
        <v>12.49</v>
      </c>
    </row>
    <row r="508" spans="1:2">
      <c r="A508" s="2">
        <v>29826</v>
      </c>
      <c r="B508" s="1">
        <v>13.73</v>
      </c>
    </row>
    <row r="509" spans="1:2">
      <c r="A509" s="2">
        <v>29795</v>
      </c>
      <c r="B509" s="1">
        <v>13.24</v>
      </c>
    </row>
    <row r="510" spans="1:2">
      <c r="A510" s="2">
        <v>29765</v>
      </c>
      <c r="B510" s="1">
        <v>12.78</v>
      </c>
    </row>
    <row r="511" spans="1:2">
      <c r="A511" s="2">
        <v>29734</v>
      </c>
      <c r="B511" s="1">
        <v>13.09</v>
      </c>
    </row>
    <row r="512" spans="1:2">
      <c r="A512" s="2">
        <v>29704</v>
      </c>
      <c r="B512" s="1">
        <v>12.81</v>
      </c>
    </row>
    <row r="513" spans="1:2">
      <c r="A513" s="2">
        <v>29673</v>
      </c>
      <c r="B513" s="1">
        <v>12.63</v>
      </c>
    </row>
    <row r="514" spans="1:2">
      <c r="A514" s="2">
        <v>29645</v>
      </c>
      <c r="B514" s="1">
        <v>11.72</v>
      </c>
    </row>
    <row r="515" spans="1:2">
      <c r="A515" s="2">
        <v>29614</v>
      </c>
      <c r="B515" s="1">
        <v>9.4</v>
      </c>
    </row>
    <row r="516" spans="1:2">
      <c r="A516" s="2">
        <v>29583</v>
      </c>
      <c r="B516" s="1">
        <v>9.5399999999999991</v>
      </c>
    </row>
    <row r="517" spans="1:2">
      <c r="A517" s="2">
        <v>29553</v>
      </c>
      <c r="B517" s="1">
        <v>9.2899999999999991</v>
      </c>
    </row>
    <row r="518" spans="1:2">
      <c r="A518" s="2">
        <v>29522</v>
      </c>
      <c r="B518" s="1">
        <v>8.8800000000000008</v>
      </c>
    </row>
    <row r="519" spans="1:2">
      <c r="A519" s="2">
        <v>29492</v>
      </c>
      <c r="B519" s="1">
        <v>8.9499999999999993</v>
      </c>
    </row>
    <row r="520" spans="1:2">
      <c r="A520" s="2">
        <v>29461</v>
      </c>
      <c r="B520" s="1">
        <v>8.51</v>
      </c>
    </row>
    <row r="521" spans="1:2">
      <c r="A521" s="2">
        <v>29430</v>
      </c>
      <c r="B521" s="1">
        <v>8.43</v>
      </c>
    </row>
    <row r="522" spans="1:2">
      <c r="A522" s="2">
        <v>29400</v>
      </c>
      <c r="B522" s="1">
        <v>8.77</v>
      </c>
    </row>
    <row r="523" spans="1:2">
      <c r="A523" s="2">
        <v>29369</v>
      </c>
      <c r="B523" s="1">
        <v>9.82</v>
      </c>
    </row>
    <row r="524" spans="1:2">
      <c r="A524" s="2">
        <v>29339</v>
      </c>
      <c r="B524" s="1">
        <v>9.8000000000000007</v>
      </c>
    </row>
    <row r="525" spans="1:2">
      <c r="A525" s="2">
        <v>29308</v>
      </c>
      <c r="B525" s="1">
        <v>9.8699999999999992</v>
      </c>
    </row>
    <row r="526" spans="1:2">
      <c r="A526" s="2">
        <v>29279</v>
      </c>
      <c r="B526" s="1">
        <v>8.9499999999999993</v>
      </c>
    </row>
    <row r="527" spans="1:2">
      <c r="A527" s="2">
        <v>29248</v>
      </c>
      <c r="B527" s="1">
        <v>8.35</v>
      </c>
    </row>
    <row r="528" spans="1:2">
      <c r="A528" s="2">
        <v>29217</v>
      </c>
      <c r="B528" s="1">
        <v>8.6300000000000008</v>
      </c>
    </row>
    <row r="529" spans="1:2">
      <c r="A529" s="2">
        <v>29187</v>
      </c>
      <c r="B529" s="1">
        <v>8.57</v>
      </c>
    </row>
    <row r="530" spans="1:2">
      <c r="A530" s="2">
        <v>29156</v>
      </c>
      <c r="B530" s="1">
        <v>8.39</v>
      </c>
    </row>
    <row r="531" spans="1:2">
      <c r="A531" s="2">
        <v>29126</v>
      </c>
      <c r="B531" s="1">
        <v>7.42</v>
      </c>
    </row>
    <row r="532" spans="1:2">
      <c r="A532" s="2">
        <v>29095</v>
      </c>
      <c r="B532" s="1">
        <v>7.07</v>
      </c>
    </row>
    <row r="533" spans="1:2">
      <c r="A533" s="2">
        <v>29064</v>
      </c>
      <c r="B533" s="1">
        <v>6.07</v>
      </c>
    </row>
    <row r="534" spans="1:2">
      <c r="A534" s="2">
        <v>29034</v>
      </c>
      <c r="B534" s="1">
        <v>6.19</v>
      </c>
    </row>
    <row r="535" spans="1:2">
      <c r="A535" s="2">
        <v>29003</v>
      </c>
      <c r="B535" s="1">
        <v>6.26</v>
      </c>
    </row>
    <row r="536" spans="1:2">
      <c r="A536" s="2">
        <v>28973</v>
      </c>
      <c r="B536" s="1">
        <v>6.07</v>
      </c>
    </row>
    <row r="537" spans="1:2">
      <c r="A537" s="2">
        <v>28942</v>
      </c>
      <c r="B537" s="1">
        <v>5.56</v>
      </c>
    </row>
    <row r="538" spans="1:2">
      <c r="A538" s="2">
        <v>28914</v>
      </c>
      <c r="B538" s="1">
        <v>4.33</v>
      </c>
    </row>
    <row r="539" spans="1:2">
      <c r="A539" s="2">
        <v>28883</v>
      </c>
      <c r="B539" s="1">
        <v>3.2</v>
      </c>
    </row>
    <row r="540" spans="1:2">
      <c r="A540" s="2">
        <v>28852</v>
      </c>
      <c r="B540" s="1">
        <v>3.53</v>
      </c>
    </row>
    <row r="541" spans="1:2">
      <c r="A541" s="2">
        <v>28822</v>
      </c>
      <c r="B541" s="1">
        <v>3.93</v>
      </c>
    </row>
    <row r="542" spans="1:2">
      <c r="A542" s="2">
        <v>28791</v>
      </c>
      <c r="B542" s="1">
        <v>3.54</v>
      </c>
    </row>
    <row r="543" spans="1:2">
      <c r="A543" s="2">
        <v>28761</v>
      </c>
      <c r="B543" s="1">
        <v>3.61</v>
      </c>
    </row>
    <row r="544" spans="1:2">
      <c r="A544" s="2">
        <v>28730</v>
      </c>
      <c r="B544" s="1">
        <v>3.57</v>
      </c>
    </row>
    <row r="545" spans="1:2">
      <c r="A545" s="2">
        <v>28699</v>
      </c>
      <c r="B545" s="1">
        <v>5</v>
      </c>
    </row>
    <row r="546" spans="1:2">
      <c r="A546" s="2">
        <v>28669</v>
      </c>
      <c r="B546" s="1">
        <v>4.43</v>
      </c>
    </row>
    <row r="547" spans="1:2">
      <c r="A547" s="2">
        <v>28638</v>
      </c>
      <c r="B547" s="1">
        <v>6.12</v>
      </c>
    </row>
    <row r="548" spans="1:2">
      <c r="A548" s="2">
        <v>28608</v>
      </c>
      <c r="B548" s="1">
        <v>2.99</v>
      </c>
    </row>
    <row r="549" spans="1:2">
      <c r="A549" s="2">
        <v>28577</v>
      </c>
      <c r="B549" s="1">
        <v>3.13</v>
      </c>
    </row>
    <row r="550" spans="1:2">
      <c r="A550" s="2">
        <v>28549</v>
      </c>
      <c r="B550" s="1">
        <v>3.22</v>
      </c>
    </row>
    <row r="551" spans="1:2">
      <c r="A551" s="2">
        <v>28518</v>
      </c>
      <c r="B551" s="1">
        <v>5.67</v>
      </c>
    </row>
    <row r="552" spans="1:2">
      <c r="A552" s="2">
        <v>28487</v>
      </c>
      <c r="B552" s="1">
        <v>3.26</v>
      </c>
    </row>
    <row r="553" spans="1:2">
      <c r="A553" s="2">
        <v>28457</v>
      </c>
      <c r="B553" s="1">
        <v>3.75</v>
      </c>
    </row>
    <row r="554" spans="1:2">
      <c r="A554" s="2">
        <v>28426</v>
      </c>
      <c r="B554" s="1">
        <v>3.9</v>
      </c>
    </row>
    <row r="555" spans="1:2">
      <c r="A555" s="2">
        <v>28396</v>
      </c>
      <c r="B555" s="1">
        <v>3.94</v>
      </c>
    </row>
    <row r="556" spans="1:2">
      <c r="A556" s="2">
        <v>28365</v>
      </c>
      <c r="B556" s="1">
        <v>3.95</v>
      </c>
    </row>
    <row r="557" spans="1:2">
      <c r="A557" s="2">
        <v>28334</v>
      </c>
      <c r="B557" s="1">
        <v>4.29</v>
      </c>
    </row>
    <row r="558" spans="1:2">
      <c r="A558" s="2">
        <v>28304</v>
      </c>
      <c r="B558" s="1">
        <v>4.41</v>
      </c>
    </row>
    <row r="559" spans="1:2">
      <c r="A559" s="2">
        <v>28273</v>
      </c>
      <c r="B559" s="1">
        <v>4.5</v>
      </c>
    </row>
    <row r="560" spans="1:2">
      <c r="A560" s="2">
        <v>28243</v>
      </c>
      <c r="B560" s="1">
        <v>4.45</v>
      </c>
    </row>
    <row r="561" spans="1:2">
      <c r="A561" s="2">
        <v>28212</v>
      </c>
      <c r="B561" s="1">
        <v>4.4800000000000004</v>
      </c>
    </row>
    <row r="562" spans="1:2">
      <c r="A562" s="2">
        <v>28184</v>
      </c>
      <c r="B562" s="1">
        <v>4.46</v>
      </c>
    </row>
    <row r="563" spans="1:2">
      <c r="A563" s="2">
        <v>28153</v>
      </c>
      <c r="B563" s="1">
        <v>4.66</v>
      </c>
    </row>
    <row r="564" spans="1:2">
      <c r="A564" s="2">
        <v>28122</v>
      </c>
      <c r="B564" s="1">
        <v>5.56</v>
      </c>
    </row>
    <row r="565" spans="1:2">
      <c r="A565" s="2">
        <v>28092</v>
      </c>
      <c r="B565" s="1">
        <v>4.6900000000000004</v>
      </c>
    </row>
    <row r="566" spans="1:2">
      <c r="A566" s="2">
        <v>28061</v>
      </c>
      <c r="B566" s="1">
        <v>5.13</v>
      </c>
    </row>
    <row r="567" spans="1:2">
      <c r="A567" s="2">
        <v>28031</v>
      </c>
      <c r="B567" s="1">
        <v>4.7300000000000004</v>
      </c>
    </row>
    <row r="568" spans="1:2">
      <c r="A568" s="2">
        <v>28000</v>
      </c>
      <c r="B568" s="1">
        <v>5.0999999999999996</v>
      </c>
    </row>
    <row r="569" spans="1:2">
      <c r="A569" s="2">
        <v>27969</v>
      </c>
      <c r="B569" s="1">
        <v>5.19</v>
      </c>
    </row>
    <row r="570" spans="1:2">
      <c r="A570" s="2">
        <v>27939</v>
      </c>
      <c r="B570" s="1">
        <v>5.22</v>
      </c>
    </row>
    <row r="571" spans="1:2">
      <c r="A571" s="2">
        <v>27908</v>
      </c>
      <c r="B571" s="1">
        <v>5.9</v>
      </c>
    </row>
    <row r="572" spans="1:2">
      <c r="A572" s="2">
        <v>27878</v>
      </c>
      <c r="B572" s="1">
        <v>4.04</v>
      </c>
    </row>
    <row r="573" spans="1:2">
      <c r="A573" s="2">
        <v>27847</v>
      </c>
      <c r="B573" s="1">
        <v>5.4</v>
      </c>
    </row>
    <row r="574" spans="1:2">
      <c r="A574" s="2">
        <v>27818</v>
      </c>
      <c r="B574" s="1">
        <v>4.55</v>
      </c>
    </row>
    <row r="575" spans="1:2">
      <c r="A575" s="2">
        <v>27787</v>
      </c>
      <c r="B575" s="1">
        <v>5.1100000000000003</v>
      </c>
    </row>
    <row r="576" spans="1:2">
      <c r="A576" s="2">
        <v>27756</v>
      </c>
      <c r="B576" s="1">
        <v>5.74</v>
      </c>
    </row>
    <row r="577" spans="1:2">
      <c r="A577" s="2">
        <v>27726</v>
      </c>
      <c r="B577" s="1">
        <v>5.8</v>
      </c>
    </row>
    <row r="578" spans="1:2">
      <c r="A578" s="2">
        <v>27695</v>
      </c>
      <c r="B578" s="1">
        <v>7.56</v>
      </c>
    </row>
    <row r="579" spans="1:2">
      <c r="A579" s="2">
        <v>27665</v>
      </c>
      <c r="B579" s="1">
        <v>5.15</v>
      </c>
    </row>
    <row r="580" spans="1:2">
      <c r="A580" s="2">
        <v>27634</v>
      </c>
      <c r="B580" s="1">
        <v>4.45</v>
      </c>
    </row>
    <row r="581" spans="1:2">
      <c r="A581" s="2">
        <v>27603</v>
      </c>
      <c r="B581" s="1">
        <v>4.9000000000000004</v>
      </c>
    </row>
    <row r="582" spans="1:2">
      <c r="A582" s="2">
        <v>27573</v>
      </c>
      <c r="B582" s="1">
        <v>5.23</v>
      </c>
    </row>
    <row r="583" spans="1:2">
      <c r="A583" s="2">
        <v>27542</v>
      </c>
      <c r="B583" s="1">
        <v>5.25</v>
      </c>
    </row>
    <row r="584" spans="1:2">
      <c r="A584" s="2">
        <v>27512</v>
      </c>
      <c r="B584" s="1">
        <v>5.26</v>
      </c>
    </row>
    <row r="585" spans="1:2">
      <c r="A585" s="2">
        <v>27481</v>
      </c>
      <c r="B585" s="1">
        <v>6.32</v>
      </c>
    </row>
    <row r="586" spans="1:2">
      <c r="A586" s="2">
        <v>27453</v>
      </c>
      <c r="B586" s="1">
        <v>6.5</v>
      </c>
    </row>
    <row r="587" spans="1:2">
      <c r="A587" s="2">
        <v>27422</v>
      </c>
      <c r="B587" s="1">
        <v>7.84</v>
      </c>
    </row>
    <row r="588" spans="1:2">
      <c r="A588" s="2">
        <v>27391</v>
      </c>
      <c r="B588" s="1">
        <v>8.6999999999999993</v>
      </c>
    </row>
    <row r="589" spans="1:2">
      <c r="A589" s="2">
        <v>27361</v>
      </c>
      <c r="B589" s="1">
        <v>8.91</v>
      </c>
    </row>
    <row r="590" spans="1:2">
      <c r="A590" s="2">
        <v>27330</v>
      </c>
      <c r="B590" s="1">
        <v>9.15</v>
      </c>
    </row>
    <row r="591" spans="1:2">
      <c r="A591" s="2">
        <v>27300</v>
      </c>
      <c r="B591" s="1">
        <v>9.73</v>
      </c>
    </row>
    <row r="592" spans="1:2">
      <c r="A592" s="2">
        <v>27269</v>
      </c>
      <c r="B592" s="1">
        <v>9.69</v>
      </c>
    </row>
    <row r="593" spans="1:2">
      <c r="A593" s="2">
        <v>27238</v>
      </c>
      <c r="B593" s="1">
        <v>9.48</v>
      </c>
    </row>
    <row r="594" spans="1:2">
      <c r="A594" s="2">
        <v>27208</v>
      </c>
      <c r="B594" s="1">
        <v>13.25</v>
      </c>
    </row>
    <row r="595" spans="1:2">
      <c r="A595" s="2">
        <v>27177</v>
      </c>
      <c r="B595" s="1">
        <v>8.14</v>
      </c>
    </row>
    <row r="596" spans="1:2">
      <c r="A596" s="2">
        <v>27147</v>
      </c>
      <c r="B596" s="1">
        <v>9.98</v>
      </c>
    </row>
    <row r="597" spans="1:2">
      <c r="A597" s="2">
        <v>27116</v>
      </c>
      <c r="B597" s="1">
        <v>10.029999999999999</v>
      </c>
    </row>
    <row r="598" spans="1:2">
      <c r="A598" s="2">
        <v>27088</v>
      </c>
      <c r="B598" s="1">
        <v>10.66</v>
      </c>
    </row>
    <row r="599" spans="1:2">
      <c r="A599" s="2">
        <v>27057</v>
      </c>
      <c r="B599" s="1">
        <v>9.48</v>
      </c>
    </row>
    <row r="600" spans="1:2">
      <c r="A600" s="2">
        <v>27026</v>
      </c>
      <c r="B600" s="1">
        <v>11.31</v>
      </c>
    </row>
    <row r="601" spans="1:2">
      <c r="A601" s="2">
        <v>26996</v>
      </c>
      <c r="B601" s="1">
        <v>10.7</v>
      </c>
    </row>
    <row r="602" spans="1:2">
      <c r="A602" s="2">
        <v>26965</v>
      </c>
      <c r="B602" s="1">
        <v>6.22</v>
      </c>
    </row>
    <row r="603" spans="1:2">
      <c r="A603" s="2">
        <v>26935</v>
      </c>
      <c r="B603" s="1">
        <v>9.24</v>
      </c>
    </row>
    <row r="604" spans="1:2">
      <c r="A604" s="2">
        <v>26904</v>
      </c>
      <c r="B604" s="1">
        <v>8.84</v>
      </c>
    </row>
    <row r="605" spans="1:2">
      <c r="A605" s="2">
        <v>26873</v>
      </c>
      <c r="B605" s="1">
        <v>9.99</v>
      </c>
    </row>
    <row r="606" spans="1:2">
      <c r="A606" s="2">
        <v>26843</v>
      </c>
      <c r="B606" s="1">
        <v>15.01</v>
      </c>
    </row>
    <row r="607" spans="1:2">
      <c r="A607" s="2">
        <v>26812</v>
      </c>
      <c r="B607" s="1">
        <v>8.57</v>
      </c>
    </row>
    <row r="608" spans="1:2">
      <c r="A608" s="2">
        <v>26782</v>
      </c>
      <c r="B608" s="1">
        <v>6.13</v>
      </c>
    </row>
    <row r="609" spans="1:2">
      <c r="A609" s="2">
        <v>26751</v>
      </c>
      <c r="B609" s="1">
        <v>6.27</v>
      </c>
    </row>
    <row r="610" spans="1:2">
      <c r="A610" s="2">
        <v>26723</v>
      </c>
      <c r="B610" s="1">
        <v>9.91</v>
      </c>
    </row>
    <row r="611" spans="1:2">
      <c r="A611" s="2">
        <v>26694</v>
      </c>
      <c r="B611" s="1">
        <v>6.18</v>
      </c>
    </row>
    <row r="612" spans="1:2">
      <c r="A612" s="2">
        <v>26663</v>
      </c>
      <c r="B612" s="1">
        <v>5.26</v>
      </c>
    </row>
    <row r="613" spans="1:2">
      <c r="A613" s="2">
        <v>26633</v>
      </c>
      <c r="B613" s="1">
        <v>13.64</v>
      </c>
    </row>
    <row r="614" spans="1:2">
      <c r="A614" s="2">
        <v>26602</v>
      </c>
      <c r="B614" s="1">
        <v>6.86</v>
      </c>
    </row>
    <row r="615" spans="1:2">
      <c r="A615" s="2">
        <v>26572</v>
      </c>
      <c r="B615" s="1">
        <v>12.2</v>
      </c>
    </row>
    <row r="616" spans="1:2">
      <c r="A616" s="2"/>
      <c r="B616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78C2-61F6-E04C-8138-EC78E963CE3B}">
  <dimension ref="A1:B57"/>
  <sheetViews>
    <sheetView workbookViewId="0">
      <selection activeCell="A3" sqref="A3:B57"/>
    </sheetView>
  </sheetViews>
  <sheetFormatPr baseColWidth="10" defaultRowHeight="16"/>
  <sheetData>
    <row r="1" spans="1:2">
      <c r="A1" s="4" t="s">
        <v>5</v>
      </c>
    </row>
    <row r="2" spans="1:2">
      <c r="A2" s="4" t="s">
        <v>1</v>
      </c>
      <c r="B2" t="s">
        <v>2</v>
      </c>
    </row>
    <row r="3" spans="1:2">
      <c r="A3" s="3">
        <v>36161</v>
      </c>
      <c r="B3">
        <v>2</v>
      </c>
    </row>
    <row r="4" spans="1:2">
      <c r="A4" s="3">
        <v>36164</v>
      </c>
      <c r="B4">
        <v>2.75</v>
      </c>
    </row>
    <row r="5" spans="1:2">
      <c r="A5" s="3">
        <v>36182</v>
      </c>
      <c r="B5">
        <v>2</v>
      </c>
    </row>
    <row r="6" spans="1:2">
      <c r="A6" s="3">
        <v>36259</v>
      </c>
      <c r="B6">
        <v>1.5</v>
      </c>
    </row>
    <row r="7" spans="1:2">
      <c r="A7" s="3">
        <v>36469</v>
      </c>
      <c r="B7">
        <v>2</v>
      </c>
    </row>
    <row r="8" spans="1:2">
      <c r="A8" s="3">
        <v>36560</v>
      </c>
      <c r="B8">
        <v>2.25</v>
      </c>
    </row>
    <row r="9" spans="1:2">
      <c r="A9" s="3">
        <v>36602</v>
      </c>
      <c r="B9">
        <v>2.5</v>
      </c>
    </row>
    <row r="10" spans="1:2">
      <c r="A10" s="3">
        <v>36644</v>
      </c>
      <c r="B10">
        <v>2.75</v>
      </c>
    </row>
    <row r="11" spans="1:2">
      <c r="A11" s="3">
        <v>36686</v>
      </c>
      <c r="B11">
        <v>3.25</v>
      </c>
    </row>
    <row r="12" spans="1:2">
      <c r="A12" s="3">
        <v>36705</v>
      </c>
      <c r="B12">
        <v>3.25</v>
      </c>
    </row>
    <row r="13" spans="1:2">
      <c r="A13" s="3">
        <v>36770</v>
      </c>
      <c r="B13">
        <v>3.5</v>
      </c>
    </row>
    <row r="14" spans="1:2">
      <c r="A14" s="3">
        <v>36805</v>
      </c>
      <c r="B14">
        <v>3.75</v>
      </c>
    </row>
    <row r="15" spans="1:2">
      <c r="A15" s="3">
        <v>37022</v>
      </c>
      <c r="B15">
        <v>3.5</v>
      </c>
    </row>
    <row r="16" spans="1:2">
      <c r="A16" s="3">
        <v>37134</v>
      </c>
      <c r="B16">
        <v>3.25</v>
      </c>
    </row>
    <row r="17" spans="1:2">
      <c r="A17" s="3">
        <v>37152</v>
      </c>
      <c r="B17">
        <v>2.75</v>
      </c>
    </row>
    <row r="18" spans="1:2">
      <c r="A18" s="3">
        <v>37204</v>
      </c>
      <c r="B18">
        <v>2.25</v>
      </c>
    </row>
    <row r="19" spans="1:2">
      <c r="A19" s="3">
        <v>37596</v>
      </c>
      <c r="B19">
        <v>1.75</v>
      </c>
    </row>
    <row r="20" spans="1:2">
      <c r="A20" s="3">
        <v>37687</v>
      </c>
      <c r="B20">
        <v>1.5</v>
      </c>
    </row>
    <row r="21" spans="1:2">
      <c r="A21" s="3">
        <v>37778</v>
      </c>
      <c r="B21">
        <v>1</v>
      </c>
    </row>
    <row r="22" spans="1:2">
      <c r="A22" s="3">
        <v>38692</v>
      </c>
      <c r="B22">
        <v>1.25</v>
      </c>
    </row>
    <row r="23" spans="1:2">
      <c r="A23" s="3">
        <v>38784</v>
      </c>
      <c r="B23">
        <v>1.5</v>
      </c>
    </row>
    <row r="24" spans="1:2">
      <c r="A24" s="3">
        <v>38883</v>
      </c>
      <c r="B24">
        <v>1.75</v>
      </c>
    </row>
    <row r="25" spans="1:2">
      <c r="A25" s="3">
        <v>38938</v>
      </c>
      <c r="B25">
        <v>2</v>
      </c>
    </row>
    <row r="26" spans="1:2">
      <c r="A26" s="3">
        <v>39001</v>
      </c>
      <c r="B26">
        <v>2.25</v>
      </c>
    </row>
    <row r="27" spans="1:2">
      <c r="A27" s="3">
        <v>39064</v>
      </c>
      <c r="B27">
        <v>2.5</v>
      </c>
    </row>
    <row r="28" spans="1:2">
      <c r="A28" s="3">
        <v>39155</v>
      </c>
      <c r="B28">
        <v>2.75</v>
      </c>
    </row>
    <row r="29" spans="1:2">
      <c r="A29" s="3">
        <v>39246</v>
      </c>
      <c r="B29">
        <v>3</v>
      </c>
    </row>
    <row r="30" spans="1:2">
      <c r="A30" s="3">
        <v>39638</v>
      </c>
      <c r="B30">
        <v>3.25</v>
      </c>
    </row>
    <row r="31" spans="1:2">
      <c r="A31" s="3">
        <v>39729</v>
      </c>
      <c r="B31">
        <v>2.75</v>
      </c>
    </row>
    <row r="32" spans="1:2">
      <c r="A32" s="3">
        <v>39730</v>
      </c>
      <c r="B32">
        <v>3.25</v>
      </c>
    </row>
    <row r="33" spans="1:2">
      <c r="A33" s="3">
        <v>39736</v>
      </c>
      <c r="B33">
        <v>3.25</v>
      </c>
    </row>
    <row r="34" spans="1:2">
      <c r="A34" s="3">
        <v>39764</v>
      </c>
      <c r="B34">
        <v>2.75</v>
      </c>
    </row>
    <row r="35" spans="1:2">
      <c r="A35" s="3">
        <v>39792</v>
      </c>
      <c r="B35">
        <v>2</v>
      </c>
    </row>
    <row r="36" spans="1:2">
      <c r="A36" s="3">
        <v>39834</v>
      </c>
      <c r="B36">
        <v>1</v>
      </c>
    </row>
    <row r="37" spans="1:2">
      <c r="A37" s="3">
        <v>39883</v>
      </c>
      <c r="B37">
        <v>0.5</v>
      </c>
    </row>
    <row r="38" spans="1:2">
      <c r="A38" s="3">
        <v>39911</v>
      </c>
      <c r="B38">
        <v>0.25</v>
      </c>
    </row>
    <row r="39" spans="1:2">
      <c r="A39" s="3">
        <v>39946</v>
      </c>
      <c r="B39">
        <v>0.25</v>
      </c>
    </row>
    <row r="40" spans="1:2">
      <c r="A40" s="3">
        <v>40646</v>
      </c>
      <c r="B40">
        <v>0.5</v>
      </c>
    </row>
    <row r="41" spans="1:2">
      <c r="A41" s="3">
        <v>40737</v>
      </c>
      <c r="B41">
        <v>0.75</v>
      </c>
    </row>
    <row r="42" spans="1:2">
      <c r="A42" s="3">
        <v>40856</v>
      </c>
      <c r="B42">
        <v>0.5</v>
      </c>
    </row>
    <row r="43" spans="1:2">
      <c r="A43" s="3">
        <v>40891</v>
      </c>
      <c r="B43">
        <v>0.25</v>
      </c>
    </row>
    <row r="44" spans="1:2">
      <c r="A44" s="3">
        <v>41101</v>
      </c>
      <c r="B44">
        <v>0</v>
      </c>
    </row>
    <row r="45" spans="1:2">
      <c r="A45" s="3">
        <v>41402</v>
      </c>
      <c r="B45">
        <v>0</v>
      </c>
    </row>
    <row r="46" spans="1:2">
      <c r="A46" s="3">
        <v>41591</v>
      </c>
      <c r="B46">
        <v>0</v>
      </c>
    </row>
    <row r="47" spans="1:2">
      <c r="A47" s="3">
        <v>41801</v>
      </c>
      <c r="B47">
        <v>-0.1</v>
      </c>
    </row>
    <row r="48" spans="1:2">
      <c r="A48" s="3">
        <v>41892</v>
      </c>
      <c r="B48">
        <v>-0.2</v>
      </c>
    </row>
    <row r="49" spans="1:2">
      <c r="A49" s="3">
        <v>42347</v>
      </c>
      <c r="B49">
        <v>-0.3</v>
      </c>
    </row>
    <row r="50" spans="1:2">
      <c r="A50" s="3">
        <v>42445</v>
      </c>
      <c r="B50">
        <v>-0.4</v>
      </c>
    </row>
    <row r="51" spans="1:2">
      <c r="A51" s="3">
        <v>43726</v>
      </c>
      <c r="B51">
        <v>-0.5</v>
      </c>
    </row>
    <row r="52" spans="1:2">
      <c r="A52" s="3">
        <v>44769</v>
      </c>
      <c r="B52">
        <v>0</v>
      </c>
    </row>
    <row r="53" spans="1:2">
      <c r="A53" s="3">
        <v>44818</v>
      </c>
      <c r="B53">
        <v>0.75</v>
      </c>
    </row>
    <row r="54" spans="1:2">
      <c r="A54" s="3">
        <v>44867</v>
      </c>
      <c r="B54">
        <v>1.5</v>
      </c>
    </row>
    <row r="55" spans="1:2">
      <c r="A55" s="3">
        <v>44916</v>
      </c>
      <c r="B55">
        <v>2</v>
      </c>
    </row>
    <row r="56" spans="1:2">
      <c r="A56" s="3">
        <v>44965</v>
      </c>
      <c r="B56">
        <v>2.5</v>
      </c>
    </row>
    <row r="57" spans="1:2">
      <c r="A57" s="3">
        <v>45007</v>
      </c>
      <c r="B57">
        <v>3</v>
      </c>
    </row>
  </sheetData>
  <sortState xmlns:xlrd2="http://schemas.microsoft.com/office/spreadsheetml/2017/richdata2" ref="A3:B57">
    <sortCondition ref="A3:A57"/>
  </sortState>
  <hyperlinks>
    <hyperlink ref="A1" r:id="rId1" xr:uid="{F6881C51-E6E5-644A-B5FC-D83980FD18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Cost of Payments</vt:lpstr>
      <vt:lpstr>Deposit Rate</vt:lpstr>
      <vt:lpstr>Loan Rate Original</vt:lpstr>
      <vt:lpstr>Loan Rate</vt:lpstr>
      <vt:lpstr>Loan Rate C</vt:lpstr>
      <vt:lpstr>M1</vt:lpstr>
      <vt:lpstr>MRR</vt:lpstr>
      <vt:lpstr>Commercial Loan Rate Original</vt:lpstr>
      <vt:lpstr>Commercial Loan Rate</vt:lpstr>
      <vt:lpstr>Total Assets</vt:lpstr>
      <vt:lpstr>Deposit Cost</vt:lpstr>
      <vt:lpstr>Inflation</vt:lpstr>
      <vt:lpstr>GDP</vt:lpstr>
      <vt:lpstr>Yield5M</vt:lpstr>
      <vt:lpstr>ECB 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Venturi, Giulio Carlo</dc:creator>
  <cp:keywords/>
  <dc:description/>
  <cp:lastModifiedBy>Venturi, Giulio Carlo</cp:lastModifiedBy>
  <dcterms:created xsi:type="dcterms:W3CDTF">2023-10-06T09:35:31Z</dcterms:created>
  <dcterms:modified xsi:type="dcterms:W3CDTF">2023-11-17T10:39:29Z</dcterms:modified>
  <cp:category/>
</cp:coreProperties>
</file>