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iuliocarloventuri/Documents/Imperial College/CBDC_Paper/Payment Systems/Code/UK_costless/"/>
    </mc:Choice>
  </mc:AlternateContent>
  <xr:revisionPtr revIDLastSave="0" documentId="13_ncr:1_{5D1E7177-6F6A-704A-AAE6-146A7275C317}" xr6:coauthVersionLast="47" xr6:coauthVersionMax="47" xr10:uidLastSave="{00000000-0000-0000-0000-000000000000}"/>
  <bookViews>
    <workbookView xWindow="47560" yWindow="11680" windowWidth="27240" windowHeight="23520" activeTab="6" xr2:uid="{D6C7EDB9-2C02-F740-9D58-1E858AA5A244}"/>
  </bookViews>
  <sheets>
    <sheet name="GDP" sheetId="2" r:id="rId1"/>
    <sheet name="M1" sheetId="4" r:id="rId2"/>
    <sheet name="Inflation" sheetId="3" r:id="rId3"/>
    <sheet name="Commercial Loan Rate" sheetId="5" r:id="rId4"/>
    <sheet name="Deposit Cost" sheetId="6" r:id="rId5"/>
    <sheet name="CB Cost" sheetId="14" r:id="rId6"/>
    <sheet name="Deposits" sheetId="15" r:id="rId7"/>
    <sheet name="Assets" sheetId="11" r:id="rId8"/>
    <sheet name="Payments" sheetId="12" r:id="rId9"/>
    <sheet name="Online Retail" sheetId="13" r:id="rId10"/>
    <sheet name="Yield5M" sheetId="7" r:id="rId11"/>
    <sheet name="Loan Rate" sheetId="8" r:id="rId12"/>
    <sheet name="Bank Rate" sheetId="9" r:id="rId13"/>
    <sheet name="Deposit Rate" sheetId="10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14" l="1"/>
  <c r="A4" i="14" s="1"/>
  <c r="A5" i="14" s="1"/>
  <c r="A6" i="14" s="1"/>
  <c r="A7" i="14" s="1"/>
  <c r="A8" i="14" s="1"/>
  <c r="A9" i="14" s="1"/>
  <c r="A10" i="14" s="1"/>
  <c r="A11" i="14" s="1"/>
  <c r="A12" i="14" s="1"/>
  <c r="A13" i="14" s="1"/>
  <c r="A14" i="14" s="1"/>
  <c r="A15" i="14" s="1"/>
  <c r="A16" i="14" s="1"/>
  <c r="A17" i="14" s="1"/>
  <c r="A18" i="14" s="1"/>
  <c r="A19" i="14" s="1"/>
  <c r="A20" i="14" s="1"/>
  <c r="A21" i="14" s="1"/>
  <c r="A22" i="14" s="1"/>
  <c r="A23" i="14" s="1"/>
  <c r="A24" i="14" s="1"/>
  <c r="A25" i="14" s="1"/>
  <c r="B10" i="12"/>
  <c r="E11" i="12"/>
  <c r="H11" i="12" s="1"/>
  <c r="C11" i="12"/>
  <c r="D11" i="12"/>
  <c r="F11" i="12"/>
  <c r="G11" i="12"/>
  <c r="B11" i="12"/>
  <c r="G10" i="12"/>
  <c r="C9" i="12"/>
  <c r="C10" i="12" s="1"/>
  <c r="D9" i="12"/>
  <c r="D10" i="12" s="1"/>
  <c r="E9" i="12"/>
  <c r="E10" i="12" s="1"/>
  <c r="F9" i="12"/>
  <c r="F10" i="12" s="1"/>
  <c r="G9" i="12"/>
  <c r="B9" i="12"/>
  <c r="A5" i="10"/>
  <c r="A6" i="10" s="1"/>
  <c r="A7" i="10" s="1"/>
  <c r="A8" i="10" s="1"/>
  <c r="A9" i="10" s="1"/>
  <c r="A10" i="10" s="1"/>
  <c r="A11" i="10" s="1"/>
  <c r="A12" i="10" s="1"/>
  <c r="A13" i="10" s="1"/>
  <c r="A14" i="10" s="1"/>
  <c r="A15" i="10" s="1"/>
  <c r="A16" i="10" s="1"/>
  <c r="A17" i="10" s="1"/>
  <c r="A18" i="10" s="1"/>
  <c r="A19" i="10" s="1"/>
  <c r="A20" i="10" s="1"/>
  <c r="A21" i="10" s="1"/>
  <c r="A22" i="10" s="1"/>
  <c r="A23" i="10" s="1"/>
  <c r="A24" i="10" s="1"/>
  <c r="A25" i="10" s="1"/>
  <c r="A26" i="10" s="1"/>
  <c r="A27" i="10" s="1"/>
  <c r="A28" i="10" s="1"/>
  <c r="A29" i="10" s="1"/>
  <c r="A30" i="10" s="1"/>
  <c r="A31" i="10" s="1"/>
  <c r="A32" i="10" s="1"/>
  <c r="A33" i="10" s="1"/>
  <c r="A34" i="10" s="1"/>
  <c r="A35" i="10" s="1"/>
  <c r="A36" i="10" s="1"/>
  <c r="A37" i="10" s="1"/>
  <c r="A38" i="10" s="1"/>
  <c r="A39" i="10" s="1"/>
  <c r="A40" i="10" s="1"/>
  <c r="A41" i="10" s="1"/>
  <c r="A42" i="10" s="1"/>
  <c r="A43" i="10" s="1"/>
  <c r="A44" i="10" s="1"/>
  <c r="A45" i="10" s="1"/>
  <c r="A46" i="10" s="1"/>
  <c r="A47" i="10" s="1"/>
  <c r="A48" i="10" s="1"/>
  <c r="A49" i="10" s="1"/>
  <c r="A50" i="10" s="1"/>
  <c r="A51" i="10" s="1"/>
  <c r="A52" i="10" s="1"/>
  <c r="A53" i="10" s="1"/>
  <c r="A54" i="10" s="1"/>
  <c r="A55" i="10" s="1"/>
  <c r="A56" i="10" s="1"/>
  <c r="A57" i="10" s="1"/>
  <c r="A58" i="10" s="1"/>
  <c r="A59" i="10" s="1"/>
  <c r="A60" i="10" s="1"/>
  <c r="A61" i="10" s="1"/>
  <c r="A62" i="10" s="1"/>
  <c r="A63" i="10" s="1"/>
  <c r="A64" i="10" s="1"/>
  <c r="A65" i="10" s="1"/>
  <c r="A66" i="10" s="1"/>
  <c r="A67" i="10" s="1"/>
  <c r="A68" i="10" s="1"/>
  <c r="A69" i="10" s="1"/>
  <c r="A70" i="10" s="1"/>
  <c r="A71" i="10" s="1"/>
  <c r="A72" i="10" s="1"/>
  <c r="A73" i="10" s="1"/>
  <c r="A74" i="10" s="1"/>
  <c r="A75" i="10" s="1"/>
  <c r="A76" i="10" s="1"/>
  <c r="A77" i="10" s="1"/>
  <c r="A78" i="10" s="1"/>
  <c r="A79" i="10" s="1"/>
  <c r="A80" i="10" s="1"/>
  <c r="A81" i="10" s="1"/>
  <c r="A82" i="10" s="1"/>
  <c r="A83" i="10" s="1"/>
  <c r="A84" i="10" s="1"/>
  <c r="A85" i="10" s="1"/>
  <c r="A86" i="10" s="1"/>
  <c r="A87" i="10" s="1"/>
  <c r="A88" i="10" s="1"/>
  <c r="A89" i="10" s="1"/>
  <c r="A90" i="10" s="1"/>
  <c r="A91" i="10" s="1"/>
  <c r="A92" i="10" s="1"/>
  <c r="A93" i="10" s="1"/>
  <c r="A94" i="10" s="1"/>
  <c r="A95" i="10" s="1"/>
  <c r="A96" i="10" s="1"/>
  <c r="A97" i="10" s="1"/>
  <c r="A98" i="10" s="1"/>
  <c r="A99" i="10" s="1"/>
  <c r="A100" i="10" s="1"/>
  <c r="A101" i="10" s="1"/>
  <c r="A102" i="10" s="1"/>
  <c r="A103" i="10" s="1"/>
  <c r="A104" i="10" s="1"/>
  <c r="A105" i="10" s="1"/>
  <c r="A106" i="10" s="1"/>
  <c r="A107" i="10" s="1"/>
  <c r="A108" i="10" s="1"/>
  <c r="A109" i="10" s="1"/>
  <c r="A110" i="10" s="1"/>
  <c r="A111" i="10" s="1"/>
  <c r="A112" i="10" s="1"/>
  <c r="A113" i="10" s="1"/>
  <c r="A114" i="10" s="1"/>
  <c r="A115" i="10" s="1"/>
  <c r="A116" i="10" s="1"/>
  <c r="A117" i="10" s="1"/>
  <c r="A118" i="10" s="1"/>
  <c r="A119" i="10" s="1"/>
  <c r="A120" i="10" s="1"/>
  <c r="A121" i="10" s="1"/>
  <c r="A122" i="10" s="1"/>
  <c r="A123" i="10" s="1"/>
  <c r="A124" i="10" s="1"/>
  <c r="A125" i="10" s="1"/>
  <c r="A126" i="10" s="1"/>
  <c r="A127" i="10" s="1"/>
  <c r="A128" i="10" s="1"/>
  <c r="A129" i="10" s="1"/>
  <c r="A130" i="10" s="1"/>
  <c r="A131" i="10" s="1"/>
  <c r="A132" i="10" s="1"/>
  <c r="A133" i="10" s="1"/>
  <c r="A134" i="10" s="1"/>
  <c r="A135" i="10" s="1"/>
  <c r="A136" i="10" s="1"/>
  <c r="A137" i="10" s="1"/>
  <c r="A138" i="10" s="1"/>
  <c r="A139" i="10" s="1"/>
  <c r="A140" i="10" s="1"/>
  <c r="A141" i="10" s="1"/>
  <c r="A142" i="10" s="1"/>
  <c r="A143" i="10" s="1"/>
  <c r="A144" i="10" s="1"/>
  <c r="A145" i="10" s="1"/>
  <c r="A146" i="10" s="1"/>
  <c r="A147" i="10" s="1"/>
  <c r="A148" i="10" s="1"/>
  <c r="A149" i="10" s="1"/>
  <c r="A150" i="10" s="1"/>
  <c r="A151" i="10" s="1"/>
  <c r="A152" i="10" s="1"/>
  <c r="A153" i="10" s="1"/>
  <c r="A154" i="10" s="1"/>
  <c r="A155" i="10" s="1"/>
  <c r="A156" i="10" s="1"/>
  <c r="A157" i="10" s="1"/>
  <c r="A158" i="10" s="1"/>
  <c r="A159" i="10" s="1"/>
  <c r="A160" i="10" s="1"/>
  <c r="A161" i="10" s="1"/>
  <c r="A162" i="10" s="1"/>
  <c r="A163" i="10" s="1"/>
  <c r="A164" i="10" s="1"/>
  <c r="A165" i="10" s="1"/>
  <c r="A166" i="10" s="1"/>
  <c r="A167" i="10" s="1"/>
  <c r="A168" i="10" s="1"/>
  <c r="A169" i="10" s="1"/>
  <c r="A170" i="10" s="1"/>
  <c r="A171" i="10" s="1"/>
  <c r="A172" i="10" s="1"/>
  <c r="A173" i="10" s="1"/>
  <c r="A174" i="10" s="1"/>
  <c r="A175" i="10" s="1"/>
  <c r="A176" i="10" s="1"/>
  <c r="A177" i="10" s="1"/>
  <c r="A178" i="10" s="1"/>
  <c r="A179" i="10" s="1"/>
  <c r="A180" i="10" s="1"/>
  <c r="A181" i="10" s="1"/>
  <c r="A182" i="10" s="1"/>
  <c r="A183" i="10" s="1"/>
  <c r="A184" i="10" s="1"/>
  <c r="A185" i="10" s="1"/>
  <c r="A186" i="10" s="1"/>
  <c r="A187" i="10" s="1"/>
  <c r="A188" i="10" s="1"/>
  <c r="A189" i="10" s="1"/>
  <c r="A190" i="10" s="1"/>
  <c r="A191" i="10" s="1"/>
  <c r="A192" i="10" s="1"/>
  <c r="A193" i="10" s="1"/>
  <c r="A194" i="10" s="1"/>
  <c r="A195" i="10" s="1"/>
  <c r="A196" i="10" s="1"/>
  <c r="A197" i="10" s="1"/>
  <c r="A198" i="10" s="1"/>
  <c r="A199" i="10" s="1"/>
  <c r="A200" i="10" s="1"/>
  <c r="A201" i="10" s="1"/>
  <c r="A202" i="10" s="1"/>
  <c r="A203" i="10" s="1"/>
  <c r="A204" i="10" s="1"/>
  <c r="A205" i="10" s="1"/>
  <c r="A206" i="10" s="1"/>
  <c r="A207" i="10" s="1"/>
  <c r="A208" i="10" s="1"/>
  <c r="A209" i="10" s="1"/>
  <c r="A210" i="10" s="1"/>
  <c r="A211" i="10" s="1"/>
  <c r="A212" i="10" s="1"/>
  <c r="A213" i="10" s="1"/>
  <c r="A214" i="10" s="1"/>
  <c r="A215" i="10" s="1"/>
  <c r="A216" i="10" s="1"/>
  <c r="A217" i="10" s="1"/>
  <c r="A218" i="10" s="1"/>
  <c r="A219" i="10" s="1"/>
  <c r="A220" i="10" s="1"/>
  <c r="A221" i="10" s="1"/>
  <c r="A222" i="10" s="1"/>
  <c r="A223" i="10" s="1"/>
  <c r="A224" i="10" s="1"/>
  <c r="A225" i="10" s="1"/>
  <c r="A226" i="10" s="1"/>
  <c r="A227" i="10" s="1"/>
  <c r="A228" i="10" s="1"/>
  <c r="A229" i="10" s="1"/>
  <c r="A230" i="10" s="1"/>
  <c r="A231" i="10" s="1"/>
  <c r="A232" i="10" s="1"/>
  <c r="A233" i="10" s="1"/>
  <c r="A234" i="10" s="1"/>
  <c r="A235" i="10" s="1"/>
  <c r="A236" i="10" s="1"/>
  <c r="A237" i="10" s="1"/>
  <c r="A238" i="10" s="1"/>
  <c r="A239" i="10" s="1"/>
  <c r="A240" i="10" s="1"/>
  <c r="A241" i="10" s="1"/>
  <c r="A242" i="10" s="1"/>
  <c r="A243" i="10" s="1"/>
  <c r="A244" i="10" s="1"/>
  <c r="A245" i="10" s="1"/>
  <c r="A246" i="10" s="1"/>
  <c r="A247" i="10" s="1"/>
  <c r="A248" i="10" s="1"/>
  <c r="A249" i="10" s="1"/>
  <c r="A250" i="10" s="1"/>
  <c r="A251" i="10" s="1"/>
  <c r="A252" i="10" s="1"/>
  <c r="A253" i="10" s="1"/>
  <c r="A254" i="10" s="1"/>
  <c r="A255" i="10" s="1"/>
  <c r="A256" i="10" s="1"/>
  <c r="A257" i="10" s="1"/>
  <c r="A258" i="10" s="1"/>
  <c r="A259" i="10" s="1"/>
  <c r="A260" i="10" s="1"/>
  <c r="A261" i="10" s="1"/>
  <c r="A262" i="10" s="1"/>
  <c r="A263" i="10" s="1"/>
  <c r="A264" i="10" s="1"/>
  <c r="A265" i="10" s="1"/>
  <c r="A266" i="10" s="1"/>
  <c r="A267" i="10" s="1"/>
  <c r="A268" i="10" s="1"/>
  <c r="A269" i="10" s="1"/>
  <c r="A270" i="10" s="1"/>
  <c r="A271" i="10" s="1"/>
  <c r="A272" i="10" s="1"/>
  <c r="A273" i="10" s="1"/>
  <c r="A274" i="10" s="1"/>
  <c r="A275" i="10" s="1"/>
  <c r="A276" i="10" s="1"/>
  <c r="A277" i="10" s="1"/>
  <c r="A278" i="10" s="1"/>
  <c r="A279" i="10" s="1"/>
  <c r="A280" i="10" s="1"/>
  <c r="A281" i="10" s="1"/>
  <c r="A282" i="10" s="1"/>
  <c r="A283" i="10" s="1"/>
  <c r="A284" i="10" s="1"/>
  <c r="A285" i="10" s="1"/>
  <c r="A286" i="10" s="1"/>
  <c r="A287" i="10" s="1"/>
  <c r="A288" i="10" s="1"/>
  <c r="A289" i="10" s="1"/>
  <c r="A290" i="10" s="1"/>
  <c r="A291" i="10" s="1"/>
  <c r="A292" i="10" s="1"/>
  <c r="A293" i="10" s="1"/>
  <c r="A294" i="10" s="1"/>
  <c r="A295" i="10" s="1"/>
  <c r="A296" i="10" s="1"/>
  <c r="A297" i="10" s="1"/>
  <c r="A298" i="10" s="1"/>
  <c r="A4" i="10"/>
  <c r="E4" i="5"/>
  <c r="F4" i="5"/>
  <c r="E5" i="5"/>
  <c r="F5" i="5"/>
  <c r="E6" i="5"/>
  <c r="F6" i="5"/>
  <c r="E7" i="5"/>
  <c r="F7" i="5"/>
  <c r="E8" i="5"/>
  <c r="F8" i="5"/>
  <c r="E9" i="5"/>
  <c r="F9" i="5"/>
  <c r="E10" i="5"/>
  <c r="F10" i="5"/>
  <c r="E11" i="5"/>
  <c r="F11" i="5"/>
  <c r="E12" i="5"/>
  <c r="F12" i="5"/>
  <c r="E13" i="5"/>
  <c r="F13" i="5"/>
  <c r="E14" i="5"/>
  <c r="F14" i="5"/>
  <c r="E15" i="5"/>
  <c r="F15" i="5"/>
  <c r="E16" i="5"/>
  <c r="F16" i="5"/>
  <c r="E17" i="5"/>
  <c r="F17" i="5"/>
  <c r="E18" i="5"/>
  <c r="F18" i="5"/>
  <c r="E19" i="5"/>
  <c r="F19" i="5"/>
  <c r="E20" i="5"/>
  <c r="F20" i="5"/>
  <c r="E21" i="5"/>
  <c r="F21" i="5"/>
  <c r="E22" i="5"/>
  <c r="F22" i="5"/>
  <c r="E23" i="5"/>
  <c r="F23" i="5"/>
  <c r="E24" i="5"/>
  <c r="F24" i="5"/>
  <c r="E25" i="5"/>
  <c r="F25" i="5"/>
  <c r="E26" i="5"/>
  <c r="F26" i="5"/>
  <c r="E27" i="5"/>
  <c r="F27" i="5"/>
  <c r="E28" i="5"/>
  <c r="F28" i="5"/>
  <c r="E29" i="5"/>
  <c r="F29" i="5"/>
  <c r="E30" i="5"/>
  <c r="F30" i="5"/>
  <c r="E31" i="5"/>
  <c r="F31" i="5"/>
  <c r="E32" i="5"/>
  <c r="F32" i="5"/>
  <c r="E33" i="5"/>
  <c r="F33" i="5"/>
  <c r="E34" i="5"/>
  <c r="F34" i="5"/>
  <c r="E35" i="5"/>
  <c r="F35" i="5"/>
  <c r="E36" i="5"/>
  <c r="F36" i="5"/>
  <c r="E37" i="5"/>
  <c r="F37" i="5"/>
  <c r="E38" i="5"/>
  <c r="F38" i="5"/>
  <c r="E39" i="5"/>
  <c r="F39" i="5"/>
  <c r="E40" i="5"/>
  <c r="F40" i="5"/>
  <c r="E41" i="5"/>
  <c r="F41" i="5"/>
  <c r="E42" i="5"/>
  <c r="F42" i="5"/>
  <c r="E43" i="5"/>
  <c r="F43" i="5"/>
  <c r="E44" i="5"/>
  <c r="F44" i="5"/>
  <c r="E45" i="5"/>
  <c r="F45" i="5"/>
  <c r="E46" i="5"/>
  <c r="F46" i="5"/>
  <c r="E47" i="5"/>
  <c r="F47" i="5"/>
  <c r="E48" i="5"/>
  <c r="F48" i="5"/>
  <c r="E49" i="5"/>
  <c r="F49" i="5"/>
  <c r="E50" i="5"/>
  <c r="F50" i="5"/>
  <c r="E51" i="5"/>
  <c r="F51" i="5"/>
  <c r="E52" i="5"/>
  <c r="F52" i="5"/>
  <c r="E53" i="5"/>
  <c r="F53" i="5"/>
  <c r="E54" i="5"/>
  <c r="F54" i="5"/>
  <c r="E55" i="5"/>
  <c r="F55" i="5"/>
  <c r="E56" i="5"/>
  <c r="F56" i="5"/>
  <c r="E57" i="5"/>
  <c r="F57" i="5"/>
  <c r="E58" i="5"/>
  <c r="F58" i="5"/>
  <c r="E59" i="5"/>
  <c r="F59" i="5"/>
  <c r="E60" i="5"/>
  <c r="F60" i="5"/>
  <c r="E61" i="5"/>
  <c r="F61" i="5"/>
  <c r="E62" i="5"/>
  <c r="F62" i="5"/>
  <c r="E63" i="5"/>
  <c r="F63" i="5"/>
  <c r="E64" i="5"/>
  <c r="F64" i="5"/>
  <c r="E65" i="5"/>
  <c r="F65" i="5"/>
  <c r="E66" i="5"/>
  <c r="F66" i="5"/>
  <c r="E67" i="5"/>
  <c r="F67" i="5"/>
  <c r="E68" i="5"/>
  <c r="F68" i="5"/>
  <c r="E69" i="5"/>
  <c r="F69" i="5"/>
  <c r="E70" i="5"/>
  <c r="F70" i="5"/>
  <c r="E71" i="5"/>
  <c r="F71" i="5"/>
  <c r="E72" i="5"/>
  <c r="F72" i="5"/>
  <c r="E73" i="5"/>
  <c r="F73" i="5"/>
  <c r="E74" i="5"/>
  <c r="F74" i="5"/>
  <c r="E75" i="5"/>
  <c r="F75" i="5"/>
  <c r="E76" i="5"/>
  <c r="F76" i="5"/>
  <c r="E77" i="5"/>
  <c r="F77" i="5"/>
  <c r="E78" i="5"/>
  <c r="F78" i="5"/>
  <c r="E79" i="5"/>
  <c r="F79" i="5"/>
  <c r="E80" i="5"/>
  <c r="F80" i="5"/>
  <c r="E81" i="5"/>
  <c r="F81" i="5"/>
  <c r="E82" i="5"/>
  <c r="F82" i="5"/>
  <c r="E83" i="5"/>
  <c r="F83" i="5"/>
  <c r="E84" i="5"/>
  <c r="F84" i="5"/>
  <c r="E85" i="5"/>
  <c r="F85" i="5"/>
  <c r="E86" i="5"/>
  <c r="F86" i="5"/>
  <c r="E87" i="5"/>
  <c r="F87" i="5"/>
  <c r="E88" i="5"/>
  <c r="F88" i="5"/>
  <c r="E89" i="5"/>
  <c r="F89" i="5"/>
  <c r="E90" i="5"/>
  <c r="F90" i="5"/>
  <c r="E91" i="5"/>
  <c r="F91" i="5"/>
  <c r="E92" i="5"/>
  <c r="F92" i="5"/>
  <c r="E93" i="5"/>
  <c r="F93" i="5"/>
  <c r="E94" i="5"/>
  <c r="F94" i="5"/>
  <c r="E95" i="5"/>
  <c r="F95" i="5"/>
  <c r="E96" i="5"/>
  <c r="F96" i="5"/>
  <c r="E97" i="5"/>
  <c r="F97" i="5"/>
  <c r="E98" i="5"/>
  <c r="F98" i="5"/>
  <c r="E99" i="5"/>
  <c r="F99" i="5"/>
  <c r="E100" i="5"/>
  <c r="F100" i="5"/>
  <c r="E101" i="5"/>
  <c r="F101" i="5"/>
  <c r="E102" i="5"/>
  <c r="F102" i="5"/>
  <c r="E103" i="5"/>
  <c r="F103" i="5"/>
  <c r="E104" i="5"/>
  <c r="F104" i="5"/>
  <c r="E105" i="5"/>
  <c r="F105" i="5"/>
  <c r="E106" i="5"/>
  <c r="F106" i="5"/>
  <c r="E107" i="5"/>
  <c r="F107" i="5"/>
  <c r="E108" i="5"/>
  <c r="F108" i="5"/>
  <c r="E109" i="5"/>
  <c r="F109" i="5"/>
  <c r="E110" i="5"/>
  <c r="F110" i="5"/>
  <c r="E111" i="5"/>
  <c r="F111" i="5"/>
  <c r="E112" i="5"/>
  <c r="F112" i="5"/>
  <c r="E113" i="5"/>
  <c r="F113" i="5"/>
  <c r="E114" i="5"/>
  <c r="F114" i="5"/>
  <c r="E115" i="5"/>
  <c r="F115" i="5"/>
  <c r="E116" i="5"/>
  <c r="F116" i="5"/>
  <c r="E117" i="5"/>
  <c r="F117" i="5"/>
  <c r="E118" i="5"/>
  <c r="F118" i="5"/>
  <c r="E119" i="5"/>
  <c r="F119" i="5"/>
  <c r="E120" i="5"/>
  <c r="F120" i="5"/>
  <c r="E121" i="5"/>
  <c r="F121" i="5"/>
  <c r="E122" i="5"/>
  <c r="F122" i="5"/>
  <c r="E123" i="5"/>
  <c r="F123" i="5"/>
  <c r="E124" i="5"/>
  <c r="F124" i="5"/>
  <c r="E125" i="5"/>
  <c r="F125" i="5"/>
  <c r="E126" i="5"/>
  <c r="F126" i="5"/>
  <c r="E127" i="5"/>
  <c r="F127" i="5"/>
  <c r="E128" i="5"/>
  <c r="F128" i="5"/>
  <c r="E129" i="5"/>
  <c r="F129" i="5"/>
  <c r="E130" i="5"/>
  <c r="F130" i="5"/>
  <c r="E131" i="5"/>
  <c r="F131" i="5"/>
  <c r="E132" i="5"/>
  <c r="F132" i="5"/>
  <c r="E133" i="5"/>
  <c r="F133" i="5"/>
  <c r="E134" i="5"/>
  <c r="F134" i="5"/>
  <c r="E135" i="5"/>
  <c r="F135" i="5"/>
  <c r="E136" i="5"/>
  <c r="F136" i="5"/>
  <c r="E137" i="5"/>
  <c r="F137" i="5"/>
  <c r="E138" i="5"/>
  <c r="F138" i="5"/>
  <c r="E139" i="5"/>
  <c r="F139" i="5"/>
  <c r="E140" i="5"/>
  <c r="F140" i="5"/>
  <c r="E141" i="5"/>
  <c r="F141" i="5"/>
  <c r="E142" i="5"/>
  <c r="F142" i="5"/>
  <c r="E143" i="5"/>
  <c r="F143" i="5"/>
  <c r="E144" i="5"/>
  <c r="F144" i="5"/>
  <c r="E145" i="5"/>
  <c r="F145" i="5"/>
  <c r="E146" i="5"/>
  <c r="F146" i="5"/>
  <c r="E147" i="5"/>
  <c r="F147" i="5"/>
  <c r="E148" i="5"/>
  <c r="F148" i="5"/>
  <c r="E149" i="5"/>
  <c r="F149" i="5"/>
  <c r="E150" i="5"/>
  <c r="F150" i="5"/>
  <c r="E151" i="5"/>
  <c r="F151" i="5"/>
  <c r="E152" i="5"/>
  <c r="F152" i="5"/>
  <c r="E153" i="5"/>
  <c r="F153" i="5"/>
  <c r="E154" i="5"/>
  <c r="F154" i="5"/>
  <c r="E155" i="5"/>
  <c r="F155" i="5"/>
  <c r="E156" i="5"/>
  <c r="F156" i="5"/>
  <c r="E157" i="5"/>
  <c r="F157" i="5"/>
  <c r="E158" i="5"/>
  <c r="F158" i="5"/>
  <c r="E159" i="5"/>
  <c r="F159" i="5"/>
  <c r="E160" i="5"/>
  <c r="F160" i="5"/>
  <c r="E161" i="5"/>
  <c r="F161" i="5"/>
  <c r="E162" i="5"/>
  <c r="F162" i="5"/>
  <c r="E163" i="5"/>
  <c r="F163" i="5"/>
  <c r="E164" i="5"/>
  <c r="F164" i="5"/>
  <c r="E165" i="5"/>
  <c r="F165" i="5"/>
  <c r="E166" i="5"/>
  <c r="F166" i="5"/>
  <c r="E167" i="5"/>
  <c r="F167" i="5"/>
  <c r="E168" i="5"/>
  <c r="F168" i="5"/>
  <c r="E169" i="5"/>
  <c r="F169" i="5"/>
  <c r="E170" i="5"/>
  <c r="F170" i="5"/>
  <c r="E171" i="5"/>
  <c r="F171" i="5"/>
  <c r="E172" i="5"/>
  <c r="F172" i="5"/>
  <c r="E173" i="5"/>
  <c r="F173" i="5"/>
  <c r="E174" i="5"/>
  <c r="F174" i="5"/>
  <c r="E175" i="5"/>
  <c r="F175" i="5"/>
  <c r="E176" i="5"/>
  <c r="F176" i="5"/>
  <c r="E177" i="5"/>
  <c r="F177" i="5"/>
  <c r="E178" i="5"/>
  <c r="F178" i="5"/>
  <c r="E179" i="5"/>
  <c r="F179" i="5"/>
  <c r="E180" i="5"/>
  <c r="F180" i="5"/>
  <c r="E181" i="5"/>
  <c r="F181" i="5"/>
  <c r="E182" i="5"/>
  <c r="F182" i="5"/>
  <c r="E183" i="5"/>
  <c r="F183" i="5"/>
  <c r="E184" i="5"/>
  <c r="F184" i="5"/>
  <c r="E185" i="5"/>
  <c r="F185" i="5"/>
  <c r="E186" i="5"/>
  <c r="F186" i="5"/>
  <c r="E187" i="5"/>
  <c r="F187" i="5"/>
  <c r="E188" i="5"/>
  <c r="F188" i="5"/>
  <c r="E189" i="5"/>
  <c r="F189" i="5"/>
  <c r="E190" i="5"/>
  <c r="F190" i="5"/>
  <c r="E191" i="5"/>
  <c r="F191" i="5"/>
  <c r="E192" i="5"/>
  <c r="F192" i="5"/>
  <c r="E193" i="5"/>
  <c r="F193" i="5"/>
  <c r="E194" i="5"/>
  <c r="F194" i="5"/>
  <c r="E195" i="5"/>
  <c r="F195" i="5"/>
  <c r="E196" i="5"/>
  <c r="F196" i="5"/>
  <c r="E197" i="5"/>
  <c r="F197" i="5"/>
  <c r="E198" i="5"/>
  <c r="F198" i="5"/>
  <c r="E199" i="5"/>
  <c r="F199" i="5"/>
  <c r="E200" i="5"/>
  <c r="F200" i="5"/>
  <c r="E201" i="5"/>
  <c r="F201" i="5"/>
  <c r="E202" i="5"/>
  <c r="F202" i="5"/>
  <c r="E203" i="5"/>
  <c r="F203" i="5"/>
  <c r="E204" i="5"/>
  <c r="F204" i="5"/>
  <c r="E205" i="5"/>
  <c r="F205" i="5"/>
  <c r="E206" i="5"/>
  <c r="F206" i="5"/>
  <c r="E207" i="5"/>
  <c r="F207" i="5"/>
  <c r="E208" i="5"/>
  <c r="F208" i="5"/>
  <c r="E209" i="5"/>
  <c r="F209" i="5"/>
  <c r="E210" i="5"/>
  <c r="F210" i="5"/>
  <c r="E211" i="5"/>
  <c r="F211" i="5"/>
  <c r="E212" i="5"/>
  <c r="F212" i="5"/>
  <c r="E213" i="5"/>
  <c r="F213" i="5"/>
  <c r="E214" i="5"/>
  <c r="F214" i="5"/>
  <c r="E215" i="5"/>
  <c r="F215" i="5"/>
  <c r="E216" i="5"/>
  <c r="F216" i="5"/>
  <c r="E217" i="5"/>
  <c r="F217" i="5"/>
  <c r="E218" i="5"/>
  <c r="F218" i="5"/>
  <c r="E219" i="5"/>
  <c r="F219" i="5"/>
  <c r="E220" i="5"/>
  <c r="F220" i="5"/>
  <c r="E221" i="5"/>
  <c r="F221" i="5"/>
  <c r="E222" i="5"/>
  <c r="F222" i="5"/>
  <c r="E223" i="5"/>
  <c r="F223" i="5"/>
  <c r="E224" i="5"/>
  <c r="F224" i="5"/>
  <c r="E225" i="5"/>
  <c r="F225" i="5"/>
  <c r="E226" i="5"/>
  <c r="F226" i="5"/>
  <c r="E227" i="5"/>
  <c r="F227" i="5"/>
  <c r="E228" i="5"/>
  <c r="F228" i="5"/>
  <c r="E229" i="5"/>
  <c r="F229" i="5"/>
  <c r="E230" i="5"/>
  <c r="F230" i="5"/>
  <c r="E231" i="5"/>
  <c r="F231" i="5"/>
  <c r="E232" i="5"/>
  <c r="F232" i="5"/>
  <c r="E233" i="5"/>
  <c r="F233" i="5"/>
  <c r="E234" i="5"/>
  <c r="F234" i="5"/>
  <c r="E235" i="5"/>
  <c r="F235" i="5"/>
  <c r="E236" i="5"/>
  <c r="F236" i="5"/>
  <c r="E237" i="5"/>
  <c r="F237" i="5"/>
  <c r="E238" i="5"/>
  <c r="F238" i="5"/>
  <c r="E239" i="5"/>
  <c r="F239" i="5"/>
  <c r="E240" i="5"/>
  <c r="F240" i="5"/>
  <c r="E241" i="5"/>
  <c r="F241" i="5"/>
  <c r="E242" i="5"/>
  <c r="F242" i="5"/>
  <c r="E243" i="5"/>
  <c r="F243" i="5"/>
  <c r="E244" i="5"/>
  <c r="F244" i="5"/>
  <c r="E245" i="5"/>
  <c r="F245" i="5"/>
  <c r="E246" i="5"/>
  <c r="F246" i="5"/>
  <c r="E247" i="5"/>
  <c r="F247" i="5"/>
  <c r="E248" i="5"/>
  <c r="F248" i="5"/>
  <c r="E249" i="5"/>
  <c r="F249" i="5"/>
  <c r="E250" i="5"/>
  <c r="F250" i="5"/>
  <c r="E251" i="5"/>
  <c r="F251" i="5"/>
  <c r="E252" i="5"/>
  <c r="F252" i="5"/>
  <c r="E253" i="5"/>
  <c r="F253" i="5"/>
  <c r="E254" i="5"/>
  <c r="F254" i="5"/>
  <c r="E255" i="5"/>
  <c r="F255" i="5"/>
  <c r="E256" i="5"/>
  <c r="F256" i="5"/>
  <c r="E257" i="5"/>
  <c r="F257" i="5"/>
  <c r="E258" i="5"/>
  <c r="F258" i="5"/>
  <c r="E259" i="5"/>
  <c r="F259" i="5"/>
  <c r="E260" i="5"/>
  <c r="F260" i="5"/>
  <c r="E261" i="5"/>
  <c r="F261" i="5"/>
  <c r="E262" i="5"/>
  <c r="F262" i="5"/>
  <c r="E263" i="5"/>
  <c r="F263" i="5"/>
  <c r="E264" i="5"/>
  <c r="F264" i="5"/>
  <c r="E265" i="5"/>
  <c r="F265" i="5"/>
  <c r="E266" i="5"/>
  <c r="F266" i="5"/>
  <c r="E267" i="5"/>
  <c r="F267" i="5"/>
  <c r="E268" i="5"/>
  <c r="F268" i="5"/>
  <c r="E269" i="5"/>
  <c r="F269" i="5"/>
  <c r="E270" i="5"/>
  <c r="F270" i="5"/>
  <c r="E271" i="5"/>
  <c r="F271" i="5"/>
  <c r="E272" i="5"/>
  <c r="F272" i="5"/>
  <c r="E273" i="5"/>
  <c r="F273" i="5"/>
  <c r="E274" i="5"/>
  <c r="F274" i="5"/>
  <c r="E275" i="5"/>
  <c r="F275" i="5"/>
  <c r="E276" i="5"/>
  <c r="F276" i="5"/>
  <c r="E277" i="5"/>
  <c r="F277" i="5"/>
  <c r="E278" i="5"/>
  <c r="F278" i="5"/>
  <c r="E279" i="5"/>
  <c r="F279" i="5"/>
  <c r="E280" i="5"/>
  <c r="F280" i="5"/>
  <c r="E281" i="5"/>
  <c r="F281" i="5"/>
  <c r="E282" i="5"/>
  <c r="F282" i="5"/>
  <c r="E283" i="5"/>
  <c r="F283" i="5"/>
  <c r="E284" i="5"/>
  <c r="F284" i="5"/>
  <c r="E285" i="5"/>
  <c r="F285" i="5"/>
  <c r="E286" i="5"/>
  <c r="F286" i="5"/>
  <c r="E287" i="5"/>
  <c r="F287" i="5"/>
  <c r="E288" i="5"/>
  <c r="F288" i="5"/>
  <c r="E289" i="5"/>
  <c r="F289" i="5"/>
  <c r="E290" i="5"/>
  <c r="F290" i="5"/>
  <c r="E291" i="5"/>
  <c r="F291" i="5"/>
  <c r="E292" i="5"/>
  <c r="F292" i="5"/>
  <c r="E293" i="5"/>
  <c r="F293" i="5"/>
  <c r="E294" i="5"/>
  <c r="F294" i="5"/>
  <c r="E295" i="5"/>
  <c r="F295" i="5"/>
  <c r="E296" i="5"/>
  <c r="F296" i="5"/>
  <c r="E297" i="5"/>
  <c r="F297" i="5"/>
  <c r="F3" i="5"/>
  <c r="E3" i="5"/>
</calcChain>
</file>

<file path=xl/sharedStrings.xml><?xml version="1.0" encoding="utf-8"?>
<sst xmlns="http://schemas.openxmlformats.org/spreadsheetml/2006/main" count="60" uniqueCount="45">
  <si>
    <t>UKNGDP</t>
  </si>
  <si>
    <t>Dates</t>
  </si>
  <si>
    <t>GDP</t>
  </si>
  <si>
    <t>CPI</t>
  </si>
  <si>
    <t>Inflation</t>
  </si>
  <si>
    <t>GBRCPIALLMINMEI</t>
  </si>
  <si>
    <t>MANMM101GBM189S</t>
  </si>
  <si>
    <t>M1</t>
  </si>
  <si>
    <t>Commercial Loans</t>
  </si>
  <si>
    <t>LPMZ5MQ</t>
  </si>
  <si>
    <t>Commercial Loan Rate</t>
  </si>
  <si>
    <t>CFMHSDC</t>
  </si>
  <si>
    <t>Log Real Loans</t>
  </si>
  <si>
    <t>Log Real Rate</t>
  </si>
  <si>
    <t>Costs</t>
  </si>
  <si>
    <t>GFAB76F</t>
  </si>
  <si>
    <t>Yield5M</t>
  </si>
  <si>
    <t>Loan Rate</t>
  </si>
  <si>
    <t>Bank Rate</t>
  </si>
  <si>
    <t>BOERUKQ</t>
  </si>
  <si>
    <t>CFMHSCT</t>
  </si>
  <si>
    <t>Deposit Rate</t>
  </si>
  <si>
    <t>Assets</t>
  </si>
  <si>
    <t>RPMB3XP</t>
  </si>
  <si>
    <t>Fraction</t>
  </si>
  <si>
    <t>Cash</t>
  </si>
  <si>
    <t>Debit</t>
  </si>
  <si>
    <t>Credit</t>
  </si>
  <si>
    <t>Faster</t>
  </si>
  <si>
    <t>Cheque</t>
  </si>
  <si>
    <t>Other</t>
  </si>
  <si>
    <t>Retail</t>
  </si>
  <si>
    <t>P2P</t>
  </si>
  <si>
    <t>Travel</t>
  </si>
  <si>
    <t>Financial</t>
  </si>
  <si>
    <t>Entertainment</t>
  </si>
  <si>
    <t>P2B</t>
  </si>
  <si>
    <t>Digital</t>
  </si>
  <si>
    <t>Card Preference</t>
  </si>
  <si>
    <t>Cash-Only</t>
  </si>
  <si>
    <t>Cash-Only Weighted</t>
  </si>
  <si>
    <t>J4MC</t>
  </si>
  <si>
    <t>Online Sales</t>
  </si>
  <si>
    <t>RPMB3ZM</t>
  </si>
  <si>
    <t>Deposits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</si>
</sst>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0"/>
      <name val="Arial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  <xf numFmtId="0" fontId="3" fillId="0" borderId="0" xfId="0" applyFont="1"/>
    <xf numFmtId="1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4B6AB-0512-2240-AACC-F13152ED2645}">
  <dimension ref="A1:C276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s="2" t="s">
        <v>0</v>
      </c>
    </row>
    <row r="2" spans="1:3" x14ac:dyDescent="0.2">
      <c r="A2" s="1" t="s">
        <v>1</v>
      </c>
      <c r="B2" t="s">
        <v>2</v>
      </c>
    </row>
    <row r="3" spans="1:3" x14ac:dyDescent="0.2">
      <c r="A3" s="1">
        <v>20090</v>
      </c>
      <c r="B3">
        <v>4666000000</v>
      </c>
    </row>
    <row r="4" spans="1:3" x14ac:dyDescent="0.2">
      <c r="A4" s="1">
        <v>20180</v>
      </c>
      <c r="B4">
        <v>4688000000</v>
      </c>
    </row>
    <row r="5" spans="1:3" x14ac:dyDescent="0.2">
      <c r="A5" s="1">
        <v>20271</v>
      </c>
      <c r="B5">
        <v>4862000000</v>
      </c>
    </row>
    <row r="6" spans="1:3" x14ac:dyDescent="0.2">
      <c r="A6" s="1">
        <v>20363</v>
      </c>
      <c r="B6">
        <v>4953000000</v>
      </c>
    </row>
    <row r="7" spans="1:3" x14ac:dyDescent="0.2">
      <c r="A7" s="1">
        <v>20455</v>
      </c>
      <c r="B7">
        <v>5086000000</v>
      </c>
    </row>
    <row r="8" spans="1:3" x14ac:dyDescent="0.2">
      <c r="A8" s="1">
        <v>20546</v>
      </c>
      <c r="B8">
        <v>5155000000</v>
      </c>
    </row>
    <row r="9" spans="1:3" x14ac:dyDescent="0.2">
      <c r="A9" s="1">
        <v>20637</v>
      </c>
      <c r="B9">
        <v>5235000000</v>
      </c>
    </row>
    <row r="10" spans="1:3" x14ac:dyDescent="0.2">
      <c r="A10" s="1">
        <v>20729</v>
      </c>
      <c r="B10">
        <v>5368000000</v>
      </c>
    </row>
    <row r="11" spans="1:3" x14ac:dyDescent="0.2">
      <c r="A11" s="1">
        <v>20821</v>
      </c>
      <c r="B11">
        <v>5380000000</v>
      </c>
    </row>
    <row r="12" spans="1:3" x14ac:dyDescent="0.2">
      <c r="A12" s="1">
        <v>20911</v>
      </c>
      <c r="B12">
        <v>5461000000</v>
      </c>
    </row>
    <row r="13" spans="1:3" x14ac:dyDescent="0.2">
      <c r="A13" s="1">
        <v>21002</v>
      </c>
      <c r="B13">
        <v>5578000000</v>
      </c>
    </row>
    <row r="14" spans="1:3" x14ac:dyDescent="0.2">
      <c r="A14" s="1">
        <v>21094</v>
      </c>
      <c r="B14">
        <v>5685000000</v>
      </c>
    </row>
    <row r="15" spans="1:3" x14ac:dyDescent="0.2">
      <c r="A15" s="1">
        <v>21186</v>
      </c>
      <c r="B15">
        <v>5800000000</v>
      </c>
    </row>
    <row r="16" spans="1:3" x14ac:dyDescent="0.2">
      <c r="A16" s="1">
        <v>21276</v>
      </c>
      <c r="B16">
        <v>5724000000</v>
      </c>
    </row>
    <row r="17" spans="1:2" x14ac:dyDescent="0.2">
      <c r="A17" s="1">
        <v>21367</v>
      </c>
      <c r="B17">
        <v>5824000000</v>
      </c>
    </row>
    <row r="18" spans="1:2" x14ac:dyDescent="0.2">
      <c r="A18" s="1">
        <v>21459</v>
      </c>
      <c r="B18">
        <v>5872000000</v>
      </c>
    </row>
    <row r="19" spans="1:2" x14ac:dyDescent="0.2">
      <c r="A19" s="1">
        <v>21551</v>
      </c>
      <c r="B19">
        <v>5885000000</v>
      </c>
    </row>
    <row r="20" spans="1:2" x14ac:dyDescent="0.2">
      <c r="A20" s="1">
        <v>21641</v>
      </c>
      <c r="B20">
        <v>6079000000</v>
      </c>
    </row>
    <row r="21" spans="1:2" x14ac:dyDescent="0.2">
      <c r="A21" s="1">
        <v>21732</v>
      </c>
      <c r="B21">
        <v>6103000000</v>
      </c>
    </row>
    <row r="22" spans="1:2" x14ac:dyDescent="0.2">
      <c r="A22" s="1">
        <v>21824</v>
      </c>
      <c r="B22">
        <v>6321000000</v>
      </c>
    </row>
    <row r="23" spans="1:2" x14ac:dyDescent="0.2">
      <c r="A23" s="1">
        <v>21916</v>
      </c>
      <c r="B23">
        <v>6425000000</v>
      </c>
    </row>
    <row r="24" spans="1:2" x14ac:dyDescent="0.2">
      <c r="A24" s="1">
        <v>22007</v>
      </c>
      <c r="B24">
        <v>6484000000</v>
      </c>
    </row>
    <row r="25" spans="1:2" x14ac:dyDescent="0.2">
      <c r="A25" s="1">
        <v>22098</v>
      </c>
      <c r="B25">
        <v>6578000000</v>
      </c>
    </row>
    <row r="26" spans="1:2" x14ac:dyDescent="0.2">
      <c r="A26" s="1">
        <v>22190</v>
      </c>
      <c r="B26">
        <v>6714000000</v>
      </c>
    </row>
    <row r="27" spans="1:2" x14ac:dyDescent="0.2">
      <c r="A27" s="1">
        <v>22282</v>
      </c>
      <c r="B27">
        <v>6881000000</v>
      </c>
    </row>
    <row r="28" spans="1:2" x14ac:dyDescent="0.2">
      <c r="A28" s="1">
        <v>22372</v>
      </c>
      <c r="B28">
        <v>6881000000</v>
      </c>
    </row>
    <row r="29" spans="1:2" x14ac:dyDescent="0.2">
      <c r="A29" s="1">
        <v>22463</v>
      </c>
      <c r="B29">
        <v>7119000000</v>
      </c>
    </row>
    <row r="30" spans="1:2" x14ac:dyDescent="0.2">
      <c r="A30" s="1">
        <v>22555</v>
      </c>
      <c r="B30">
        <v>7037000000</v>
      </c>
    </row>
    <row r="31" spans="1:2" x14ac:dyDescent="0.2">
      <c r="A31" s="1">
        <v>22647</v>
      </c>
      <c r="B31">
        <v>7132000000</v>
      </c>
    </row>
    <row r="32" spans="1:2" x14ac:dyDescent="0.2">
      <c r="A32" s="1">
        <v>22737</v>
      </c>
      <c r="B32">
        <v>7307000000</v>
      </c>
    </row>
    <row r="33" spans="1:2" x14ac:dyDescent="0.2">
      <c r="A33" s="1">
        <v>22828</v>
      </c>
      <c r="B33">
        <v>7381000000</v>
      </c>
    </row>
    <row r="34" spans="1:2" x14ac:dyDescent="0.2">
      <c r="A34" s="1">
        <v>22920</v>
      </c>
      <c r="B34">
        <v>7415000000</v>
      </c>
    </row>
    <row r="35" spans="1:2" x14ac:dyDescent="0.2">
      <c r="A35" s="1">
        <v>23012</v>
      </c>
      <c r="B35">
        <v>7365000000</v>
      </c>
    </row>
    <row r="36" spans="1:2" x14ac:dyDescent="0.2">
      <c r="A36" s="1">
        <v>23102</v>
      </c>
      <c r="B36">
        <v>7750000000</v>
      </c>
    </row>
    <row r="37" spans="1:2" x14ac:dyDescent="0.2">
      <c r="A37" s="1">
        <v>23193</v>
      </c>
      <c r="B37">
        <v>7869000000</v>
      </c>
    </row>
    <row r="38" spans="1:2" x14ac:dyDescent="0.2">
      <c r="A38" s="1">
        <v>23285</v>
      </c>
      <c r="B38">
        <v>8115000000</v>
      </c>
    </row>
    <row r="39" spans="1:2" x14ac:dyDescent="0.2">
      <c r="A39" s="1">
        <v>23377</v>
      </c>
      <c r="B39">
        <v>8142000000</v>
      </c>
    </row>
    <row r="40" spans="1:2" x14ac:dyDescent="0.2">
      <c r="A40" s="1">
        <v>23468</v>
      </c>
      <c r="B40">
        <v>8433000000</v>
      </c>
    </row>
    <row r="41" spans="1:2" x14ac:dyDescent="0.2">
      <c r="A41" s="1">
        <v>23559</v>
      </c>
      <c r="B41">
        <v>8618000000</v>
      </c>
    </row>
    <row r="42" spans="1:2" x14ac:dyDescent="0.2">
      <c r="A42" s="1">
        <v>23651</v>
      </c>
      <c r="B42">
        <v>8854000000</v>
      </c>
    </row>
    <row r="43" spans="1:2" x14ac:dyDescent="0.2">
      <c r="A43" s="1">
        <v>23743</v>
      </c>
      <c r="B43">
        <v>9019000000</v>
      </c>
    </row>
    <row r="44" spans="1:2" x14ac:dyDescent="0.2">
      <c r="A44" s="1">
        <v>23833</v>
      </c>
      <c r="B44">
        <v>9062000000</v>
      </c>
    </row>
    <row r="45" spans="1:2" x14ac:dyDescent="0.2">
      <c r="A45" s="1">
        <v>23924</v>
      </c>
      <c r="B45">
        <v>9283000000</v>
      </c>
    </row>
    <row r="46" spans="1:2" x14ac:dyDescent="0.2">
      <c r="A46" s="1">
        <v>24016</v>
      </c>
      <c r="B46">
        <v>9464000000</v>
      </c>
    </row>
    <row r="47" spans="1:2" x14ac:dyDescent="0.2">
      <c r="A47" s="1">
        <v>24108</v>
      </c>
      <c r="B47">
        <v>9606000000</v>
      </c>
    </row>
    <row r="48" spans="1:2" x14ac:dyDescent="0.2">
      <c r="A48" s="1">
        <v>24198</v>
      </c>
      <c r="B48">
        <v>9772000000</v>
      </c>
    </row>
    <row r="49" spans="1:2" x14ac:dyDescent="0.2">
      <c r="A49" s="1">
        <v>24289</v>
      </c>
      <c r="B49">
        <v>9956000000</v>
      </c>
    </row>
    <row r="50" spans="1:2" x14ac:dyDescent="0.2">
      <c r="A50" s="1">
        <v>24381</v>
      </c>
      <c r="B50">
        <v>10060000000</v>
      </c>
    </row>
    <row r="51" spans="1:2" x14ac:dyDescent="0.2">
      <c r="A51" s="1">
        <v>24473</v>
      </c>
      <c r="B51">
        <v>10158000000</v>
      </c>
    </row>
    <row r="52" spans="1:2" x14ac:dyDescent="0.2">
      <c r="A52" s="1">
        <v>24563</v>
      </c>
      <c r="B52">
        <v>10413000000</v>
      </c>
    </row>
    <row r="53" spans="1:2" x14ac:dyDescent="0.2">
      <c r="A53" s="1">
        <v>24654</v>
      </c>
      <c r="B53">
        <v>10483000000</v>
      </c>
    </row>
    <row r="54" spans="1:2" x14ac:dyDescent="0.2">
      <c r="A54" s="1">
        <v>24746</v>
      </c>
      <c r="B54">
        <v>10619000000</v>
      </c>
    </row>
    <row r="55" spans="1:2" x14ac:dyDescent="0.2">
      <c r="A55" s="1">
        <v>24838</v>
      </c>
      <c r="B55">
        <v>11097000000</v>
      </c>
    </row>
    <row r="56" spans="1:2" x14ac:dyDescent="0.2">
      <c r="A56" s="1">
        <v>24929</v>
      </c>
      <c r="B56">
        <v>11230000000</v>
      </c>
    </row>
    <row r="57" spans="1:2" x14ac:dyDescent="0.2">
      <c r="A57" s="1">
        <v>25020</v>
      </c>
      <c r="B57">
        <v>11586000000</v>
      </c>
    </row>
    <row r="58" spans="1:2" x14ac:dyDescent="0.2">
      <c r="A58" s="1">
        <v>25112</v>
      </c>
      <c r="B58">
        <v>11882000000</v>
      </c>
    </row>
    <row r="59" spans="1:2" x14ac:dyDescent="0.2">
      <c r="A59" s="1">
        <v>25204</v>
      </c>
      <c r="B59">
        <v>12086000000</v>
      </c>
    </row>
    <row r="60" spans="1:2" x14ac:dyDescent="0.2">
      <c r="A60" s="1">
        <v>25294</v>
      </c>
      <c r="B60">
        <v>12267000000</v>
      </c>
    </row>
    <row r="61" spans="1:2" x14ac:dyDescent="0.2">
      <c r="A61" s="1">
        <v>25385</v>
      </c>
      <c r="B61">
        <v>12541000000</v>
      </c>
    </row>
    <row r="62" spans="1:2" x14ac:dyDescent="0.2">
      <c r="A62" s="1">
        <v>25477</v>
      </c>
      <c r="B62">
        <v>12867000000</v>
      </c>
    </row>
    <row r="63" spans="1:2" x14ac:dyDescent="0.2">
      <c r="A63" s="1">
        <v>25569</v>
      </c>
      <c r="B63">
        <v>13220000000</v>
      </c>
    </row>
    <row r="64" spans="1:2" x14ac:dyDescent="0.2">
      <c r="A64" s="1">
        <v>25659</v>
      </c>
      <c r="B64">
        <v>13803000000</v>
      </c>
    </row>
    <row r="65" spans="1:2" x14ac:dyDescent="0.2">
      <c r="A65" s="1">
        <v>25750</v>
      </c>
      <c r="B65">
        <v>14253000000</v>
      </c>
    </row>
    <row r="66" spans="1:2" x14ac:dyDescent="0.2">
      <c r="A66" s="1">
        <v>25842</v>
      </c>
      <c r="B66">
        <v>14765000000</v>
      </c>
    </row>
    <row r="67" spans="1:2" x14ac:dyDescent="0.2">
      <c r="A67" s="1">
        <v>25934</v>
      </c>
      <c r="B67">
        <v>14986000000</v>
      </c>
    </row>
    <row r="68" spans="1:2" x14ac:dyDescent="0.2">
      <c r="A68" s="1">
        <v>26024</v>
      </c>
      <c r="B68">
        <v>15497000000</v>
      </c>
    </row>
    <row r="69" spans="1:2" x14ac:dyDescent="0.2">
      <c r="A69" s="1">
        <v>26115</v>
      </c>
      <c r="B69">
        <v>15993000000</v>
      </c>
    </row>
    <row r="70" spans="1:2" x14ac:dyDescent="0.2">
      <c r="A70" s="1">
        <v>26207</v>
      </c>
      <c r="B70">
        <v>16394000000</v>
      </c>
    </row>
    <row r="71" spans="1:2" x14ac:dyDescent="0.2">
      <c r="A71" s="1">
        <v>26299</v>
      </c>
      <c r="B71">
        <v>16599000000</v>
      </c>
    </row>
    <row r="72" spans="1:2" x14ac:dyDescent="0.2">
      <c r="A72" s="1">
        <v>26390</v>
      </c>
      <c r="B72">
        <v>17388000000</v>
      </c>
    </row>
    <row r="73" spans="1:2" x14ac:dyDescent="0.2">
      <c r="A73" s="1">
        <v>26481</v>
      </c>
      <c r="B73">
        <v>17759000000</v>
      </c>
    </row>
    <row r="74" spans="1:2" x14ac:dyDescent="0.2">
      <c r="A74" s="1">
        <v>26573</v>
      </c>
      <c r="B74">
        <v>18832000000</v>
      </c>
    </row>
    <row r="75" spans="1:2" x14ac:dyDescent="0.2">
      <c r="A75" s="1">
        <v>26665</v>
      </c>
      <c r="B75">
        <v>20046000000</v>
      </c>
    </row>
    <row r="76" spans="1:2" x14ac:dyDescent="0.2">
      <c r="A76" s="1">
        <v>26755</v>
      </c>
      <c r="B76">
        <v>19874000000</v>
      </c>
    </row>
    <row r="77" spans="1:2" x14ac:dyDescent="0.2">
      <c r="A77" s="1">
        <v>26846</v>
      </c>
      <c r="B77">
        <v>20558000000</v>
      </c>
    </row>
    <row r="78" spans="1:2" x14ac:dyDescent="0.2">
      <c r="A78" s="1">
        <v>26938</v>
      </c>
      <c r="B78">
        <v>21315000000</v>
      </c>
    </row>
    <row r="79" spans="1:2" x14ac:dyDescent="0.2">
      <c r="A79" s="1">
        <v>27030</v>
      </c>
      <c r="B79">
        <v>21132000000</v>
      </c>
    </row>
    <row r="80" spans="1:2" x14ac:dyDescent="0.2">
      <c r="A80" s="1">
        <v>27120</v>
      </c>
      <c r="B80">
        <v>22651000000</v>
      </c>
    </row>
    <row r="81" spans="1:2" x14ac:dyDescent="0.2">
      <c r="A81" s="1">
        <v>27211</v>
      </c>
      <c r="B81">
        <v>23896000000</v>
      </c>
    </row>
    <row r="82" spans="1:2" x14ac:dyDescent="0.2">
      <c r="A82" s="1">
        <v>27303</v>
      </c>
      <c r="B82">
        <v>24994000000</v>
      </c>
    </row>
    <row r="83" spans="1:2" x14ac:dyDescent="0.2">
      <c r="A83" s="1">
        <v>27395</v>
      </c>
      <c r="B83">
        <v>26814000000</v>
      </c>
    </row>
    <row r="84" spans="1:2" x14ac:dyDescent="0.2">
      <c r="A84" s="1">
        <v>27485</v>
      </c>
      <c r="B84">
        <v>28129000000</v>
      </c>
    </row>
    <row r="85" spans="1:2" x14ac:dyDescent="0.2">
      <c r="A85" s="1">
        <v>27576</v>
      </c>
      <c r="B85">
        <v>29260000000</v>
      </c>
    </row>
    <row r="86" spans="1:2" x14ac:dyDescent="0.2">
      <c r="A86" s="1">
        <v>27668</v>
      </c>
      <c r="B86">
        <v>30890000000</v>
      </c>
    </row>
    <row r="87" spans="1:2" x14ac:dyDescent="0.2">
      <c r="A87" s="1">
        <v>27760</v>
      </c>
      <c r="B87">
        <v>32449000000</v>
      </c>
    </row>
    <row r="88" spans="1:2" x14ac:dyDescent="0.2">
      <c r="A88" s="1">
        <v>27851</v>
      </c>
      <c r="B88">
        <v>33322000000</v>
      </c>
    </row>
    <row r="89" spans="1:2" x14ac:dyDescent="0.2">
      <c r="A89" s="1">
        <v>27942</v>
      </c>
      <c r="B89">
        <v>34550000000</v>
      </c>
    </row>
    <row r="90" spans="1:2" x14ac:dyDescent="0.2">
      <c r="A90" s="1">
        <v>28034</v>
      </c>
      <c r="B90">
        <v>36678000000</v>
      </c>
    </row>
    <row r="91" spans="1:2" x14ac:dyDescent="0.2">
      <c r="A91" s="1">
        <v>28126</v>
      </c>
      <c r="B91">
        <v>38038000000</v>
      </c>
    </row>
    <row r="92" spans="1:2" x14ac:dyDescent="0.2">
      <c r="A92" s="1">
        <v>28216</v>
      </c>
      <c r="B92">
        <v>39244000000</v>
      </c>
    </row>
    <row r="93" spans="1:2" x14ac:dyDescent="0.2">
      <c r="A93" s="1">
        <v>28307</v>
      </c>
      <c r="B93">
        <v>40339000000</v>
      </c>
    </row>
    <row r="94" spans="1:2" x14ac:dyDescent="0.2">
      <c r="A94" s="1">
        <v>28399</v>
      </c>
      <c r="B94">
        <v>42165000000</v>
      </c>
    </row>
    <row r="95" spans="1:2" x14ac:dyDescent="0.2">
      <c r="A95" s="1">
        <v>28491</v>
      </c>
      <c r="B95">
        <v>44140000000</v>
      </c>
    </row>
    <row r="96" spans="1:2" x14ac:dyDescent="0.2">
      <c r="A96" s="1">
        <v>28581</v>
      </c>
      <c r="B96">
        <v>45905000000</v>
      </c>
    </row>
    <row r="97" spans="1:2" x14ac:dyDescent="0.2">
      <c r="A97" s="1">
        <v>28672</v>
      </c>
      <c r="B97">
        <v>47207000000</v>
      </c>
    </row>
    <row r="98" spans="1:2" x14ac:dyDescent="0.2">
      <c r="A98" s="1">
        <v>28764</v>
      </c>
      <c r="B98">
        <v>48906000000</v>
      </c>
    </row>
    <row r="99" spans="1:2" x14ac:dyDescent="0.2">
      <c r="A99" s="1">
        <v>28856</v>
      </c>
      <c r="B99">
        <v>50459000000</v>
      </c>
    </row>
    <row r="100" spans="1:2" x14ac:dyDescent="0.2">
      <c r="A100" s="1">
        <v>28946</v>
      </c>
      <c r="B100">
        <v>53966000000</v>
      </c>
    </row>
    <row r="101" spans="1:2" x14ac:dyDescent="0.2">
      <c r="A101" s="1">
        <v>29037</v>
      </c>
      <c r="B101">
        <v>56767000000</v>
      </c>
    </row>
    <row r="102" spans="1:2" x14ac:dyDescent="0.2">
      <c r="A102" s="1">
        <v>29129</v>
      </c>
      <c r="B102">
        <v>59789000000</v>
      </c>
    </row>
    <row r="103" spans="1:2" x14ac:dyDescent="0.2">
      <c r="A103" s="1">
        <v>29221</v>
      </c>
      <c r="B103">
        <v>62107000000</v>
      </c>
    </row>
    <row r="104" spans="1:2" x14ac:dyDescent="0.2">
      <c r="A104" s="1">
        <v>29312</v>
      </c>
      <c r="B104">
        <v>63704000000</v>
      </c>
    </row>
    <row r="105" spans="1:2" x14ac:dyDescent="0.2">
      <c r="A105" s="1">
        <v>29403</v>
      </c>
      <c r="B105">
        <v>66021000000</v>
      </c>
    </row>
    <row r="106" spans="1:2" x14ac:dyDescent="0.2">
      <c r="A106" s="1">
        <v>29495</v>
      </c>
      <c r="B106">
        <v>68138000000</v>
      </c>
    </row>
    <row r="107" spans="1:2" x14ac:dyDescent="0.2">
      <c r="A107" s="1">
        <v>29587</v>
      </c>
      <c r="B107">
        <v>69939000000</v>
      </c>
    </row>
    <row r="108" spans="1:2" x14ac:dyDescent="0.2">
      <c r="A108" s="1">
        <v>29677</v>
      </c>
      <c r="B108">
        <v>71334000000</v>
      </c>
    </row>
    <row r="109" spans="1:2" x14ac:dyDescent="0.2">
      <c r="A109" s="1">
        <v>29768</v>
      </c>
      <c r="B109">
        <v>73310000000</v>
      </c>
    </row>
    <row r="110" spans="1:2" x14ac:dyDescent="0.2">
      <c r="A110" s="1">
        <v>29860</v>
      </c>
      <c r="B110">
        <v>75597000000</v>
      </c>
    </row>
    <row r="111" spans="1:2" x14ac:dyDescent="0.2">
      <c r="A111" s="1">
        <v>29952</v>
      </c>
      <c r="B111">
        <v>77468000000</v>
      </c>
    </row>
    <row r="112" spans="1:2" x14ac:dyDescent="0.2">
      <c r="A112" s="1">
        <v>30042</v>
      </c>
      <c r="B112">
        <v>78993000000</v>
      </c>
    </row>
    <row r="113" spans="1:2" x14ac:dyDescent="0.2">
      <c r="A113" s="1">
        <v>30133</v>
      </c>
      <c r="B113">
        <v>80430000000</v>
      </c>
    </row>
    <row r="114" spans="1:2" x14ac:dyDescent="0.2">
      <c r="A114" s="1">
        <v>30225</v>
      </c>
      <c r="B114">
        <v>82667000000</v>
      </c>
    </row>
    <row r="115" spans="1:2" x14ac:dyDescent="0.2">
      <c r="A115" s="1">
        <v>30317</v>
      </c>
      <c r="B115">
        <v>85727000000</v>
      </c>
    </row>
    <row r="116" spans="1:2" x14ac:dyDescent="0.2">
      <c r="A116" s="1">
        <v>30407</v>
      </c>
      <c r="B116">
        <v>86288000000</v>
      </c>
    </row>
    <row r="117" spans="1:2" x14ac:dyDescent="0.2">
      <c r="A117" s="1">
        <v>30498</v>
      </c>
      <c r="B117">
        <v>88637000000</v>
      </c>
    </row>
    <row r="118" spans="1:2" x14ac:dyDescent="0.2">
      <c r="A118" s="1">
        <v>30590</v>
      </c>
      <c r="B118">
        <v>90695000000</v>
      </c>
    </row>
    <row r="119" spans="1:2" x14ac:dyDescent="0.2">
      <c r="A119" s="1">
        <v>30682</v>
      </c>
      <c r="B119">
        <v>91663000000</v>
      </c>
    </row>
    <row r="120" spans="1:2" x14ac:dyDescent="0.2">
      <c r="A120" s="1">
        <v>30773</v>
      </c>
      <c r="B120">
        <v>93433000000</v>
      </c>
    </row>
    <row r="121" spans="1:2" x14ac:dyDescent="0.2">
      <c r="A121" s="1">
        <v>30864</v>
      </c>
      <c r="B121">
        <v>94862000000</v>
      </c>
    </row>
    <row r="122" spans="1:2" x14ac:dyDescent="0.2">
      <c r="A122" s="1">
        <v>30956</v>
      </c>
      <c r="B122">
        <v>97962000000</v>
      </c>
    </row>
    <row r="123" spans="1:2" x14ac:dyDescent="0.2">
      <c r="A123" s="1">
        <v>31048</v>
      </c>
      <c r="B123">
        <v>99412000000</v>
      </c>
    </row>
    <row r="124" spans="1:2" x14ac:dyDescent="0.2">
      <c r="A124" s="1">
        <v>31138</v>
      </c>
      <c r="B124">
        <v>103208000000</v>
      </c>
    </row>
    <row r="125" spans="1:2" x14ac:dyDescent="0.2">
      <c r="A125" s="1">
        <v>31229</v>
      </c>
      <c r="B125">
        <v>105169000000</v>
      </c>
    </row>
    <row r="126" spans="1:2" x14ac:dyDescent="0.2">
      <c r="A126" s="1">
        <v>31321</v>
      </c>
      <c r="B126">
        <v>106841000000</v>
      </c>
    </row>
    <row r="127" spans="1:2" x14ac:dyDescent="0.2">
      <c r="A127" s="1">
        <v>31413</v>
      </c>
      <c r="B127">
        <v>108753000000</v>
      </c>
    </row>
    <row r="128" spans="1:2" x14ac:dyDescent="0.2">
      <c r="A128" s="1">
        <v>31503</v>
      </c>
      <c r="B128">
        <v>110079000000</v>
      </c>
    </row>
    <row r="129" spans="1:2" x14ac:dyDescent="0.2">
      <c r="A129" s="1">
        <v>31594</v>
      </c>
      <c r="B129">
        <v>111989000000</v>
      </c>
    </row>
    <row r="130" spans="1:2" x14ac:dyDescent="0.2">
      <c r="A130" s="1">
        <v>31686</v>
      </c>
      <c r="B130">
        <v>115779000000</v>
      </c>
    </row>
    <row r="131" spans="1:2" x14ac:dyDescent="0.2">
      <c r="A131" s="1">
        <v>31778</v>
      </c>
      <c r="B131">
        <v>118136000000</v>
      </c>
    </row>
    <row r="132" spans="1:2" x14ac:dyDescent="0.2">
      <c r="A132" s="1">
        <v>31868</v>
      </c>
      <c r="B132">
        <v>121739000000</v>
      </c>
    </row>
    <row r="133" spans="1:2" x14ac:dyDescent="0.2">
      <c r="A133" s="1">
        <v>31959</v>
      </c>
      <c r="B133">
        <v>127119000000</v>
      </c>
    </row>
    <row r="134" spans="1:2" x14ac:dyDescent="0.2">
      <c r="A134" s="1">
        <v>32051</v>
      </c>
      <c r="B134">
        <v>129815000000</v>
      </c>
    </row>
    <row r="135" spans="1:2" x14ac:dyDescent="0.2">
      <c r="A135" s="1">
        <v>32143</v>
      </c>
      <c r="B135">
        <v>133283000000</v>
      </c>
    </row>
    <row r="136" spans="1:2" x14ac:dyDescent="0.2">
      <c r="A136" s="1">
        <v>32234</v>
      </c>
      <c r="B136">
        <v>136629000000</v>
      </c>
    </row>
    <row r="137" spans="1:2" x14ac:dyDescent="0.2">
      <c r="A137" s="1">
        <v>32325</v>
      </c>
      <c r="B137">
        <v>140802000000</v>
      </c>
    </row>
    <row r="138" spans="1:2" x14ac:dyDescent="0.2">
      <c r="A138" s="1">
        <v>32417</v>
      </c>
      <c r="B138">
        <v>144969000000</v>
      </c>
    </row>
    <row r="139" spans="1:2" x14ac:dyDescent="0.2">
      <c r="A139" s="1">
        <v>32509</v>
      </c>
      <c r="B139">
        <v>148623000000</v>
      </c>
    </row>
    <row r="140" spans="1:2" x14ac:dyDescent="0.2">
      <c r="A140" s="1">
        <v>32599</v>
      </c>
      <c r="B140">
        <v>151262000000</v>
      </c>
    </row>
    <row r="141" spans="1:2" x14ac:dyDescent="0.2">
      <c r="A141" s="1">
        <v>32690</v>
      </c>
      <c r="B141">
        <v>155370000000</v>
      </c>
    </row>
    <row r="142" spans="1:2" x14ac:dyDescent="0.2">
      <c r="A142" s="1">
        <v>32782</v>
      </c>
      <c r="B142">
        <v>159376000000</v>
      </c>
    </row>
    <row r="143" spans="1:2" x14ac:dyDescent="0.2">
      <c r="A143" s="1">
        <v>32874</v>
      </c>
      <c r="B143">
        <v>163056000000</v>
      </c>
    </row>
    <row r="144" spans="1:2" x14ac:dyDescent="0.2">
      <c r="A144" s="1">
        <v>32964</v>
      </c>
      <c r="B144">
        <v>166719000000</v>
      </c>
    </row>
    <row r="145" spans="1:2" x14ac:dyDescent="0.2">
      <c r="A145" s="1">
        <v>33055</v>
      </c>
      <c r="B145">
        <v>170068000000</v>
      </c>
    </row>
    <row r="146" spans="1:2" x14ac:dyDescent="0.2">
      <c r="A146" s="1">
        <v>33147</v>
      </c>
      <c r="B146">
        <v>170954000000</v>
      </c>
    </row>
    <row r="147" spans="1:2" x14ac:dyDescent="0.2">
      <c r="A147" s="1">
        <v>33239</v>
      </c>
      <c r="B147">
        <v>173192000000</v>
      </c>
    </row>
    <row r="148" spans="1:2" x14ac:dyDescent="0.2">
      <c r="A148" s="1">
        <v>33329</v>
      </c>
      <c r="B148">
        <v>175821000000</v>
      </c>
    </row>
    <row r="149" spans="1:2" x14ac:dyDescent="0.2">
      <c r="A149" s="1">
        <v>33420</v>
      </c>
      <c r="B149">
        <v>177281000000</v>
      </c>
    </row>
    <row r="150" spans="1:2" x14ac:dyDescent="0.2">
      <c r="A150" s="1">
        <v>33512</v>
      </c>
      <c r="B150">
        <v>179590000000</v>
      </c>
    </row>
    <row r="151" spans="1:2" x14ac:dyDescent="0.2">
      <c r="A151" s="1">
        <v>33604</v>
      </c>
      <c r="B151">
        <v>181438000000</v>
      </c>
    </row>
    <row r="152" spans="1:2" x14ac:dyDescent="0.2">
      <c r="A152" s="1">
        <v>33695</v>
      </c>
      <c r="B152">
        <v>181889000000</v>
      </c>
    </row>
    <row r="153" spans="1:2" x14ac:dyDescent="0.2">
      <c r="A153" s="1">
        <v>33786</v>
      </c>
      <c r="B153">
        <v>182558000000</v>
      </c>
    </row>
    <row r="154" spans="1:2" x14ac:dyDescent="0.2">
      <c r="A154" s="1">
        <v>33878</v>
      </c>
      <c r="B154">
        <v>184989000000</v>
      </c>
    </row>
    <row r="155" spans="1:2" x14ac:dyDescent="0.2">
      <c r="A155" s="1">
        <v>33970</v>
      </c>
      <c r="B155">
        <v>189579000000</v>
      </c>
    </row>
    <row r="156" spans="1:2" x14ac:dyDescent="0.2">
      <c r="A156" s="1">
        <v>34060</v>
      </c>
      <c r="B156">
        <v>189803000000</v>
      </c>
    </row>
    <row r="157" spans="1:2" x14ac:dyDescent="0.2">
      <c r="A157" s="1">
        <v>34151</v>
      </c>
      <c r="B157">
        <v>193552000000</v>
      </c>
    </row>
    <row r="158" spans="1:2" x14ac:dyDescent="0.2">
      <c r="A158" s="1">
        <v>34243</v>
      </c>
      <c r="B158">
        <v>196921000000</v>
      </c>
    </row>
    <row r="159" spans="1:2" x14ac:dyDescent="0.2">
      <c r="A159" s="1">
        <v>34335</v>
      </c>
      <c r="B159">
        <v>199797000000</v>
      </c>
    </row>
    <row r="160" spans="1:2" x14ac:dyDescent="0.2">
      <c r="A160" s="1">
        <v>34425</v>
      </c>
      <c r="B160">
        <v>200690000000</v>
      </c>
    </row>
    <row r="161" spans="1:2" x14ac:dyDescent="0.2">
      <c r="A161" s="1">
        <v>34516</v>
      </c>
      <c r="B161">
        <v>203292000000</v>
      </c>
    </row>
    <row r="162" spans="1:2" x14ac:dyDescent="0.2">
      <c r="A162" s="1">
        <v>34608</v>
      </c>
      <c r="B162">
        <v>207015000000</v>
      </c>
    </row>
    <row r="163" spans="1:2" x14ac:dyDescent="0.2">
      <c r="A163" s="1">
        <v>34700</v>
      </c>
      <c r="B163">
        <v>208657000000</v>
      </c>
    </row>
    <row r="164" spans="1:2" x14ac:dyDescent="0.2">
      <c r="A164" s="1">
        <v>34790</v>
      </c>
      <c r="B164">
        <v>210748000000</v>
      </c>
    </row>
    <row r="165" spans="1:2" x14ac:dyDescent="0.2">
      <c r="A165" s="1">
        <v>34881</v>
      </c>
      <c r="B165">
        <v>214616000000</v>
      </c>
    </row>
    <row r="166" spans="1:2" x14ac:dyDescent="0.2">
      <c r="A166" s="1">
        <v>34973</v>
      </c>
      <c r="B166">
        <v>217824000000</v>
      </c>
    </row>
    <row r="167" spans="1:2" x14ac:dyDescent="0.2">
      <c r="A167" s="1">
        <v>35065</v>
      </c>
      <c r="B167">
        <v>221433000000</v>
      </c>
    </row>
    <row r="168" spans="1:2" x14ac:dyDescent="0.2">
      <c r="A168" s="1">
        <v>35156</v>
      </c>
      <c r="B168">
        <v>226187000000</v>
      </c>
    </row>
    <row r="169" spans="1:2" x14ac:dyDescent="0.2">
      <c r="A169" s="1">
        <v>35247</v>
      </c>
      <c r="B169">
        <v>229913000000</v>
      </c>
    </row>
    <row r="170" spans="1:2" x14ac:dyDescent="0.2">
      <c r="A170" s="1">
        <v>35339</v>
      </c>
      <c r="B170">
        <v>232460000000</v>
      </c>
    </row>
    <row r="171" spans="1:2" x14ac:dyDescent="0.2">
      <c r="A171" s="1">
        <v>35431</v>
      </c>
      <c r="B171">
        <v>232729000000</v>
      </c>
    </row>
    <row r="172" spans="1:2" x14ac:dyDescent="0.2">
      <c r="A172" s="1">
        <v>35521</v>
      </c>
      <c r="B172">
        <v>235976000000</v>
      </c>
    </row>
    <row r="173" spans="1:2" x14ac:dyDescent="0.2">
      <c r="A173" s="1">
        <v>35612</v>
      </c>
      <c r="B173">
        <v>243443000000</v>
      </c>
    </row>
    <row r="174" spans="1:2" x14ac:dyDescent="0.2">
      <c r="A174" s="1">
        <v>35704</v>
      </c>
      <c r="B174">
        <v>241257000000</v>
      </c>
    </row>
    <row r="175" spans="1:2" x14ac:dyDescent="0.2">
      <c r="A175" s="1">
        <v>35796</v>
      </c>
      <c r="B175">
        <v>245844000000</v>
      </c>
    </row>
    <row r="176" spans="1:2" x14ac:dyDescent="0.2">
      <c r="A176" s="1">
        <v>35886</v>
      </c>
      <c r="B176">
        <v>248055000000</v>
      </c>
    </row>
    <row r="177" spans="1:2" x14ac:dyDescent="0.2">
      <c r="A177" s="1">
        <v>35977</v>
      </c>
      <c r="B177">
        <v>250789000000</v>
      </c>
    </row>
    <row r="178" spans="1:2" x14ac:dyDescent="0.2">
      <c r="A178" s="1">
        <v>36069</v>
      </c>
      <c r="B178">
        <v>253813000000</v>
      </c>
    </row>
    <row r="179" spans="1:2" x14ac:dyDescent="0.2">
      <c r="A179" s="1">
        <v>36161</v>
      </c>
      <c r="B179">
        <v>255773000000</v>
      </c>
    </row>
    <row r="180" spans="1:2" x14ac:dyDescent="0.2">
      <c r="A180" s="1">
        <v>36251</v>
      </c>
      <c r="B180">
        <v>258286000000</v>
      </c>
    </row>
    <row r="181" spans="1:2" x14ac:dyDescent="0.2">
      <c r="A181" s="1">
        <v>36342</v>
      </c>
      <c r="B181">
        <v>261502000000</v>
      </c>
    </row>
    <row r="182" spans="1:2" x14ac:dyDescent="0.2">
      <c r="A182" s="1">
        <v>36434</v>
      </c>
      <c r="B182">
        <v>267687000000</v>
      </c>
    </row>
    <row r="183" spans="1:2" x14ac:dyDescent="0.2">
      <c r="A183" s="1">
        <v>36526</v>
      </c>
      <c r="B183">
        <v>272133000000</v>
      </c>
    </row>
    <row r="184" spans="1:2" x14ac:dyDescent="0.2">
      <c r="A184" s="1">
        <v>36617</v>
      </c>
      <c r="B184">
        <v>273951000000</v>
      </c>
    </row>
    <row r="185" spans="1:2" x14ac:dyDescent="0.2">
      <c r="A185" s="1">
        <v>36708</v>
      </c>
      <c r="B185">
        <v>276266000000</v>
      </c>
    </row>
    <row r="186" spans="1:2" x14ac:dyDescent="0.2">
      <c r="A186" s="1">
        <v>36800</v>
      </c>
      <c r="B186">
        <v>278402000000</v>
      </c>
    </row>
    <row r="187" spans="1:2" x14ac:dyDescent="0.2">
      <c r="A187" s="1">
        <v>36892</v>
      </c>
      <c r="B187">
        <v>282928000000</v>
      </c>
    </row>
    <row r="188" spans="1:2" x14ac:dyDescent="0.2">
      <c r="A188" s="1">
        <v>36982</v>
      </c>
      <c r="B188">
        <v>286649000000</v>
      </c>
    </row>
    <row r="189" spans="1:2" x14ac:dyDescent="0.2">
      <c r="A189" s="1">
        <v>37073</v>
      </c>
      <c r="B189">
        <v>288266000000</v>
      </c>
    </row>
    <row r="190" spans="1:2" x14ac:dyDescent="0.2">
      <c r="A190" s="1">
        <v>37165</v>
      </c>
      <c r="B190">
        <v>288292000000</v>
      </c>
    </row>
    <row r="191" spans="1:2" x14ac:dyDescent="0.2">
      <c r="A191" s="1">
        <v>37257</v>
      </c>
      <c r="B191">
        <v>292432000000</v>
      </c>
    </row>
    <row r="192" spans="1:2" x14ac:dyDescent="0.2">
      <c r="A192" s="1">
        <v>37347</v>
      </c>
      <c r="B192">
        <v>295747000000</v>
      </c>
    </row>
    <row r="193" spans="1:2" x14ac:dyDescent="0.2">
      <c r="A193" s="1">
        <v>37438</v>
      </c>
      <c r="B193">
        <v>299185000000</v>
      </c>
    </row>
    <row r="194" spans="1:2" x14ac:dyDescent="0.2">
      <c r="A194" s="1">
        <v>37530</v>
      </c>
      <c r="B194">
        <v>304075000000</v>
      </c>
    </row>
    <row r="195" spans="1:2" x14ac:dyDescent="0.2">
      <c r="A195" s="1">
        <v>37622</v>
      </c>
      <c r="B195">
        <v>307455000000</v>
      </c>
    </row>
    <row r="196" spans="1:2" x14ac:dyDescent="0.2">
      <c r="A196" s="1">
        <v>37712</v>
      </c>
      <c r="B196">
        <v>313102000000</v>
      </c>
    </row>
    <row r="197" spans="1:2" x14ac:dyDescent="0.2">
      <c r="A197" s="1">
        <v>37803</v>
      </c>
      <c r="B197">
        <v>317491000000</v>
      </c>
    </row>
    <row r="198" spans="1:2" x14ac:dyDescent="0.2">
      <c r="A198" s="1">
        <v>37895</v>
      </c>
      <c r="B198">
        <v>320286000000</v>
      </c>
    </row>
    <row r="199" spans="1:2" x14ac:dyDescent="0.2">
      <c r="A199" s="1">
        <v>37987</v>
      </c>
      <c r="B199">
        <v>322790000000</v>
      </c>
    </row>
    <row r="200" spans="1:2" x14ac:dyDescent="0.2">
      <c r="A200" s="1">
        <v>38078</v>
      </c>
      <c r="B200">
        <v>329664000000</v>
      </c>
    </row>
    <row r="201" spans="1:2" x14ac:dyDescent="0.2">
      <c r="A201" s="1">
        <v>38169</v>
      </c>
      <c r="B201">
        <v>331528000000</v>
      </c>
    </row>
    <row r="202" spans="1:2" x14ac:dyDescent="0.2">
      <c r="A202" s="1">
        <v>38261</v>
      </c>
      <c r="B202">
        <v>338655000000</v>
      </c>
    </row>
    <row r="203" spans="1:2" x14ac:dyDescent="0.2">
      <c r="A203" s="1">
        <v>38353</v>
      </c>
      <c r="B203">
        <v>341391000000</v>
      </c>
    </row>
    <row r="204" spans="1:2" x14ac:dyDescent="0.2">
      <c r="A204" s="1">
        <v>38443</v>
      </c>
      <c r="B204">
        <v>348632000000</v>
      </c>
    </row>
    <row r="205" spans="1:2" x14ac:dyDescent="0.2">
      <c r="A205" s="1">
        <v>38534</v>
      </c>
      <c r="B205">
        <v>351940000000</v>
      </c>
    </row>
    <row r="206" spans="1:2" x14ac:dyDescent="0.2">
      <c r="A206" s="1">
        <v>38626</v>
      </c>
      <c r="B206">
        <v>356786000000</v>
      </c>
    </row>
    <row r="207" spans="1:2" x14ac:dyDescent="0.2">
      <c r="A207" s="1">
        <v>38718</v>
      </c>
      <c r="B207">
        <v>361268000000</v>
      </c>
    </row>
    <row r="208" spans="1:2" x14ac:dyDescent="0.2">
      <c r="A208" s="1">
        <v>38808</v>
      </c>
      <c r="B208">
        <v>367040000000</v>
      </c>
    </row>
    <row r="209" spans="1:2" x14ac:dyDescent="0.2">
      <c r="A209" s="1">
        <v>38899</v>
      </c>
      <c r="B209">
        <v>370883000000</v>
      </c>
    </row>
    <row r="210" spans="1:2" x14ac:dyDescent="0.2">
      <c r="A210" s="1">
        <v>38991</v>
      </c>
      <c r="B210">
        <v>372847000000</v>
      </c>
    </row>
    <row r="211" spans="1:2" x14ac:dyDescent="0.2">
      <c r="A211" s="1">
        <v>39083</v>
      </c>
      <c r="B211">
        <v>377049000000</v>
      </c>
    </row>
    <row r="212" spans="1:2" x14ac:dyDescent="0.2">
      <c r="A212" s="1">
        <v>39173</v>
      </c>
      <c r="B212">
        <v>386313000000</v>
      </c>
    </row>
    <row r="213" spans="1:2" x14ac:dyDescent="0.2">
      <c r="A213" s="1">
        <v>39264</v>
      </c>
      <c r="B213">
        <v>389228000000</v>
      </c>
    </row>
    <row r="214" spans="1:2" x14ac:dyDescent="0.2">
      <c r="A214" s="1">
        <v>39356</v>
      </c>
      <c r="B214">
        <v>392047000000</v>
      </c>
    </row>
    <row r="215" spans="1:2" x14ac:dyDescent="0.2">
      <c r="A215" s="1">
        <v>39448</v>
      </c>
      <c r="B215">
        <v>397548000000</v>
      </c>
    </row>
    <row r="216" spans="1:2" x14ac:dyDescent="0.2">
      <c r="A216" s="1">
        <v>39539</v>
      </c>
      <c r="B216">
        <v>400881000000</v>
      </c>
    </row>
    <row r="217" spans="1:2" x14ac:dyDescent="0.2">
      <c r="A217" s="1">
        <v>39630</v>
      </c>
      <c r="B217">
        <v>399970000000</v>
      </c>
    </row>
    <row r="218" spans="1:2" x14ac:dyDescent="0.2">
      <c r="A218" s="1">
        <v>39722</v>
      </c>
      <c r="B218">
        <v>395201000000</v>
      </c>
    </row>
    <row r="219" spans="1:2" x14ac:dyDescent="0.2">
      <c r="A219" s="1">
        <v>39814</v>
      </c>
      <c r="B219">
        <v>386739000000</v>
      </c>
    </row>
    <row r="220" spans="1:2" x14ac:dyDescent="0.2">
      <c r="A220" s="1">
        <v>39904</v>
      </c>
      <c r="B220">
        <v>386564000000</v>
      </c>
    </row>
    <row r="221" spans="1:2" x14ac:dyDescent="0.2">
      <c r="A221" s="1">
        <v>39995</v>
      </c>
      <c r="B221">
        <v>388624000000</v>
      </c>
    </row>
    <row r="222" spans="1:2" x14ac:dyDescent="0.2">
      <c r="A222" s="1">
        <v>40087</v>
      </c>
      <c r="B222">
        <v>386875000000</v>
      </c>
    </row>
    <row r="223" spans="1:2" x14ac:dyDescent="0.2">
      <c r="A223" s="1">
        <v>40179</v>
      </c>
      <c r="B223">
        <v>396113000000</v>
      </c>
    </row>
    <row r="224" spans="1:2" x14ac:dyDescent="0.2">
      <c r="A224" s="1">
        <v>40269</v>
      </c>
      <c r="B224">
        <v>401311000000</v>
      </c>
    </row>
    <row r="225" spans="1:2" x14ac:dyDescent="0.2">
      <c r="A225" s="1">
        <v>40360</v>
      </c>
      <c r="B225">
        <v>404199000000</v>
      </c>
    </row>
    <row r="226" spans="1:2" x14ac:dyDescent="0.2">
      <c r="A226" s="1">
        <v>40452</v>
      </c>
      <c r="B226">
        <v>406930000000</v>
      </c>
    </row>
    <row r="227" spans="1:2" x14ac:dyDescent="0.2">
      <c r="A227" s="1">
        <v>40544</v>
      </c>
      <c r="B227">
        <v>414732000000</v>
      </c>
    </row>
    <row r="228" spans="1:2" x14ac:dyDescent="0.2">
      <c r="A228" s="1">
        <v>40634</v>
      </c>
      <c r="B228">
        <v>412366000000</v>
      </c>
    </row>
    <row r="229" spans="1:2" x14ac:dyDescent="0.2">
      <c r="A229" s="1">
        <v>40725</v>
      </c>
      <c r="B229">
        <v>416049000000</v>
      </c>
    </row>
    <row r="230" spans="1:2" x14ac:dyDescent="0.2">
      <c r="A230" s="1">
        <v>40817</v>
      </c>
      <c r="B230">
        <v>419443000000</v>
      </c>
    </row>
    <row r="231" spans="1:2" x14ac:dyDescent="0.2">
      <c r="A231" s="1">
        <v>40909</v>
      </c>
      <c r="B231">
        <v>424704000000</v>
      </c>
    </row>
    <row r="232" spans="1:2" x14ac:dyDescent="0.2">
      <c r="A232" s="1">
        <v>41000</v>
      </c>
      <c r="B232">
        <v>425007000000</v>
      </c>
    </row>
    <row r="233" spans="1:2" x14ac:dyDescent="0.2">
      <c r="A233" s="1">
        <v>41091</v>
      </c>
      <c r="B233">
        <v>430937000000</v>
      </c>
    </row>
    <row r="234" spans="1:2" x14ac:dyDescent="0.2">
      <c r="A234" s="1">
        <v>41183</v>
      </c>
      <c r="B234">
        <v>433067000000</v>
      </c>
    </row>
    <row r="235" spans="1:2" x14ac:dyDescent="0.2">
      <c r="A235" s="1">
        <v>41275</v>
      </c>
      <c r="B235">
        <v>438103000000</v>
      </c>
    </row>
    <row r="236" spans="1:2" x14ac:dyDescent="0.2">
      <c r="A236" s="1">
        <v>41365</v>
      </c>
      <c r="B236">
        <v>442283000000</v>
      </c>
    </row>
    <row r="237" spans="1:2" x14ac:dyDescent="0.2">
      <c r="A237" s="1">
        <v>41456</v>
      </c>
      <c r="B237">
        <v>448727000000</v>
      </c>
    </row>
    <row r="238" spans="1:2" x14ac:dyDescent="0.2">
      <c r="A238" s="1">
        <v>41548</v>
      </c>
      <c r="B238">
        <v>452248000000</v>
      </c>
    </row>
    <row r="239" spans="1:2" x14ac:dyDescent="0.2">
      <c r="A239" s="1">
        <v>41640</v>
      </c>
      <c r="B239">
        <v>457992000000</v>
      </c>
    </row>
    <row r="240" spans="1:2" x14ac:dyDescent="0.2">
      <c r="A240" s="1">
        <v>41730</v>
      </c>
      <c r="B240">
        <v>461616000000</v>
      </c>
    </row>
    <row r="241" spans="1:2" x14ac:dyDescent="0.2">
      <c r="A241" s="1">
        <v>41821</v>
      </c>
      <c r="B241">
        <v>470454000000</v>
      </c>
    </row>
    <row r="242" spans="1:2" x14ac:dyDescent="0.2">
      <c r="A242" s="1">
        <v>41913</v>
      </c>
      <c r="B242">
        <v>472452000000</v>
      </c>
    </row>
    <row r="243" spans="1:2" x14ac:dyDescent="0.2">
      <c r="A243" s="1">
        <v>42005</v>
      </c>
      <c r="B243">
        <v>474738000000</v>
      </c>
    </row>
    <row r="244" spans="1:2" x14ac:dyDescent="0.2">
      <c r="A244" s="1">
        <v>42095</v>
      </c>
      <c r="B244">
        <v>476582000000</v>
      </c>
    </row>
    <row r="245" spans="1:2" x14ac:dyDescent="0.2">
      <c r="A245" s="1">
        <v>42186</v>
      </c>
      <c r="B245">
        <v>479885000000</v>
      </c>
    </row>
    <row r="246" spans="1:2" x14ac:dyDescent="0.2">
      <c r="A246" s="1">
        <v>42278</v>
      </c>
      <c r="B246">
        <v>485246000000</v>
      </c>
    </row>
    <row r="247" spans="1:2" x14ac:dyDescent="0.2">
      <c r="A247" s="1">
        <v>42370</v>
      </c>
      <c r="B247">
        <v>489730000000</v>
      </c>
    </row>
    <row r="248" spans="1:2" x14ac:dyDescent="0.2">
      <c r="A248" s="1">
        <v>42461</v>
      </c>
      <c r="B248">
        <v>493941000000</v>
      </c>
    </row>
    <row r="249" spans="1:2" x14ac:dyDescent="0.2">
      <c r="A249" s="1">
        <v>42552</v>
      </c>
      <c r="B249">
        <v>500650000000</v>
      </c>
    </row>
    <row r="250" spans="1:2" x14ac:dyDescent="0.2">
      <c r="A250" s="1">
        <v>42644</v>
      </c>
      <c r="B250">
        <v>507324000000</v>
      </c>
    </row>
    <row r="251" spans="1:2" x14ac:dyDescent="0.2">
      <c r="A251" s="1">
        <v>42736</v>
      </c>
      <c r="B251">
        <v>513926000000</v>
      </c>
    </row>
    <row r="252" spans="1:2" x14ac:dyDescent="0.2">
      <c r="A252" s="1">
        <v>42826</v>
      </c>
      <c r="B252">
        <v>517565000000</v>
      </c>
    </row>
    <row r="253" spans="1:2" x14ac:dyDescent="0.2">
      <c r="A253" s="1">
        <v>42917</v>
      </c>
      <c r="B253">
        <v>521219000000</v>
      </c>
    </row>
    <row r="254" spans="1:2" x14ac:dyDescent="0.2">
      <c r="A254" s="1">
        <v>43009</v>
      </c>
      <c r="B254">
        <v>529772000000</v>
      </c>
    </row>
    <row r="255" spans="1:2" x14ac:dyDescent="0.2">
      <c r="A255" s="1">
        <v>43101</v>
      </c>
      <c r="B255">
        <v>531266000000</v>
      </c>
    </row>
    <row r="256" spans="1:2" x14ac:dyDescent="0.2">
      <c r="A256" s="1">
        <v>43191</v>
      </c>
      <c r="B256">
        <v>535608000000</v>
      </c>
    </row>
    <row r="257" spans="1:2" x14ac:dyDescent="0.2">
      <c r="A257" s="1">
        <v>43282</v>
      </c>
      <c r="B257">
        <v>540123000000</v>
      </c>
    </row>
    <row r="258" spans="1:2" x14ac:dyDescent="0.2">
      <c r="A258" s="1">
        <v>43374</v>
      </c>
      <c r="B258">
        <v>545307000000</v>
      </c>
    </row>
    <row r="259" spans="1:2" x14ac:dyDescent="0.2">
      <c r="A259" s="1">
        <v>43466</v>
      </c>
      <c r="B259">
        <v>549394000000</v>
      </c>
    </row>
    <row r="260" spans="1:2" x14ac:dyDescent="0.2">
      <c r="A260" s="1">
        <v>43556</v>
      </c>
      <c r="B260">
        <v>555948000000</v>
      </c>
    </row>
    <row r="261" spans="1:2" x14ac:dyDescent="0.2">
      <c r="A261" s="1">
        <v>43647</v>
      </c>
      <c r="B261">
        <v>562790000000</v>
      </c>
    </row>
    <row r="262" spans="1:2" x14ac:dyDescent="0.2">
      <c r="A262" s="1">
        <v>43739</v>
      </c>
      <c r="B262">
        <v>565789000000</v>
      </c>
    </row>
    <row r="263" spans="1:2" x14ac:dyDescent="0.2">
      <c r="A263" s="1">
        <v>43831</v>
      </c>
      <c r="B263">
        <v>556179000000</v>
      </c>
    </row>
    <row r="264" spans="1:2" x14ac:dyDescent="0.2">
      <c r="A264" s="1">
        <v>43922</v>
      </c>
      <c r="B264">
        <v>475747000000</v>
      </c>
    </row>
    <row r="265" spans="1:2" x14ac:dyDescent="0.2">
      <c r="A265" s="1">
        <v>44013</v>
      </c>
      <c r="B265">
        <v>533668000000</v>
      </c>
    </row>
    <row r="266" spans="1:2" x14ac:dyDescent="0.2">
      <c r="A266" s="1">
        <v>44105</v>
      </c>
      <c r="B266">
        <v>538694000000</v>
      </c>
    </row>
    <row r="267" spans="1:2" x14ac:dyDescent="0.2">
      <c r="A267" s="1">
        <v>44197</v>
      </c>
      <c r="B267">
        <v>538012000000</v>
      </c>
    </row>
    <row r="268" spans="1:2" x14ac:dyDescent="0.2">
      <c r="A268" s="1">
        <v>44287</v>
      </c>
      <c r="B268">
        <v>567887000000</v>
      </c>
    </row>
    <row r="269" spans="1:2" x14ac:dyDescent="0.2">
      <c r="A269" s="1">
        <v>44378</v>
      </c>
      <c r="B269">
        <v>581506000000</v>
      </c>
    </row>
    <row r="270" spans="1:2" x14ac:dyDescent="0.2">
      <c r="A270" s="1">
        <v>44470</v>
      </c>
      <c r="B270">
        <v>596674000000</v>
      </c>
    </row>
    <row r="271" spans="1:2" x14ac:dyDescent="0.2">
      <c r="A271" s="1">
        <v>44562</v>
      </c>
      <c r="B271">
        <v>608817000000</v>
      </c>
    </row>
    <row r="272" spans="1:2" x14ac:dyDescent="0.2">
      <c r="A272" s="1">
        <v>44652</v>
      </c>
      <c r="B272">
        <v>622011000000</v>
      </c>
    </row>
    <row r="273" spans="1:2" x14ac:dyDescent="0.2">
      <c r="A273" s="1">
        <v>44743</v>
      </c>
      <c r="B273">
        <v>630651000000</v>
      </c>
    </row>
    <row r="274" spans="1:2" x14ac:dyDescent="0.2">
      <c r="A274" s="1">
        <v>44835</v>
      </c>
      <c r="B274">
        <v>644691000000</v>
      </c>
    </row>
    <row r="275" spans="1:2" x14ac:dyDescent="0.2">
      <c r="A275" s="1">
        <v>44927</v>
      </c>
      <c r="B275">
        <v>658329000000</v>
      </c>
    </row>
    <row r="276" spans="1:2" x14ac:dyDescent="0.2">
      <c r="A276" s="1">
        <v>45017</v>
      </c>
      <c r="B276">
        <v>675109000000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90F27-DED0-AD43-B3E1-19BE75F5D675}">
  <dimension ref="A1:C446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6</v>
      </c>
    </row>
    <row r="2" spans="1:3" x14ac:dyDescent="0.2">
      <c r="A2" s="1" t="s">
        <v>1</v>
      </c>
      <c r="B2" t="s">
        <v>7</v>
      </c>
    </row>
    <row r="3" spans="1:3" x14ac:dyDescent="0.2">
      <c r="A3" s="1">
        <v>31656</v>
      </c>
      <c r="B3">
        <v>82305000000</v>
      </c>
    </row>
    <row r="4" spans="1:3" x14ac:dyDescent="0.2">
      <c r="A4" s="1">
        <v>31686</v>
      </c>
      <c r="B4">
        <v>85987000000</v>
      </c>
    </row>
    <row r="5" spans="1:3" x14ac:dyDescent="0.2">
      <c r="A5" s="1">
        <v>31717</v>
      </c>
      <c r="B5">
        <v>88643000000</v>
      </c>
    </row>
    <row r="6" spans="1:3" x14ac:dyDescent="0.2">
      <c r="A6" s="1">
        <v>31747</v>
      </c>
      <c r="B6">
        <v>88610000000</v>
      </c>
    </row>
    <row r="7" spans="1:3" x14ac:dyDescent="0.2">
      <c r="A7" s="1">
        <v>31778</v>
      </c>
      <c r="B7">
        <v>96116000000</v>
      </c>
    </row>
    <row r="8" spans="1:3" x14ac:dyDescent="0.2">
      <c r="A8" s="1">
        <v>31809</v>
      </c>
      <c r="B8">
        <v>97213000000</v>
      </c>
    </row>
    <row r="9" spans="1:3" x14ac:dyDescent="0.2">
      <c r="A9" s="1">
        <v>31837</v>
      </c>
      <c r="B9">
        <v>99217000000</v>
      </c>
    </row>
    <row r="10" spans="1:3" x14ac:dyDescent="0.2">
      <c r="A10" s="1">
        <v>31868</v>
      </c>
      <c r="B10">
        <v>100700000000</v>
      </c>
    </row>
    <row r="11" spans="1:3" x14ac:dyDescent="0.2">
      <c r="A11" s="1">
        <v>31898</v>
      </c>
      <c r="B11">
        <v>103358000000</v>
      </c>
    </row>
    <row r="12" spans="1:3" x14ac:dyDescent="0.2">
      <c r="A12" s="1">
        <v>31929</v>
      </c>
      <c r="B12">
        <v>104304000000</v>
      </c>
    </row>
    <row r="13" spans="1:3" x14ac:dyDescent="0.2">
      <c r="A13" s="1">
        <v>31959</v>
      </c>
      <c r="B13">
        <v>106914000000</v>
      </c>
    </row>
    <row r="14" spans="1:3" x14ac:dyDescent="0.2">
      <c r="A14" s="1">
        <v>31990</v>
      </c>
      <c r="B14">
        <v>108739000000</v>
      </c>
    </row>
    <row r="15" spans="1:3" x14ac:dyDescent="0.2">
      <c r="A15" s="1">
        <v>32021</v>
      </c>
      <c r="B15">
        <v>108555000000</v>
      </c>
    </row>
    <row r="16" spans="1:3" x14ac:dyDescent="0.2">
      <c r="A16" s="1">
        <v>32051</v>
      </c>
      <c r="B16">
        <v>112118000000</v>
      </c>
    </row>
    <row r="17" spans="1:2" x14ac:dyDescent="0.2">
      <c r="A17" s="1">
        <v>32082</v>
      </c>
      <c r="B17">
        <v>113442000000</v>
      </c>
    </row>
    <row r="18" spans="1:2" x14ac:dyDescent="0.2">
      <c r="A18" s="1">
        <v>32112</v>
      </c>
      <c r="B18">
        <v>113848000000</v>
      </c>
    </row>
    <row r="19" spans="1:2" x14ac:dyDescent="0.2">
      <c r="A19" s="1">
        <v>32143</v>
      </c>
      <c r="B19">
        <v>116063000000</v>
      </c>
    </row>
    <row r="20" spans="1:2" x14ac:dyDescent="0.2">
      <c r="A20" s="1">
        <v>32174</v>
      </c>
      <c r="B20">
        <v>115991000000</v>
      </c>
    </row>
    <row r="21" spans="1:2" x14ac:dyDescent="0.2">
      <c r="A21" s="1">
        <v>32203</v>
      </c>
      <c r="B21">
        <v>117718000000</v>
      </c>
    </row>
    <row r="22" spans="1:2" x14ac:dyDescent="0.2">
      <c r="A22" s="1">
        <v>32234</v>
      </c>
      <c r="B22">
        <v>119797000000</v>
      </c>
    </row>
    <row r="23" spans="1:2" x14ac:dyDescent="0.2">
      <c r="A23" s="1">
        <v>32264</v>
      </c>
      <c r="B23">
        <v>120769000000</v>
      </c>
    </row>
    <row r="24" spans="1:2" x14ac:dyDescent="0.2">
      <c r="A24" s="1">
        <v>32295</v>
      </c>
      <c r="B24">
        <v>122235000000</v>
      </c>
    </row>
    <row r="25" spans="1:2" x14ac:dyDescent="0.2">
      <c r="A25" s="1">
        <v>32325</v>
      </c>
      <c r="B25">
        <v>123521000000</v>
      </c>
    </row>
    <row r="26" spans="1:2" x14ac:dyDescent="0.2">
      <c r="A26" s="1">
        <v>32356</v>
      </c>
      <c r="B26">
        <v>124220000000</v>
      </c>
    </row>
    <row r="27" spans="1:2" x14ac:dyDescent="0.2">
      <c r="A27" s="1">
        <v>32387</v>
      </c>
      <c r="B27">
        <v>125991000000</v>
      </c>
    </row>
    <row r="28" spans="1:2" x14ac:dyDescent="0.2">
      <c r="A28" s="1">
        <v>32417</v>
      </c>
      <c r="B28">
        <v>127058000000</v>
      </c>
    </row>
    <row r="29" spans="1:2" x14ac:dyDescent="0.2">
      <c r="A29" s="1">
        <v>32448</v>
      </c>
      <c r="B29">
        <v>125748000000</v>
      </c>
    </row>
    <row r="30" spans="1:2" x14ac:dyDescent="0.2">
      <c r="A30" s="1">
        <v>32478</v>
      </c>
      <c r="B30">
        <v>128854000000</v>
      </c>
    </row>
    <row r="31" spans="1:2" x14ac:dyDescent="0.2">
      <c r="A31" s="1">
        <v>32509</v>
      </c>
      <c r="B31">
        <v>129315000000</v>
      </c>
    </row>
    <row r="32" spans="1:2" x14ac:dyDescent="0.2">
      <c r="A32" s="1">
        <v>32540</v>
      </c>
      <c r="B32">
        <v>132216000000</v>
      </c>
    </row>
    <row r="33" spans="1:2" x14ac:dyDescent="0.2">
      <c r="A33" s="1">
        <v>32568</v>
      </c>
      <c r="B33">
        <v>134096000000</v>
      </c>
    </row>
    <row r="34" spans="1:2" x14ac:dyDescent="0.2">
      <c r="A34" s="1">
        <v>32599</v>
      </c>
      <c r="B34">
        <v>133828000000</v>
      </c>
    </row>
    <row r="35" spans="1:2" x14ac:dyDescent="0.2">
      <c r="A35" s="1">
        <v>32629</v>
      </c>
      <c r="B35">
        <v>136687000000</v>
      </c>
    </row>
    <row r="36" spans="1:2" x14ac:dyDescent="0.2">
      <c r="A36" s="1">
        <v>32660</v>
      </c>
      <c r="B36">
        <v>156309000000</v>
      </c>
    </row>
    <row r="37" spans="1:2" x14ac:dyDescent="0.2">
      <c r="A37" s="1">
        <v>32690</v>
      </c>
      <c r="B37">
        <v>157564000000</v>
      </c>
    </row>
    <row r="38" spans="1:2" x14ac:dyDescent="0.2">
      <c r="A38" s="1">
        <v>32721</v>
      </c>
      <c r="B38">
        <v>161055000000</v>
      </c>
    </row>
    <row r="39" spans="1:2" x14ac:dyDescent="0.2">
      <c r="A39" s="1">
        <v>32752</v>
      </c>
      <c r="B39">
        <v>162212000000</v>
      </c>
    </row>
    <row r="40" spans="1:2" x14ac:dyDescent="0.2">
      <c r="A40" s="1">
        <v>32782</v>
      </c>
      <c r="B40">
        <v>163334000000</v>
      </c>
    </row>
    <row r="41" spans="1:2" x14ac:dyDescent="0.2">
      <c r="A41" s="1">
        <v>32813</v>
      </c>
      <c r="B41">
        <v>164769000000</v>
      </c>
    </row>
    <row r="42" spans="1:2" x14ac:dyDescent="0.2">
      <c r="A42" s="1">
        <v>32843</v>
      </c>
      <c r="B42">
        <v>168648000000</v>
      </c>
    </row>
    <row r="43" spans="1:2" x14ac:dyDescent="0.2">
      <c r="A43" s="1">
        <v>32874</v>
      </c>
      <c r="B43">
        <v>168166000000</v>
      </c>
    </row>
    <row r="44" spans="1:2" x14ac:dyDescent="0.2">
      <c r="A44" s="1">
        <v>32905</v>
      </c>
      <c r="B44">
        <v>169321000000</v>
      </c>
    </row>
    <row r="45" spans="1:2" x14ac:dyDescent="0.2">
      <c r="A45" s="1">
        <v>32933</v>
      </c>
      <c r="B45">
        <v>170717000000</v>
      </c>
    </row>
    <row r="46" spans="1:2" x14ac:dyDescent="0.2">
      <c r="A46" s="1">
        <v>32964</v>
      </c>
      <c r="B46">
        <v>171540000000</v>
      </c>
    </row>
    <row r="47" spans="1:2" x14ac:dyDescent="0.2">
      <c r="A47" s="1">
        <v>32994</v>
      </c>
      <c r="B47">
        <v>172079000000</v>
      </c>
    </row>
    <row r="48" spans="1:2" x14ac:dyDescent="0.2">
      <c r="A48" s="1">
        <v>33025</v>
      </c>
      <c r="B48">
        <v>173368000000</v>
      </c>
    </row>
    <row r="49" spans="1:2" x14ac:dyDescent="0.2">
      <c r="A49" s="1">
        <v>33055</v>
      </c>
      <c r="B49">
        <v>173256000000</v>
      </c>
    </row>
    <row r="50" spans="1:2" x14ac:dyDescent="0.2">
      <c r="A50" s="1">
        <v>33086</v>
      </c>
      <c r="B50">
        <v>173542000000</v>
      </c>
    </row>
    <row r="51" spans="1:2" x14ac:dyDescent="0.2">
      <c r="A51" s="1">
        <v>33117</v>
      </c>
      <c r="B51">
        <v>175222000000</v>
      </c>
    </row>
    <row r="52" spans="1:2" x14ac:dyDescent="0.2">
      <c r="A52" s="1">
        <v>33147</v>
      </c>
      <c r="B52">
        <v>175921000000</v>
      </c>
    </row>
    <row r="53" spans="1:2" x14ac:dyDescent="0.2">
      <c r="A53" s="1">
        <v>33178</v>
      </c>
      <c r="B53">
        <v>177772000000</v>
      </c>
    </row>
    <row r="54" spans="1:2" x14ac:dyDescent="0.2">
      <c r="A54" s="1">
        <v>33208</v>
      </c>
      <c r="B54">
        <v>178352000000</v>
      </c>
    </row>
    <row r="55" spans="1:2" x14ac:dyDescent="0.2">
      <c r="A55" s="1">
        <v>33239</v>
      </c>
      <c r="B55">
        <v>178441000000</v>
      </c>
    </row>
    <row r="56" spans="1:2" x14ac:dyDescent="0.2">
      <c r="A56" s="1">
        <v>33270</v>
      </c>
      <c r="B56">
        <v>178599000000</v>
      </c>
    </row>
    <row r="57" spans="1:2" x14ac:dyDescent="0.2">
      <c r="A57" s="1">
        <v>33298</v>
      </c>
      <c r="B57">
        <v>179070000000</v>
      </c>
    </row>
    <row r="58" spans="1:2" x14ac:dyDescent="0.2">
      <c r="A58" s="1">
        <v>33329</v>
      </c>
      <c r="B58">
        <v>179289000000</v>
      </c>
    </row>
    <row r="59" spans="1:2" x14ac:dyDescent="0.2">
      <c r="A59" s="1">
        <v>33359</v>
      </c>
      <c r="B59">
        <v>181280000000</v>
      </c>
    </row>
    <row r="60" spans="1:2" x14ac:dyDescent="0.2">
      <c r="A60" s="1">
        <v>33390</v>
      </c>
      <c r="B60">
        <v>181826000000</v>
      </c>
    </row>
    <row r="61" spans="1:2" x14ac:dyDescent="0.2">
      <c r="A61" s="1">
        <v>33420</v>
      </c>
      <c r="B61">
        <v>181183000000</v>
      </c>
    </row>
    <row r="62" spans="1:2" x14ac:dyDescent="0.2">
      <c r="A62" s="1">
        <v>33451</v>
      </c>
      <c r="B62">
        <v>181117000000</v>
      </c>
    </row>
    <row r="63" spans="1:2" x14ac:dyDescent="0.2">
      <c r="A63" s="1">
        <v>33482</v>
      </c>
      <c r="B63">
        <v>183432000000</v>
      </c>
    </row>
    <row r="64" spans="1:2" x14ac:dyDescent="0.2">
      <c r="A64" s="1">
        <v>33512</v>
      </c>
      <c r="B64">
        <v>182242000000</v>
      </c>
    </row>
    <row r="65" spans="1:2" x14ac:dyDescent="0.2">
      <c r="A65" s="1">
        <v>33543</v>
      </c>
      <c r="B65">
        <v>182793000000</v>
      </c>
    </row>
    <row r="66" spans="1:2" x14ac:dyDescent="0.2">
      <c r="A66" s="1">
        <v>33573</v>
      </c>
      <c r="B66">
        <v>183577000000</v>
      </c>
    </row>
    <row r="67" spans="1:2" x14ac:dyDescent="0.2">
      <c r="A67" s="1">
        <v>33604</v>
      </c>
      <c r="B67">
        <v>185127000000</v>
      </c>
    </row>
    <row r="68" spans="1:2" x14ac:dyDescent="0.2">
      <c r="A68" s="1">
        <v>33635</v>
      </c>
      <c r="B68">
        <v>185058000000</v>
      </c>
    </row>
    <row r="69" spans="1:2" x14ac:dyDescent="0.2">
      <c r="A69" s="1">
        <v>33664</v>
      </c>
      <c r="B69">
        <v>186351000000</v>
      </c>
    </row>
    <row r="70" spans="1:2" x14ac:dyDescent="0.2">
      <c r="A70" s="1">
        <v>33695</v>
      </c>
      <c r="B70">
        <v>188488000000</v>
      </c>
    </row>
    <row r="71" spans="1:2" x14ac:dyDescent="0.2">
      <c r="A71" s="1">
        <v>33725</v>
      </c>
      <c r="B71">
        <v>186532000000</v>
      </c>
    </row>
    <row r="72" spans="1:2" x14ac:dyDescent="0.2">
      <c r="A72" s="1">
        <v>33756</v>
      </c>
      <c r="B72">
        <v>186803000000</v>
      </c>
    </row>
    <row r="73" spans="1:2" x14ac:dyDescent="0.2">
      <c r="A73" s="1">
        <v>33786</v>
      </c>
      <c r="B73">
        <v>186977000000</v>
      </c>
    </row>
    <row r="74" spans="1:2" x14ac:dyDescent="0.2">
      <c r="A74" s="1">
        <v>33817</v>
      </c>
      <c r="B74">
        <v>185128000000</v>
      </c>
    </row>
    <row r="75" spans="1:2" x14ac:dyDescent="0.2">
      <c r="A75" s="1">
        <v>33848</v>
      </c>
      <c r="B75">
        <v>189828000000</v>
      </c>
    </row>
    <row r="76" spans="1:2" x14ac:dyDescent="0.2">
      <c r="A76" s="1">
        <v>33878</v>
      </c>
      <c r="B76">
        <v>193791000000</v>
      </c>
    </row>
    <row r="77" spans="1:2" x14ac:dyDescent="0.2">
      <c r="A77" s="1">
        <v>33909</v>
      </c>
      <c r="B77">
        <v>194178000000</v>
      </c>
    </row>
    <row r="78" spans="1:2" x14ac:dyDescent="0.2">
      <c r="A78" s="1">
        <v>33939</v>
      </c>
      <c r="B78">
        <v>192917000000</v>
      </c>
    </row>
    <row r="79" spans="1:2" x14ac:dyDescent="0.2">
      <c r="A79" s="1">
        <v>33970</v>
      </c>
      <c r="B79">
        <v>192843000000</v>
      </c>
    </row>
    <row r="80" spans="1:2" x14ac:dyDescent="0.2">
      <c r="A80" s="1">
        <v>34001</v>
      </c>
      <c r="B80">
        <v>195037000000</v>
      </c>
    </row>
    <row r="81" spans="1:2" x14ac:dyDescent="0.2">
      <c r="A81" s="1">
        <v>34029</v>
      </c>
      <c r="B81">
        <v>194847000000</v>
      </c>
    </row>
    <row r="82" spans="1:2" x14ac:dyDescent="0.2">
      <c r="A82" s="1">
        <v>34060</v>
      </c>
      <c r="B82">
        <v>196469000000</v>
      </c>
    </row>
    <row r="83" spans="1:2" x14ac:dyDescent="0.2">
      <c r="A83" s="1">
        <v>34090</v>
      </c>
      <c r="B83">
        <v>197116000000</v>
      </c>
    </row>
    <row r="84" spans="1:2" x14ac:dyDescent="0.2">
      <c r="A84" s="1">
        <v>34121</v>
      </c>
      <c r="B84">
        <v>198775000000</v>
      </c>
    </row>
    <row r="85" spans="1:2" x14ac:dyDescent="0.2">
      <c r="A85" s="1">
        <v>34151</v>
      </c>
      <c r="B85">
        <v>200903000000</v>
      </c>
    </row>
    <row r="86" spans="1:2" x14ac:dyDescent="0.2">
      <c r="A86" s="1">
        <v>34182</v>
      </c>
      <c r="B86">
        <v>203002000000</v>
      </c>
    </row>
    <row r="87" spans="1:2" x14ac:dyDescent="0.2">
      <c r="A87" s="1">
        <v>34213</v>
      </c>
      <c r="B87">
        <v>203635000000</v>
      </c>
    </row>
    <row r="88" spans="1:2" x14ac:dyDescent="0.2">
      <c r="A88" s="1">
        <v>34243</v>
      </c>
      <c r="B88">
        <v>205659000000</v>
      </c>
    </row>
    <row r="89" spans="1:2" x14ac:dyDescent="0.2">
      <c r="A89" s="1">
        <v>34274</v>
      </c>
      <c r="B89">
        <v>207871000000</v>
      </c>
    </row>
    <row r="90" spans="1:2" x14ac:dyDescent="0.2">
      <c r="A90" s="1">
        <v>34304</v>
      </c>
      <c r="B90">
        <v>212723000000</v>
      </c>
    </row>
    <row r="91" spans="1:2" x14ac:dyDescent="0.2">
      <c r="A91" s="1">
        <v>34335</v>
      </c>
      <c r="B91">
        <v>215240000000</v>
      </c>
    </row>
    <row r="92" spans="1:2" x14ac:dyDescent="0.2">
      <c r="A92" s="1">
        <v>34366</v>
      </c>
      <c r="B92">
        <v>216672000000</v>
      </c>
    </row>
    <row r="93" spans="1:2" x14ac:dyDescent="0.2">
      <c r="A93" s="1">
        <v>34394</v>
      </c>
      <c r="B93">
        <v>217304000000</v>
      </c>
    </row>
    <row r="94" spans="1:2" x14ac:dyDescent="0.2">
      <c r="A94" s="1">
        <v>34425</v>
      </c>
      <c r="B94">
        <v>216863000000</v>
      </c>
    </row>
    <row r="95" spans="1:2" x14ac:dyDescent="0.2">
      <c r="A95" s="1">
        <v>34455</v>
      </c>
      <c r="B95">
        <v>217181000000</v>
      </c>
    </row>
    <row r="96" spans="1:2" x14ac:dyDescent="0.2">
      <c r="A96" s="1">
        <v>34486</v>
      </c>
      <c r="B96">
        <v>216099000000</v>
      </c>
    </row>
    <row r="97" spans="1:2" x14ac:dyDescent="0.2">
      <c r="A97" s="1">
        <v>34516</v>
      </c>
      <c r="B97">
        <v>217684000000</v>
      </c>
    </row>
    <row r="98" spans="1:2" x14ac:dyDescent="0.2">
      <c r="A98" s="1">
        <v>34547</v>
      </c>
      <c r="B98">
        <v>219583000000</v>
      </c>
    </row>
    <row r="99" spans="1:2" x14ac:dyDescent="0.2">
      <c r="A99" s="1">
        <v>34578</v>
      </c>
      <c r="B99">
        <v>218819000000</v>
      </c>
    </row>
    <row r="100" spans="1:2" x14ac:dyDescent="0.2">
      <c r="A100" s="1">
        <v>34608</v>
      </c>
      <c r="B100">
        <v>219223000000</v>
      </c>
    </row>
    <row r="101" spans="1:2" x14ac:dyDescent="0.2">
      <c r="A101" s="1">
        <v>34639</v>
      </c>
      <c r="B101">
        <v>220017000000</v>
      </c>
    </row>
    <row r="102" spans="1:2" x14ac:dyDescent="0.2">
      <c r="A102" s="1">
        <v>34669</v>
      </c>
      <c r="B102">
        <v>220131000000</v>
      </c>
    </row>
    <row r="103" spans="1:2" x14ac:dyDescent="0.2">
      <c r="A103" s="1">
        <v>34700</v>
      </c>
      <c r="B103">
        <v>221302000000</v>
      </c>
    </row>
    <row r="104" spans="1:2" x14ac:dyDescent="0.2">
      <c r="A104" s="1">
        <v>34731</v>
      </c>
      <c r="B104">
        <v>224293000000</v>
      </c>
    </row>
    <row r="105" spans="1:2" x14ac:dyDescent="0.2">
      <c r="A105" s="1">
        <v>34759</v>
      </c>
      <c r="B105">
        <v>231336000000</v>
      </c>
    </row>
    <row r="106" spans="1:2" x14ac:dyDescent="0.2">
      <c r="A106" s="1">
        <v>34790</v>
      </c>
      <c r="B106">
        <v>228837000000</v>
      </c>
    </row>
    <row r="107" spans="1:2" x14ac:dyDescent="0.2">
      <c r="A107" s="1">
        <v>34820</v>
      </c>
      <c r="B107">
        <v>230236000000</v>
      </c>
    </row>
    <row r="108" spans="1:2" x14ac:dyDescent="0.2">
      <c r="A108" s="1">
        <v>34851</v>
      </c>
      <c r="B108">
        <v>230157000000</v>
      </c>
    </row>
    <row r="109" spans="1:2" x14ac:dyDescent="0.2">
      <c r="A109" s="1">
        <v>34881</v>
      </c>
      <c r="B109">
        <v>234870000000</v>
      </c>
    </row>
    <row r="110" spans="1:2" x14ac:dyDescent="0.2">
      <c r="A110" s="1">
        <v>34912</v>
      </c>
      <c r="B110">
        <v>246464000000</v>
      </c>
    </row>
    <row r="111" spans="1:2" x14ac:dyDescent="0.2">
      <c r="A111" s="1">
        <v>34943</v>
      </c>
      <c r="B111">
        <v>248176000000</v>
      </c>
    </row>
    <row r="112" spans="1:2" x14ac:dyDescent="0.2">
      <c r="A112" s="1">
        <v>34973</v>
      </c>
      <c r="B112">
        <v>249324000000</v>
      </c>
    </row>
    <row r="113" spans="1:2" x14ac:dyDescent="0.2">
      <c r="A113" s="1">
        <v>35004</v>
      </c>
      <c r="B113">
        <v>249125000000</v>
      </c>
    </row>
    <row r="114" spans="1:2" x14ac:dyDescent="0.2">
      <c r="A114" s="1">
        <v>35034</v>
      </c>
      <c r="B114">
        <v>252495000000</v>
      </c>
    </row>
    <row r="115" spans="1:2" x14ac:dyDescent="0.2">
      <c r="A115" s="1">
        <v>35065</v>
      </c>
      <c r="B115">
        <v>254727000000</v>
      </c>
    </row>
    <row r="116" spans="1:2" x14ac:dyDescent="0.2">
      <c r="A116" s="1">
        <v>35096</v>
      </c>
      <c r="B116">
        <v>255218000000</v>
      </c>
    </row>
    <row r="117" spans="1:2" x14ac:dyDescent="0.2">
      <c r="A117" s="1">
        <v>35125</v>
      </c>
      <c r="B117">
        <v>256831000000</v>
      </c>
    </row>
    <row r="118" spans="1:2" x14ac:dyDescent="0.2">
      <c r="A118" s="1">
        <v>35156</v>
      </c>
      <c r="B118">
        <v>260505000000</v>
      </c>
    </row>
    <row r="119" spans="1:2" x14ac:dyDescent="0.2">
      <c r="A119" s="1">
        <v>35186</v>
      </c>
      <c r="B119">
        <v>258417000000</v>
      </c>
    </row>
    <row r="120" spans="1:2" x14ac:dyDescent="0.2">
      <c r="A120" s="1">
        <v>35217</v>
      </c>
      <c r="B120">
        <v>265787000000</v>
      </c>
    </row>
    <row r="121" spans="1:2" x14ac:dyDescent="0.2">
      <c r="A121" s="1">
        <v>35247</v>
      </c>
      <c r="B121">
        <v>266185000000</v>
      </c>
    </row>
    <row r="122" spans="1:2" x14ac:dyDescent="0.2">
      <c r="A122" s="1">
        <v>35278</v>
      </c>
      <c r="B122">
        <v>264785000000</v>
      </c>
    </row>
    <row r="123" spans="1:2" x14ac:dyDescent="0.2">
      <c r="A123" s="1">
        <v>35309</v>
      </c>
      <c r="B123">
        <v>273460000000</v>
      </c>
    </row>
    <row r="124" spans="1:2" x14ac:dyDescent="0.2">
      <c r="A124" s="1">
        <v>35339</v>
      </c>
      <c r="B124">
        <v>271239000000</v>
      </c>
    </row>
    <row r="125" spans="1:2" x14ac:dyDescent="0.2">
      <c r="A125" s="1">
        <v>35370</v>
      </c>
      <c r="B125">
        <v>272553000000</v>
      </c>
    </row>
    <row r="126" spans="1:2" x14ac:dyDescent="0.2">
      <c r="A126" s="1">
        <v>35400</v>
      </c>
      <c r="B126">
        <v>275100000000</v>
      </c>
    </row>
    <row r="127" spans="1:2" x14ac:dyDescent="0.2">
      <c r="A127" s="1">
        <v>35431</v>
      </c>
      <c r="B127">
        <v>279140000000</v>
      </c>
    </row>
    <row r="128" spans="1:2" x14ac:dyDescent="0.2">
      <c r="A128" s="1">
        <v>35462</v>
      </c>
      <c r="B128">
        <v>281189000000</v>
      </c>
    </row>
    <row r="129" spans="1:2" x14ac:dyDescent="0.2">
      <c r="A129" s="1">
        <v>35490</v>
      </c>
      <c r="B129">
        <v>283785000000</v>
      </c>
    </row>
    <row r="130" spans="1:2" x14ac:dyDescent="0.2">
      <c r="A130" s="1">
        <v>35521</v>
      </c>
      <c r="B130">
        <v>290590000000</v>
      </c>
    </row>
    <row r="131" spans="1:2" x14ac:dyDescent="0.2">
      <c r="A131" s="1">
        <v>35551</v>
      </c>
      <c r="B131">
        <v>296155000000</v>
      </c>
    </row>
    <row r="132" spans="1:2" x14ac:dyDescent="0.2">
      <c r="A132" s="1">
        <v>35582</v>
      </c>
      <c r="B132">
        <v>319089000000</v>
      </c>
    </row>
    <row r="133" spans="1:2" x14ac:dyDescent="0.2">
      <c r="A133" s="1">
        <v>35612</v>
      </c>
      <c r="B133">
        <v>330821000000</v>
      </c>
    </row>
    <row r="134" spans="1:2" x14ac:dyDescent="0.2">
      <c r="A134" s="1">
        <v>35643</v>
      </c>
      <c r="B134">
        <v>328063000000</v>
      </c>
    </row>
    <row r="135" spans="1:2" x14ac:dyDescent="0.2">
      <c r="A135" s="1">
        <v>35674</v>
      </c>
      <c r="B135">
        <v>325341000000</v>
      </c>
    </row>
    <row r="136" spans="1:2" x14ac:dyDescent="0.2">
      <c r="A136" s="1">
        <v>35704</v>
      </c>
      <c r="B136">
        <v>329894000000</v>
      </c>
    </row>
    <row r="137" spans="1:2" x14ac:dyDescent="0.2">
      <c r="A137" s="1">
        <v>35735</v>
      </c>
      <c r="B137">
        <v>332186000000</v>
      </c>
    </row>
    <row r="138" spans="1:2" x14ac:dyDescent="0.2">
      <c r="A138" s="1">
        <v>35765</v>
      </c>
      <c r="B138">
        <v>334249000000</v>
      </c>
    </row>
    <row r="139" spans="1:2" x14ac:dyDescent="0.2">
      <c r="A139" s="1">
        <v>35796</v>
      </c>
      <c r="B139">
        <v>336502000000</v>
      </c>
    </row>
    <row r="140" spans="1:2" x14ac:dyDescent="0.2">
      <c r="A140" s="1">
        <v>35827</v>
      </c>
      <c r="B140">
        <v>339895000000</v>
      </c>
    </row>
    <row r="141" spans="1:2" x14ac:dyDescent="0.2">
      <c r="A141" s="1">
        <v>35855</v>
      </c>
      <c r="B141">
        <v>345837000000</v>
      </c>
    </row>
    <row r="142" spans="1:2" x14ac:dyDescent="0.2">
      <c r="A142" s="1">
        <v>35886</v>
      </c>
      <c r="B142">
        <v>346578000000</v>
      </c>
    </row>
    <row r="143" spans="1:2" x14ac:dyDescent="0.2">
      <c r="A143" s="1">
        <v>35916</v>
      </c>
      <c r="B143">
        <v>350363000000</v>
      </c>
    </row>
    <row r="144" spans="1:2" x14ac:dyDescent="0.2">
      <c r="A144" s="1">
        <v>35947</v>
      </c>
      <c r="B144">
        <v>352879000000</v>
      </c>
    </row>
    <row r="145" spans="1:2" x14ac:dyDescent="0.2">
      <c r="A145" s="1">
        <v>35977</v>
      </c>
      <c r="B145">
        <v>351909000000</v>
      </c>
    </row>
    <row r="146" spans="1:2" x14ac:dyDescent="0.2">
      <c r="A146" s="1">
        <v>36008</v>
      </c>
      <c r="B146">
        <v>351790000000</v>
      </c>
    </row>
    <row r="147" spans="1:2" x14ac:dyDescent="0.2">
      <c r="A147" s="1">
        <v>36039</v>
      </c>
      <c r="B147">
        <v>354424000000</v>
      </c>
    </row>
    <row r="148" spans="1:2" x14ac:dyDescent="0.2">
      <c r="A148" s="1">
        <v>36069</v>
      </c>
      <c r="B148">
        <v>359499000000</v>
      </c>
    </row>
    <row r="149" spans="1:2" x14ac:dyDescent="0.2">
      <c r="A149" s="1">
        <v>36100</v>
      </c>
      <c r="B149">
        <v>365085000000</v>
      </c>
    </row>
    <row r="150" spans="1:2" x14ac:dyDescent="0.2">
      <c r="A150" s="1">
        <v>36130</v>
      </c>
      <c r="B150">
        <v>362342000000</v>
      </c>
    </row>
    <row r="151" spans="1:2" x14ac:dyDescent="0.2">
      <c r="A151" s="1">
        <v>36161</v>
      </c>
      <c r="B151">
        <v>365100000000</v>
      </c>
    </row>
    <row r="152" spans="1:2" x14ac:dyDescent="0.2">
      <c r="A152" s="1">
        <v>36192</v>
      </c>
      <c r="B152">
        <v>367889000000</v>
      </c>
    </row>
    <row r="153" spans="1:2" x14ac:dyDescent="0.2">
      <c r="A153" s="1">
        <v>36220</v>
      </c>
      <c r="B153">
        <v>368893000000</v>
      </c>
    </row>
    <row r="154" spans="1:2" x14ac:dyDescent="0.2">
      <c r="A154" s="1">
        <v>36251</v>
      </c>
      <c r="B154">
        <v>372359000000</v>
      </c>
    </row>
    <row r="155" spans="1:2" x14ac:dyDescent="0.2">
      <c r="A155" s="1">
        <v>36281</v>
      </c>
      <c r="B155">
        <v>371352000000</v>
      </c>
    </row>
    <row r="156" spans="1:2" x14ac:dyDescent="0.2">
      <c r="A156" s="1">
        <v>36312</v>
      </c>
      <c r="B156">
        <v>380841000000</v>
      </c>
    </row>
    <row r="157" spans="1:2" x14ac:dyDescent="0.2">
      <c r="A157" s="1">
        <v>36342</v>
      </c>
      <c r="B157">
        <v>381772000000</v>
      </c>
    </row>
    <row r="158" spans="1:2" x14ac:dyDescent="0.2">
      <c r="A158" s="1">
        <v>36373</v>
      </c>
      <c r="B158">
        <v>388281000000</v>
      </c>
    </row>
    <row r="159" spans="1:2" x14ac:dyDescent="0.2">
      <c r="A159" s="1">
        <v>36404</v>
      </c>
      <c r="B159">
        <v>386135000000</v>
      </c>
    </row>
    <row r="160" spans="1:2" x14ac:dyDescent="0.2">
      <c r="A160" s="1">
        <v>36434</v>
      </c>
      <c r="B160">
        <v>391477000000</v>
      </c>
    </row>
    <row r="161" spans="1:2" x14ac:dyDescent="0.2">
      <c r="A161" s="1">
        <v>36465</v>
      </c>
      <c r="B161">
        <v>397715000000</v>
      </c>
    </row>
    <row r="162" spans="1:2" x14ac:dyDescent="0.2">
      <c r="A162" s="1">
        <v>36495</v>
      </c>
      <c r="B162">
        <v>399174000000</v>
      </c>
    </row>
    <row r="163" spans="1:2" x14ac:dyDescent="0.2">
      <c r="A163" s="1">
        <v>36526</v>
      </c>
      <c r="B163">
        <v>405692000000</v>
      </c>
    </row>
    <row r="164" spans="1:2" x14ac:dyDescent="0.2">
      <c r="A164" s="1">
        <v>36557</v>
      </c>
      <c r="B164">
        <v>409779000000</v>
      </c>
    </row>
    <row r="165" spans="1:2" x14ac:dyDescent="0.2">
      <c r="A165" s="1">
        <v>36586</v>
      </c>
      <c r="B165">
        <v>413326000000</v>
      </c>
    </row>
    <row r="166" spans="1:2" x14ac:dyDescent="0.2">
      <c r="A166" s="1">
        <v>36617</v>
      </c>
      <c r="B166">
        <v>421239000000</v>
      </c>
    </row>
    <row r="167" spans="1:2" x14ac:dyDescent="0.2">
      <c r="A167" s="1">
        <v>36647</v>
      </c>
      <c r="B167">
        <v>428611000000</v>
      </c>
    </row>
    <row r="168" spans="1:2" x14ac:dyDescent="0.2">
      <c r="A168" s="1">
        <v>36678</v>
      </c>
      <c r="B168">
        <v>431608000000</v>
      </c>
    </row>
    <row r="169" spans="1:2" x14ac:dyDescent="0.2">
      <c r="A169" s="1">
        <v>36708</v>
      </c>
      <c r="B169">
        <v>435479000000</v>
      </c>
    </row>
    <row r="170" spans="1:2" x14ac:dyDescent="0.2">
      <c r="A170" s="1">
        <v>36739</v>
      </c>
      <c r="B170">
        <v>440356000000</v>
      </c>
    </row>
    <row r="171" spans="1:2" x14ac:dyDescent="0.2">
      <c r="A171" s="1">
        <v>36770</v>
      </c>
      <c r="B171">
        <v>440901000000</v>
      </c>
    </row>
    <row r="172" spans="1:2" x14ac:dyDescent="0.2">
      <c r="A172" s="1">
        <v>36800</v>
      </c>
      <c r="B172">
        <v>448849000000</v>
      </c>
    </row>
    <row r="173" spans="1:2" x14ac:dyDescent="0.2">
      <c r="A173" s="1">
        <v>36831</v>
      </c>
      <c r="B173">
        <v>448477000000</v>
      </c>
    </row>
    <row r="174" spans="1:2" x14ac:dyDescent="0.2">
      <c r="A174" s="1">
        <v>36861</v>
      </c>
      <c r="B174">
        <v>459010000000</v>
      </c>
    </row>
    <row r="175" spans="1:2" x14ac:dyDescent="0.2">
      <c r="A175" s="1">
        <v>36892</v>
      </c>
      <c r="B175">
        <v>462089000000</v>
      </c>
    </row>
    <row r="176" spans="1:2" x14ac:dyDescent="0.2">
      <c r="A176" s="1">
        <v>36923</v>
      </c>
      <c r="B176">
        <v>466392000000</v>
      </c>
    </row>
    <row r="177" spans="1:2" x14ac:dyDescent="0.2">
      <c r="A177" s="1">
        <v>36951</v>
      </c>
      <c r="B177">
        <v>476645000000</v>
      </c>
    </row>
    <row r="178" spans="1:2" x14ac:dyDescent="0.2">
      <c r="A178" s="1">
        <v>36982</v>
      </c>
      <c r="B178">
        <v>479886000000</v>
      </c>
    </row>
    <row r="179" spans="1:2" x14ac:dyDescent="0.2">
      <c r="A179" s="1">
        <v>37012</v>
      </c>
      <c r="B179">
        <v>481401000000</v>
      </c>
    </row>
    <row r="180" spans="1:2" x14ac:dyDescent="0.2">
      <c r="A180" s="1">
        <v>37043</v>
      </c>
      <c r="B180">
        <v>483793000000</v>
      </c>
    </row>
    <row r="181" spans="1:2" x14ac:dyDescent="0.2">
      <c r="A181" s="1">
        <v>37073</v>
      </c>
      <c r="B181">
        <v>492080000000</v>
      </c>
    </row>
    <row r="182" spans="1:2" x14ac:dyDescent="0.2">
      <c r="A182" s="1">
        <v>37104</v>
      </c>
      <c r="B182">
        <v>488895000000</v>
      </c>
    </row>
    <row r="183" spans="1:2" x14ac:dyDescent="0.2">
      <c r="A183" s="1">
        <v>37135</v>
      </c>
      <c r="B183">
        <v>499302000000</v>
      </c>
    </row>
    <row r="184" spans="1:2" x14ac:dyDescent="0.2">
      <c r="A184" s="1">
        <v>37165</v>
      </c>
      <c r="B184">
        <v>501665000000</v>
      </c>
    </row>
    <row r="185" spans="1:2" x14ac:dyDescent="0.2">
      <c r="A185" s="1">
        <v>37196</v>
      </c>
      <c r="B185">
        <v>505272000000</v>
      </c>
    </row>
    <row r="186" spans="1:2" x14ac:dyDescent="0.2">
      <c r="A186" s="1">
        <v>37226</v>
      </c>
      <c r="B186">
        <v>505757000000</v>
      </c>
    </row>
    <row r="187" spans="1:2" x14ac:dyDescent="0.2">
      <c r="A187" s="1">
        <v>37257</v>
      </c>
      <c r="B187">
        <v>501558000000</v>
      </c>
    </row>
    <row r="188" spans="1:2" x14ac:dyDescent="0.2">
      <c r="A188" s="1">
        <v>37288</v>
      </c>
      <c r="B188">
        <v>504249000000</v>
      </c>
    </row>
    <row r="189" spans="1:2" x14ac:dyDescent="0.2">
      <c r="A189" s="1">
        <v>37316</v>
      </c>
      <c r="B189">
        <v>503708000000</v>
      </c>
    </row>
    <row r="190" spans="1:2" x14ac:dyDescent="0.2">
      <c r="A190" s="1">
        <v>37347</v>
      </c>
      <c r="B190">
        <v>506930000000</v>
      </c>
    </row>
    <row r="191" spans="1:2" x14ac:dyDescent="0.2">
      <c r="A191" s="1">
        <v>37377</v>
      </c>
      <c r="B191">
        <v>512246000000</v>
      </c>
    </row>
    <row r="192" spans="1:2" x14ac:dyDescent="0.2">
      <c r="A192" s="1">
        <v>37408</v>
      </c>
      <c r="B192">
        <v>517760000000</v>
      </c>
    </row>
    <row r="193" spans="1:2" x14ac:dyDescent="0.2">
      <c r="A193" s="1">
        <v>37438</v>
      </c>
      <c r="B193">
        <v>523295000000</v>
      </c>
    </row>
    <row r="194" spans="1:2" x14ac:dyDescent="0.2">
      <c r="A194" s="1">
        <v>37469</v>
      </c>
      <c r="B194">
        <v>525678000000</v>
      </c>
    </row>
    <row r="195" spans="1:2" x14ac:dyDescent="0.2">
      <c r="A195" s="1">
        <v>37500</v>
      </c>
      <c r="B195">
        <v>532315000000</v>
      </c>
    </row>
    <row r="196" spans="1:2" x14ac:dyDescent="0.2">
      <c r="A196" s="1">
        <v>37530</v>
      </c>
      <c r="B196">
        <v>535712000000</v>
      </c>
    </row>
    <row r="197" spans="1:2" x14ac:dyDescent="0.2">
      <c r="A197" s="1">
        <v>37561</v>
      </c>
      <c r="B197">
        <v>538665000000</v>
      </c>
    </row>
    <row r="198" spans="1:2" x14ac:dyDescent="0.2">
      <c r="A198" s="1">
        <v>37591</v>
      </c>
      <c r="B198">
        <v>544642000000</v>
      </c>
    </row>
    <row r="199" spans="1:2" x14ac:dyDescent="0.2">
      <c r="A199" s="1">
        <v>37622</v>
      </c>
      <c r="B199">
        <v>544247000000</v>
      </c>
    </row>
    <row r="200" spans="1:2" x14ac:dyDescent="0.2">
      <c r="A200" s="1">
        <v>37653</v>
      </c>
      <c r="B200">
        <v>552103000000</v>
      </c>
    </row>
    <row r="201" spans="1:2" x14ac:dyDescent="0.2">
      <c r="A201" s="1">
        <v>37681</v>
      </c>
      <c r="B201">
        <v>553147000000</v>
      </c>
    </row>
    <row r="202" spans="1:2" x14ac:dyDescent="0.2">
      <c r="A202" s="1">
        <v>37712</v>
      </c>
      <c r="B202">
        <v>558229000000</v>
      </c>
    </row>
    <row r="203" spans="1:2" x14ac:dyDescent="0.2">
      <c r="A203" s="1">
        <v>37742</v>
      </c>
      <c r="B203">
        <v>563807000000</v>
      </c>
    </row>
    <row r="204" spans="1:2" x14ac:dyDescent="0.2">
      <c r="A204" s="1">
        <v>37773</v>
      </c>
      <c r="B204">
        <v>562626000000</v>
      </c>
    </row>
    <row r="205" spans="1:2" x14ac:dyDescent="0.2">
      <c r="A205" s="1">
        <v>37803</v>
      </c>
      <c r="B205">
        <v>564968000000</v>
      </c>
    </row>
    <row r="206" spans="1:2" x14ac:dyDescent="0.2">
      <c r="A206" s="1">
        <v>37834</v>
      </c>
      <c r="B206">
        <v>571519000000</v>
      </c>
    </row>
    <row r="207" spans="1:2" x14ac:dyDescent="0.2">
      <c r="A207" s="1">
        <v>37865</v>
      </c>
      <c r="B207">
        <v>577893000000</v>
      </c>
    </row>
    <row r="208" spans="1:2" x14ac:dyDescent="0.2">
      <c r="A208" s="1">
        <v>37895</v>
      </c>
      <c r="B208">
        <v>584355000000</v>
      </c>
    </row>
    <row r="209" spans="1:2" x14ac:dyDescent="0.2">
      <c r="A209" s="1">
        <v>37926</v>
      </c>
      <c r="B209">
        <v>590236000000</v>
      </c>
    </row>
    <row r="210" spans="1:2" x14ac:dyDescent="0.2">
      <c r="A210" s="1">
        <v>37956</v>
      </c>
      <c r="B210">
        <v>595815000000</v>
      </c>
    </row>
    <row r="211" spans="1:2" x14ac:dyDescent="0.2">
      <c r="A211" s="1">
        <v>37987</v>
      </c>
      <c r="B211">
        <v>603735000000</v>
      </c>
    </row>
    <row r="212" spans="1:2" x14ac:dyDescent="0.2">
      <c r="A212" s="1">
        <v>38018</v>
      </c>
      <c r="B212">
        <v>607445000000</v>
      </c>
    </row>
    <row r="213" spans="1:2" x14ac:dyDescent="0.2">
      <c r="A213" s="1">
        <v>38047</v>
      </c>
      <c r="B213">
        <v>615644000000</v>
      </c>
    </row>
    <row r="214" spans="1:2" x14ac:dyDescent="0.2">
      <c r="A214" s="1">
        <v>38078</v>
      </c>
      <c r="B214">
        <v>630050000000</v>
      </c>
    </row>
    <row r="215" spans="1:2" x14ac:dyDescent="0.2">
      <c r="A215" s="1">
        <v>38108</v>
      </c>
      <c r="B215">
        <v>618169000000</v>
      </c>
    </row>
    <row r="216" spans="1:2" x14ac:dyDescent="0.2">
      <c r="A216" s="1">
        <v>38139</v>
      </c>
      <c r="B216">
        <v>634240000000</v>
      </c>
    </row>
    <row r="217" spans="1:2" x14ac:dyDescent="0.2">
      <c r="A217" s="1">
        <v>38169</v>
      </c>
      <c r="B217">
        <v>640167000000</v>
      </c>
    </row>
    <row r="218" spans="1:2" x14ac:dyDescent="0.2">
      <c r="A218" s="1">
        <v>38200</v>
      </c>
      <c r="B218">
        <v>649678000000</v>
      </c>
    </row>
    <row r="219" spans="1:2" x14ac:dyDescent="0.2">
      <c r="A219" s="1">
        <v>38231</v>
      </c>
      <c r="B219">
        <v>652292000000</v>
      </c>
    </row>
    <row r="220" spans="1:2" x14ac:dyDescent="0.2">
      <c r="A220" s="1">
        <v>38261</v>
      </c>
      <c r="B220">
        <v>659582000000</v>
      </c>
    </row>
    <row r="221" spans="1:2" x14ac:dyDescent="0.2">
      <c r="A221" s="1">
        <v>38292</v>
      </c>
      <c r="B221">
        <v>666533000000</v>
      </c>
    </row>
    <row r="222" spans="1:2" x14ac:dyDescent="0.2">
      <c r="A222" s="1">
        <v>38322</v>
      </c>
      <c r="B222">
        <v>670567000000</v>
      </c>
    </row>
    <row r="223" spans="1:2" x14ac:dyDescent="0.2">
      <c r="A223" s="1">
        <v>38353</v>
      </c>
      <c r="B223">
        <v>678378000000</v>
      </c>
    </row>
    <row r="224" spans="1:2" x14ac:dyDescent="0.2">
      <c r="A224" s="1">
        <v>38384</v>
      </c>
      <c r="B224">
        <v>682884000000</v>
      </c>
    </row>
    <row r="225" spans="1:2" x14ac:dyDescent="0.2">
      <c r="A225" s="1">
        <v>38412</v>
      </c>
      <c r="B225">
        <v>690960000000</v>
      </c>
    </row>
    <row r="226" spans="1:2" x14ac:dyDescent="0.2">
      <c r="A226" s="1">
        <v>38443</v>
      </c>
      <c r="B226">
        <v>695974000000</v>
      </c>
    </row>
    <row r="227" spans="1:2" x14ac:dyDescent="0.2">
      <c r="A227" s="1">
        <v>38473</v>
      </c>
      <c r="B227">
        <v>703789000000</v>
      </c>
    </row>
    <row r="228" spans="1:2" x14ac:dyDescent="0.2">
      <c r="A228" s="1">
        <v>38504</v>
      </c>
      <c r="B228">
        <v>710514000000</v>
      </c>
    </row>
    <row r="229" spans="1:2" x14ac:dyDescent="0.2">
      <c r="A229" s="1">
        <v>38534</v>
      </c>
      <c r="B229">
        <v>718181000000</v>
      </c>
    </row>
    <row r="230" spans="1:2" x14ac:dyDescent="0.2">
      <c r="A230" s="1">
        <v>38565</v>
      </c>
      <c r="B230">
        <v>723438000000</v>
      </c>
    </row>
    <row r="231" spans="1:2" x14ac:dyDescent="0.2">
      <c r="A231" s="1">
        <v>38596</v>
      </c>
      <c r="B231">
        <v>732917000000</v>
      </c>
    </row>
    <row r="232" spans="1:2" x14ac:dyDescent="0.2">
      <c r="A232" s="1">
        <v>38626</v>
      </c>
      <c r="B232">
        <v>735658000000</v>
      </c>
    </row>
    <row r="233" spans="1:2" x14ac:dyDescent="0.2">
      <c r="A233" s="1">
        <v>38657</v>
      </c>
      <c r="B233">
        <v>745316000000</v>
      </c>
    </row>
    <row r="234" spans="1:2" x14ac:dyDescent="0.2">
      <c r="A234" s="1">
        <v>38687</v>
      </c>
      <c r="B234">
        <v>755771000000</v>
      </c>
    </row>
    <row r="235" spans="1:2" x14ac:dyDescent="0.2">
      <c r="A235" s="1">
        <v>38718</v>
      </c>
      <c r="B235">
        <v>753253000000</v>
      </c>
    </row>
    <row r="236" spans="1:2" x14ac:dyDescent="0.2">
      <c r="A236" s="1">
        <v>38749</v>
      </c>
      <c r="B236">
        <v>765302000000</v>
      </c>
    </row>
    <row r="237" spans="1:2" x14ac:dyDescent="0.2">
      <c r="A237" s="1">
        <v>38777</v>
      </c>
      <c r="B237">
        <v>771391000000</v>
      </c>
    </row>
    <row r="238" spans="1:2" x14ac:dyDescent="0.2">
      <c r="A238" s="1">
        <v>38808</v>
      </c>
      <c r="B238">
        <v>785256000000</v>
      </c>
    </row>
    <row r="239" spans="1:2" x14ac:dyDescent="0.2">
      <c r="A239" s="1">
        <v>38838</v>
      </c>
      <c r="B239">
        <v>780083000000</v>
      </c>
    </row>
    <row r="240" spans="1:2" x14ac:dyDescent="0.2">
      <c r="A240" s="1">
        <v>38869</v>
      </c>
      <c r="B240">
        <v>783621000000</v>
      </c>
    </row>
    <row r="241" spans="1:2" x14ac:dyDescent="0.2">
      <c r="A241" s="1">
        <v>38899</v>
      </c>
      <c r="B241">
        <v>791744000000</v>
      </c>
    </row>
    <row r="242" spans="1:2" x14ac:dyDescent="0.2">
      <c r="A242" s="1">
        <v>38930</v>
      </c>
      <c r="B242">
        <v>799069000000</v>
      </c>
    </row>
    <row r="243" spans="1:2" x14ac:dyDescent="0.2">
      <c r="A243" s="1">
        <v>38961</v>
      </c>
      <c r="B243">
        <v>800035000000</v>
      </c>
    </row>
    <row r="244" spans="1:2" x14ac:dyDescent="0.2">
      <c r="A244" s="1">
        <v>38991</v>
      </c>
      <c r="B244">
        <v>812524000000</v>
      </c>
    </row>
    <row r="245" spans="1:2" x14ac:dyDescent="0.2">
      <c r="A245" s="1">
        <v>39022</v>
      </c>
      <c r="B245">
        <v>816992000000</v>
      </c>
    </row>
    <row r="246" spans="1:2" x14ac:dyDescent="0.2">
      <c r="A246" s="1">
        <v>39052</v>
      </c>
      <c r="B246">
        <v>836527000000</v>
      </c>
    </row>
    <row r="247" spans="1:2" x14ac:dyDescent="0.2">
      <c r="A247" s="1">
        <v>39083</v>
      </c>
      <c r="B247">
        <v>824888000000</v>
      </c>
    </row>
    <row r="248" spans="1:2" x14ac:dyDescent="0.2">
      <c r="A248" s="1">
        <v>39114</v>
      </c>
      <c r="B248">
        <v>832509000000</v>
      </c>
    </row>
    <row r="249" spans="1:2" x14ac:dyDescent="0.2">
      <c r="A249" s="1">
        <v>39142</v>
      </c>
      <c r="B249">
        <v>840867000000</v>
      </c>
    </row>
    <row r="250" spans="1:2" x14ac:dyDescent="0.2">
      <c r="A250" s="1">
        <v>39173</v>
      </c>
      <c r="B250">
        <v>847783000000</v>
      </c>
    </row>
    <row r="251" spans="1:2" x14ac:dyDescent="0.2">
      <c r="A251" s="1">
        <v>39203</v>
      </c>
      <c r="B251">
        <v>864921000000</v>
      </c>
    </row>
    <row r="252" spans="1:2" x14ac:dyDescent="0.2">
      <c r="A252" s="1">
        <v>39234</v>
      </c>
      <c r="B252">
        <v>876522000000</v>
      </c>
    </row>
    <row r="253" spans="1:2" x14ac:dyDescent="0.2">
      <c r="A253" s="1">
        <v>39264</v>
      </c>
      <c r="B253">
        <v>887903000000</v>
      </c>
    </row>
    <row r="254" spans="1:2" x14ac:dyDescent="0.2">
      <c r="A254" s="1">
        <v>39295</v>
      </c>
      <c r="B254">
        <v>899141000000</v>
      </c>
    </row>
    <row r="255" spans="1:2" x14ac:dyDescent="0.2">
      <c r="A255" s="1">
        <v>39326</v>
      </c>
      <c r="B255">
        <v>911543000000</v>
      </c>
    </row>
    <row r="256" spans="1:2" x14ac:dyDescent="0.2">
      <c r="A256" s="1">
        <v>39356</v>
      </c>
      <c r="B256">
        <v>917696000000</v>
      </c>
    </row>
    <row r="257" spans="1:2" x14ac:dyDescent="0.2">
      <c r="A257" s="1">
        <v>39387</v>
      </c>
      <c r="B257">
        <v>921150000000</v>
      </c>
    </row>
    <row r="258" spans="1:2" x14ac:dyDescent="0.2">
      <c r="A258" s="1">
        <v>39417</v>
      </c>
      <c r="B258">
        <v>920027000000</v>
      </c>
    </row>
    <row r="259" spans="1:2" x14ac:dyDescent="0.2">
      <c r="A259" s="1">
        <v>39448</v>
      </c>
      <c r="B259">
        <v>1011278000000</v>
      </c>
    </row>
    <row r="260" spans="1:2" x14ac:dyDescent="0.2">
      <c r="A260" s="1">
        <v>39479</v>
      </c>
      <c r="B260">
        <v>1010347000000</v>
      </c>
    </row>
    <row r="261" spans="1:2" x14ac:dyDescent="0.2">
      <c r="A261" s="1">
        <v>39508</v>
      </c>
      <c r="B261">
        <v>1018278000000</v>
      </c>
    </row>
    <row r="262" spans="1:2" x14ac:dyDescent="0.2">
      <c r="A262" s="1">
        <v>39539</v>
      </c>
      <c r="B262">
        <v>1014300000000</v>
      </c>
    </row>
    <row r="263" spans="1:2" x14ac:dyDescent="0.2">
      <c r="A263" s="1">
        <v>39569</v>
      </c>
      <c r="B263">
        <v>1002553000000</v>
      </c>
    </row>
    <row r="264" spans="1:2" x14ac:dyDescent="0.2">
      <c r="A264" s="1">
        <v>39600</v>
      </c>
      <c r="B264">
        <v>1001324000000</v>
      </c>
    </row>
    <row r="265" spans="1:2" x14ac:dyDescent="0.2">
      <c r="A265" s="1">
        <v>39630</v>
      </c>
      <c r="B265">
        <v>996586000000</v>
      </c>
    </row>
    <row r="266" spans="1:2" x14ac:dyDescent="0.2">
      <c r="A266" s="1">
        <v>39661</v>
      </c>
      <c r="B266">
        <v>984268000000</v>
      </c>
    </row>
    <row r="267" spans="1:2" x14ac:dyDescent="0.2">
      <c r="A267" s="1">
        <v>39692</v>
      </c>
      <c r="B267">
        <v>992799000000</v>
      </c>
    </row>
    <row r="268" spans="1:2" x14ac:dyDescent="0.2">
      <c r="A268" s="1">
        <v>39722</v>
      </c>
      <c r="B268">
        <v>992438000000</v>
      </c>
    </row>
    <row r="269" spans="1:2" x14ac:dyDescent="0.2">
      <c r="A269" s="1">
        <v>39753</v>
      </c>
      <c r="B269">
        <v>1010195000000</v>
      </c>
    </row>
    <row r="270" spans="1:2" x14ac:dyDescent="0.2">
      <c r="A270" s="1">
        <v>39783</v>
      </c>
      <c r="B270">
        <v>1029837000000</v>
      </c>
    </row>
    <row r="271" spans="1:2" x14ac:dyDescent="0.2">
      <c r="A271" s="1">
        <v>39814</v>
      </c>
      <c r="B271">
        <v>1035536000000</v>
      </c>
    </row>
    <row r="272" spans="1:2" x14ac:dyDescent="0.2">
      <c r="A272" s="1">
        <v>39845</v>
      </c>
      <c r="B272">
        <v>1035588000000</v>
      </c>
    </row>
    <row r="273" spans="1:2" x14ac:dyDescent="0.2">
      <c r="A273" s="1">
        <v>39873</v>
      </c>
      <c r="B273">
        <v>1030791000000</v>
      </c>
    </row>
    <row r="274" spans="1:2" x14ac:dyDescent="0.2">
      <c r="A274" s="1">
        <v>39904</v>
      </c>
      <c r="B274">
        <v>1020869000000</v>
      </c>
    </row>
    <row r="275" spans="1:2" x14ac:dyDescent="0.2">
      <c r="A275" s="1">
        <v>39934</v>
      </c>
      <c r="B275">
        <v>1010108000000</v>
      </c>
    </row>
    <row r="276" spans="1:2" x14ac:dyDescent="0.2">
      <c r="A276" s="1">
        <v>39965</v>
      </c>
      <c r="B276">
        <v>1002244000000</v>
      </c>
    </row>
    <row r="277" spans="1:2" x14ac:dyDescent="0.2">
      <c r="A277" s="1">
        <v>39995</v>
      </c>
      <c r="B277">
        <v>1005421000000</v>
      </c>
    </row>
    <row r="278" spans="1:2" x14ac:dyDescent="0.2">
      <c r="A278" s="1">
        <v>40026</v>
      </c>
      <c r="B278">
        <v>1016073000000</v>
      </c>
    </row>
    <row r="279" spans="1:2" x14ac:dyDescent="0.2">
      <c r="A279" s="1">
        <v>40057</v>
      </c>
      <c r="B279">
        <v>1044372000000</v>
      </c>
    </row>
    <row r="280" spans="1:2" x14ac:dyDescent="0.2">
      <c r="A280" s="1">
        <v>40087</v>
      </c>
      <c r="B280">
        <v>1050738000000</v>
      </c>
    </row>
    <row r="281" spans="1:2" x14ac:dyDescent="0.2">
      <c r="A281" s="1">
        <v>40118</v>
      </c>
      <c r="B281">
        <v>1056541000000</v>
      </c>
    </row>
    <row r="282" spans="1:2" x14ac:dyDescent="0.2">
      <c r="A282" s="1">
        <v>40148</v>
      </c>
      <c r="B282">
        <v>1063023000000</v>
      </c>
    </row>
    <row r="283" spans="1:2" x14ac:dyDescent="0.2">
      <c r="A283" s="1">
        <v>40179</v>
      </c>
      <c r="B283">
        <v>1086687000000</v>
      </c>
    </row>
    <row r="284" spans="1:2" x14ac:dyDescent="0.2">
      <c r="A284" s="1">
        <v>40210</v>
      </c>
      <c r="B284">
        <v>1101784000000</v>
      </c>
    </row>
    <row r="285" spans="1:2" x14ac:dyDescent="0.2">
      <c r="A285" s="1">
        <v>40238</v>
      </c>
      <c r="B285">
        <v>1099111000000</v>
      </c>
    </row>
    <row r="286" spans="1:2" x14ac:dyDescent="0.2">
      <c r="A286" s="1">
        <v>40269</v>
      </c>
      <c r="B286">
        <v>1096583000000</v>
      </c>
    </row>
    <row r="287" spans="1:2" x14ac:dyDescent="0.2">
      <c r="A287" s="1">
        <v>40299</v>
      </c>
      <c r="B287">
        <v>1104086000000</v>
      </c>
    </row>
    <row r="288" spans="1:2" x14ac:dyDescent="0.2">
      <c r="A288" s="1">
        <v>40330</v>
      </c>
      <c r="B288">
        <v>1110845000000</v>
      </c>
    </row>
    <row r="289" spans="1:2" x14ac:dyDescent="0.2">
      <c r="A289" s="1">
        <v>40360</v>
      </c>
      <c r="B289">
        <v>1106644000000</v>
      </c>
    </row>
    <row r="290" spans="1:2" x14ac:dyDescent="0.2">
      <c r="A290" s="1">
        <v>40391</v>
      </c>
      <c r="B290">
        <v>1098189000000</v>
      </c>
    </row>
    <row r="291" spans="1:2" x14ac:dyDescent="0.2">
      <c r="A291" s="1">
        <v>40422</v>
      </c>
      <c r="B291">
        <v>1082183000000</v>
      </c>
    </row>
    <row r="292" spans="1:2" x14ac:dyDescent="0.2">
      <c r="A292" s="1">
        <v>40452</v>
      </c>
      <c r="B292">
        <v>1094578000000</v>
      </c>
    </row>
    <row r="293" spans="1:2" x14ac:dyDescent="0.2">
      <c r="A293" s="1">
        <v>40483</v>
      </c>
      <c r="B293">
        <v>1077540000000</v>
      </c>
    </row>
    <row r="294" spans="1:2" x14ac:dyDescent="0.2">
      <c r="A294" s="1">
        <v>40513</v>
      </c>
      <c r="B294">
        <v>1079180000000</v>
      </c>
    </row>
    <row r="295" spans="1:2" x14ac:dyDescent="0.2">
      <c r="A295" s="1">
        <v>40544</v>
      </c>
      <c r="B295">
        <v>1068513000000</v>
      </c>
    </row>
    <row r="296" spans="1:2" x14ac:dyDescent="0.2">
      <c r="A296" s="1">
        <v>40575</v>
      </c>
      <c r="B296">
        <v>1065032000000</v>
      </c>
    </row>
    <row r="297" spans="1:2" x14ac:dyDescent="0.2">
      <c r="A297" s="1">
        <v>40603</v>
      </c>
      <c r="B297">
        <v>1083332000000</v>
      </c>
    </row>
    <row r="298" spans="1:2" x14ac:dyDescent="0.2">
      <c r="A298" s="1">
        <v>40634</v>
      </c>
      <c r="B298">
        <v>1080722000000</v>
      </c>
    </row>
    <row r="299" spans="1:2" x14ac:dyDescent="0.2">
      <c r="A299" s="1">
        <v>40664</v>
      </c>
      <c r="B299">
        <v>1089043000000</v>
      </c>
    </row>
    <row r="300" spans="1:2" x14ac:dyDescent="0.2">
      <c r="A300" s="1">
        <v>40695</v>
      </c>
      <c r="B300">
        <v>1075250000000</v>
      </c>
    </row>
    <row r="301" spans="1:2" x14ac:dyDescent="0.2">
      <c r="A301" s="1">
        <v>40725</v>
      </c>
      <c r="B301">
        <v>1085082000000</v>
      </c>
    </row>
    <row r="302" spans="1:2" x14ac:dyDescent="0.2">
      <c r="A302" s="1">
        <v>40756</v>
      </c>
      <c r="B302">
        <v>1106189000000</v>
      </c>
    </row>
    <row r="303" spans="1:2" x14ac:dyDescent="0.2">
      <c r="A303" s="1">
        <v>40787</v>
      </c>
      <c r="B303">
        <v>1097214000000</v>
      </c>
    </row>
    <row r="304" spans="1:2" x14ac:dyDescent="0.2">
      <c r="A304" s="1">
        <v>40817</v>
      </c>
      <c r="B304">
        <v>1089561000000</v>
      </c>
    </row>
    <row r="305" spans="1:2" x14ac:dyDescent="0.2">
      <c r="A305" s="1">
        <v>40848</v>
      </c>
      <c r="B305">
        <v>1109591000000</v>
      </c>
    </row>
    <row r="306" spans="1:2" x14ac:dyDescent="0.2">
      <c r="A306" s="1">
        <v>40878</v>
      </c>
      <c r="B306">
        <v>1078442000000</v>
      </c>
    </row>
    <row r="307" spans="1:2" x14ac:dyDescent="0.2">
      <c r="A307" s="1">
        <v>40909</v>
      </c>
      <c r="B307">
        <v>1088489000000</v>
      </c>
    </row>
    <row r="308" spans="1:2" x14ac:dyDescent="0.2">
      <c r="A308" s="1">
        <v>40940</v>
      </c>
      <c r="B308">
        <v>1084289000000</v>
      </c>
    </row>
    <row r="309" spans="1:2" x14ac:dyDescent="0.2">
      <c r="A309" s="1">
        <v>40969</v>
      </c>
      <c r="B309">
        <v>1087173000000</v>
      </c>
    </row>
    <row r="310" spans="1:2" x14ac:dyDescent="0.2">
      <c r="A310" s="1">
        <v>41000</v>
      </c>
      <c r="B310">
        <v>1082644000000</v>
      </c>
    </row>
    <row r="311" spans="1:2" x14ac:dyDescent="0.2">
      <c r="A311" s="1">
        <v>41030</v>
      </c>
      <c r="B311">
        <v>1094358000000</v>
      </c>
    </row>
    <row r="312" spans="1:2" x14ac:dyDescent="0.2">
      <c r="A312" s="1">
        <v>41061</v>
      </c>
      <c r="B312">
        <v>1103499000000</v>
      </c>
    </row>
    <row r="313" spans="1:2" x14ac:dyDescent="0.2">
      <c r="A313" s="1">
        <v>41091</v>
      </c>
      <c r="B313">
        <v>1114228000000</v>
      </c>
    </row>
    <row r="314" spans="1:2" x14ac:dyDescent="0.2">
      <c r="A314" s="1">
        <v>41122</v>
      </c>
      <c r="B314">
        <v>1115357000000</v>
      </c>
    </row>
    <row r="315" spans="1:2" x14ac:dyDescent="0.2">
      <c r="A315" s="1">
        <v>41153</v>
      </c>
      <c r="B315">
        <v>1126144000000</v>
      </c>
    </row>
    <row r="316" spans="1:2" x14ac:dyDescent="0.2">
      <c r="A316" s="1">
        <v>41183</v>
      </c>
      <c r="B316">
        <v>1130369000000</v>
      </c>
    </row>
    <row r="317" spans="1:2" x14ac:dyDescent="0.2">
      <c r="A317" s="1">
        <v>41214</v>
      </c>
      <c r="B317">
        <v>1140375000000</v>
      </c>
    </row>
    <row r="318" spans="1:2" x14ac:dyDescent="0.2">
      <c r="A318" s="1">
        <v>41244</v>
      </c>
      <c r="B318">
        <v>1148681000000</v>
      </c>
    </row>
    <row r="319" spans="1:2" x14ac:dyDescent="0.2">
      <c r="A319" s="1">
        <v>41275</v>
      </c>
      <c r="B319">
        <v>1165442000000</v>
      </c>
    </row>
    <row r="320" spans="1:2" x14ac:dyDescent="0.2">
      <c r="A320" s="1">
        <v>41306</v>
      </c>
      <c r="B320">
        <v>1180573000000</v>
      </c>
    </row>
    <row r="321" spans="1:2" x14ac:dyDescent="0.2">
      <c r="A321" s="1">
        <v>41334</v>
      </c>
      <c r="B321">
        <v>1185779000000</v>
      </c>
    </row>
    <row r="322" spans="1:2" x14ac:dyDescent="0.2">
      <c r="A322" s="1">
        <v>41365</v>
      </c>
      <c r="B322">
        <v>1200439000000</v>
      </c>
    </row>
    <row r="323" spans="1:2" x14ac:dyDescent="0.2">
      <c r="A323" s="1">
        <v>41395</v>
      </c>
      <c r="B323">
        <v>1207272000000</v>
      </c>
    </row>
    <row r="324" spans="1:2" x14ac:dyDescent="0.2">
      <c r="A324" s="1">
        <v>41426</v>
      </c>
      <c r="B324">
        <v>1219540000000</v>
      </c>
    </row>
    <row r="325" spans="1:2" x14ac:dyDescent="0.2">
      <c r="A325" s="1">
        <v>41456</v>
      </c>
      <c r="B325">
        <v>1226841000000</v>
      </c>
    </row>
    <row r="326" spans="1:2" x14ac:dyDescent="0.2">
      <c r="A326" s="1">
        <v>41487</v>
      </c>
      <c r="B326">
        <v>1235252000000</v>
      </c>
    </row>
    <row r="327" spans="1:2" x14ac:dyDescent="0.2">
      <c r="A327" s="1">
        <v>41518</v>
      </c>
      <c r="B327">
        <v>1231985000000</v>
      </c>
    </row>
    <row r="328" spans="1:2" x14ac:dyDescent="0.2">
      <c r="A328" s="1">
        <v>41548</v>
      </c>
      <c r="B328">
        <v>1256499000000</v>
      </c>
    </row>
    <row r="329" spans="1:2" x14ac:dyDescent="0.2">
      <c r="A329" s="1">
        <v>41579</v>
      </c>
      <c r="B329">
        <v>1263641000000</v>
      </c>
    </row>
    <row r="330" spans="1:2" x14ac:dyDescent="0.2">
      <c r="A330" s="1">
        <v>41609</v>
      </c>
      <c r="B330">
        <v>1275829000000</v>
      </c>
    </row>
    <row r="331" spans="1:2" x14ac:dyDescent="0.2">
      <c r="A331" s="1">
        <v>41640</v>
      </c>
      <c r="B331">
        <v>1288970000000</v>
      </c>
    </row>
    <row r="332" spans="1:2" x14ac:dyDescent="0.2">
      <c r="A332" s="1">
        <v>41671</v>
      </c>
      <c r="B332">
        <v>1302886000000</v>
      </c>
    </row>
    <row r="333" spans="1:2" x14ac:dyDescent="0.2">
      <c r="A333" s="1">
        <v>41699</v>
      </c>
      <c r="B333">
        <v>1305255000000</v>
      </c>
    </row>
    <row r="334" spans="1:2" x14ac:dyDescent="0.2">
      <c r="A334" s="1">
        <v>41730</v>
      </c>
      <c r="B334">
        <v>1316013000000</v>
      </c>
    </row>
    <row r="335" spans="1:2" x14ac:dyDescent="0.2">
      <c r="A335" s="1">
        <v>41760</v>
      </c>
      <c r="B335">
        <v>1320541000000</v>
      </c>
    </row>
    <row r="336" spans="1:2" x14ac:dyDescent="0.2">
      <c r="A336" s="1">
        <v>41791</v>
      </c>
      <c r="B336">
        <v>1323468000000</v>
      </c>
    </row>
    <row r="337" spans="1:2" x14ac:dyDescent="0.2">
      <c r="A337" s="1">
        <v>41821</v>
      </c>
      <c r="B337">
        <v>1327762000000</v>
      </c>
    </row>
    <row r="338" spans="1:2" x14ac:dyDescent="0.2">
      <c r="A338" s="1">
        <v>41852</v>
      </c>
      <c r="B338">
        <v>1334583000000</v>
      </c>
    </row>
    <row r="339" spans="1:2" x14ac:dyDescent="0.2">
      <c r="A339" s="1">
        <v>41883</v>
      </c>
      <c r="B339">
        <v>1340863000000</v>
      </c>
    </row>
    <row r="340" spans="1:2" x14ac:dyDescent="0.2">
      <c r="A340" s="1">
        <v>41913</v>
      </c>
      <c r="B340">
        <v>1344134000000</v>
      </c>
    </row>
    <row r="341" spans="1:2" x14ac:dyDescent="0.2">
      <c r="A341" s="1">
        <v>41944</v>
      </c>
      <c r="B341">
        <v>1357438000000</v>
      </c>
    </row>
    <row r="342" spans="1:2" x14ac:dyDescent="0.2">
      <c r="A342" s="1">
        <v>41974</v>
      </c>
      <c r="B342">
        <v>1368910000000</v>
      </c>
    </row>
    <row r="343" spans="1:2" x14ac:dyDescent="0.2">
      <c r="A343" s="1">
        <v>42005</v>
      </c>
      <c r="B343">
        <v>1381916000000</v>
      </c>
    </row>
    <row r="344" spans="1:2" x14ac:dyDescent="0.2">
      <c r="A344" s="1">
        <v>42036</v>
      </c>
      <c r="B344">
        <v>1377436000000</v>
      </c>
    </row>
    <row r="345" spans="1:2" x14ac:dyDescent="0.2">
      <c r="A345" s="1">
        <v>42064</v>
      </c>
      <c r="B345">
        <v>1393107000000</v>
      </c>
    </row>
    <row r="346" spans="1:2" x14ac:dyDescent="0.2">
      <c r="A346" s="1">
        <v>42095</v>
      </c>
      <c r="B346">
        <v>1405838000000</v>
      </c>
    </row>
    <row r="347" spans="1:2" x14ac:dyDescent="0.2">
      <c r="A347" s="1">
        <v>42125</v>
      </c>
      <c r="B347">
        <v>1402923000000</v>
      </c>
    </row>
    <row r="348" spans="1:2" x14ac:dyDescent="0.2">
      <c r="A348" s="1">
        <v>42156</v>
      </c>
      <c r="B348">
        <v>1407048000000</v>
      </c>
    </row>
    <row r="349" spans="1:2" x14ac:dyDescent="0.2">
      <c r="A349" s="1">
        <v>42186</v>
      </c>
      <c r="B349">
        <v>1423945000000</v>
      </c>
    </row>
    <row r="350" spans="1:2" x14ac:dyDescent="0.2">
      <c r="A350" s="1">
        <v>42217</v>
      </c>
      <c r="B350">
        <v>1428315000000</v>
      </c>
    </row>
    <row r="351" spans="1:2" x14ac:dyDescent="0.2">
      <c r="A351" s="1">
        <v>42248</v>
      </c>
      <c r="B351">
        <v>1441057000000</v>
      </c>
    </row>
    <row r="352" spans="1:2" x14ac:dyDescent="0.2">
      <c r="A352" s="1">
        <v>42278</v>
      </c>
      <c r="B352">
        <v>1455838000000</v>
      </c>
    </row>
    <row r="353" spans="1:2" x14ac:dyDescent="0.2">
      <c r="A353" s="1">
        <v>42309</v>
      </c>
      <c r="B353">
        <v>1454743000000</v>
      </c>
    </row>
    <row r="354" spans="1:2" x14ac:dyDescent="0.2">
      <c r="A354" s="1">
        <v>42339</v>
      </c>
      <c r="B354">
        <v>1462879000000</v>
      </c>
    </row>
    <row r="355" spans="1:2" x14ac:dyDescent="0.2">
      <c r="A355" s="1">
        <v>42370</v>
      </c>
      <c r="B355">
        <v>1482686000000</v>
      </c>
    </row>
    <row r="356" spans="1:2" x14ac:dyDescent="0.2">
      <c r="A356" s="1">
        <v>42401</v>
      </c>
      <c r="B356">
        <v>1508175000000</v>
      </c>
    </row>
    <row r="357" spans="1:2" x14ac:dyDescent="0.2">
      <c r="A357" s="1">
        <v>42430</v>
      </c>
      <c r="B357">
        <v>1519616000000</v>
      </c>
    </row>
    <row r="358" spans="1:2" x14ac:dyDescent="0.2">
      <c r="A358" s="1">
        <v>42461</v>
      </c>
      <c r="B358">
        <v>1518304000000</v>
      </c>
    </row>
    <row r="359" spans="1:2" x14ac:dyDescent="0.2">
      <c r="A359" s="1">
        <v>42491</v>
      </c>
      <c r="B359">
        <v>1528700000000</v>
      </c>
    </row>
    <row r="360" spans="1:2" x14ac:dyDescent="0.2">
      <c r="A360" s="1">
        <v>42522</v>
      </c>
      <c r="B360">
        <v>1589018000000</v>
      </c>
    </row>
    <row r="361" spans="1:2" x14ac:dyDescent="0.2">
      <c r="A361" s="1">
        <v>42552</v>
      </c>
      <c r="B361">
        <v>1593460000000</v>
      </c>
    </row>
    <row r="362" spans="1:2" x14ac:dyDescent="0.2">
      <c r="A362" s="1">
        <v>42583</v>
      </c>
      <c r="B362">
        <v>1602911000000</v>
      </c>
    </row>
    <row r="363" spans="1:2" x14ac:dyDescent="0.2">
      <c r="A363" s="1">
        <v>42614</v>
      </c>
      <c r="B363">
        <v>1604525000000</v>
      </c>
    </row>
    <row r="364" spans="1:2" x14ac:dyDescent="0.2">
      <c r="A364" s="1">
        <v>42644</v>
      </c>
      <c r="B364">
        <v>1612898000000</v>
      </c>
    </row>
    <row r="365" spans="1:2" x14ac:dyDescent="0.2">
      <c r="A365" s="1">
        <v>42675</v>
      </c>
      <c r="B365">
        <v>1607395000000</v>
      </c>
    </row>
    <row r="366" spans="1:2" x14ac:dyDescent="0.2">
      <c r="A366" s="1">
        <v>42705</v>
      </c>
      <c r="B366">
        <v>1621629000000</v>
      </c>
    </row>
    <row r="367" spans="1:2" x14ac:dyDescent="0.2">
      <c r="A367" s="1">
        <v>42736</v>
      </c>
      <c r="B367">
        <v>1616967000000</v>
      </c>
    </row>
    <row r="368" spans="1:2" x14ac:dyDescent="0.2">
      <c r="A368" s="1">
        <v>42767</v>
      </c>
      <c r="B368">
        <v>1628763000000</v>
      </c>
    </row>
    <row r="369" spans="1:2" x14ac:dyDescent="0.2">
      <c r="A369" s="1">
        <v>42795</v>
      </c>
      <c r="B369">
        <v>1650033000000</v>
      </c>
    </row>
    <row r="370" spans="1:2" x14ac:dyDescent="0.2">
      <c r="A370" s="1">
        <v>42826</v>
      </c>
      <c r="B370">
        <v>1656035000000</v>
      </c>
    </row>
    <row r="371" spans="1:2" x14ac:dyDescent="0.2">
      <c r="A371" s="1">
        <v>42856</v>
      </c>
      <c r="B371">
        <v>1661851000000</v>
      </c>
    </row>
    <row r="372" spans="1:2" x14ac:dyDescent="0.2">
      <c r="A372" s="1">
        <v>42887</v>
      </c>
      <c r="B372">
        <v>1666751000000</v>
      </c>
    </row>
    <row r="373" spans="1:2" x14ac:dyDescent="0.2">
      <c r="A373" s="1">
        <v>42917</v>
      </c>
      <c r="B373">
        <v>1665086000000</v>
      </c>
    </row>
    <row r="374" spans="1:2" x14ac:dyDescent="0.2">
      <c r="A374" s="1">
        <v>42948</v>
      </c>
      <c r="B374">
        <v>1684086000000</v>
      </c>
    </row>
    <row r="375" spans="1:2" x14ac:dyDescent="0.2">
      <c r="A375" s="1">
        <v>42979</v>
      </c>
      <c r="B375">
        <v>1693199000000</v>
      </c>
    </row>
    <row r="376" spans="1:2" x14ac:dyDescent="0.2">
      <c r="A376" s="1">
        <v>43009</v>
      </c>
      <c r="B376">
        <v>1690772000000</v>
      </c>
    </row>
    <row r="377" spans="1:2" x14ac:dyDescent="0.2">
      <c r="A377" s="1">
        <v>43040</v>
      </c>
      <c r="B377">
        <v>1696146000000</v>
      </c>
    </row>
    <row r="378" spans="1:2" x14ac:dyDescent="0.2">
      <c r="A378" s="1">
        <v>43070</v>
      </c>
      <c r="B378">
        <v>1703178000000</v>
      </c>
    </row>
    <row r="379" spans="1:2" x14ac:dyDescent="0.2">
      <c r="A379" s="1">
        <v>43101</v>
      </c>
      <c r="B379">
        <v>1712105000000</v>
      </c>
    </row>
    <row r="380" spans="1:2" x14ac:dyDescent="0.2">
      <c r="A380" s="1">
        <v>43132</v>
      </c>
      <c r="B380">
        <v>1712175000000</v>
      </c>
    </row>
    <row r="381" spans="1:2" x14ac:dyDescent="0.2">
      <c r="A381" s="1">
        <v>43160</v>
      </c>
      <c r="B381">
        <v>1704503000000</v>
      </c>
    </row>
    <row r="382" spans="1:2" x14ac:dyDescent="0.2">
      <c r="A382" s="1">
        <v>43191</v>
      </c>
      <c r="B382">
        <v>1707348000000</v>
      </c>
    </row>
    <row r="383" spans="1:2" x14ac:dyDescent="0.2">
      <c r="A383" s="1">
        <v>43221</v>
      </c>
      <c r="B383">
        <v>1732543000000</v>
      </c>
    </row>
    <row r="384" spans="1:2" x14ac:dyDescent="0.2">
      <c r="A384" s="1">
        <v>43252</v>
      </c>
      <c r="B384">
        <v>1739839000000</v>
      </c>
    </row>
    <row r="385" spans="1:2" x14ac:dyDescent="0.2">
      <c r="A385" s="1">
        <v>43282</v>
      </c>
      <c r="B385">
        <v>1738468000000</v>
      </c>
    </row>
    <row r="386" spans="1:2" x14ac:dyDescent="0.2">
      <c r="A386" s="1">
        <v>43313</v>
      </c>
      <c r="B386">
        <v>1744371000000</v>
      </c>
    </row>
    <row r="387" spans="1:2" x14ac:dyDescent="0.2">
      <c r="A387" s="1">
        <v>43344</v>
      </c>
      <c r="B387">
        <v>1754925000000</v>
      </c>
    </row>
    <row r="388" spans="1:2" x14ac:dyDescent="0.2">
      <c r="A388" s="1">
        <v>43374</v>
      </c>
      <c r="B388">
        <v>1779189000000</v>
      </c>
    </row>
    <row r="389" spans="1:2" x14ac:dyDescent="0.2">
      <c r="A389" s="1">
        <v>43405</v>
      </c>
      <c r="B389">
        <v>1772781000000</v>
      </c>
    </row>
    <row r="390" spans="1:2" x14ac:dyDescent="0.2">
      <c r="A390" s="1">
        <v>43435</v>
      </c>
      <c r="B390">
        <v>1770571000000</v>
      </c>
    </row>
    <row r="391" spans="1:2" x14ac:dyDescent="0.2">
      <c r="A391" s="1">
        <v>43466</v>
      </c>
      <c r="B391">
        <v>1764403000000</v>
      </c>
    </row>
    <row r="392" spans="1:2" x14ac:dyDescent="0.2">
      <c r="A392" s="1">
        <v>43497</v>
      </c>
      <c r="B392">
        <v>1759151000000</v>
      </c>
    </row>
    <row r="393" spans="1:2" x14ac:dyDescent="0.2">
      <c r="A393" s="1">
        <v>43525</v>
      </c>
      <c r="B393">
        <v>1759782000000</v>
      </c>
    </row>
    <row r="394" spans="1:2" x14ac:dyDescent="0.2">
      <c r="A394" s="1">
        <v>43556</v>
      </c>
      <c r="B394">
        <v>1757967000000</v>
      </c>
    </row>
    <row r="395" spans="1:2" x14ac:dyDescent="0.2">
      <c r="A395" s="1">
        <v>43586</v>
      </c>
      <c r="B395">
        <v>1764196000000</v>
      </c>
    </row>
    <row r="396" spans="1:2" x14ac:dyDescent="0.2">
      <c r="A396" s="1">
        <v>43617</v>
      </c>
      <c r="B396">
        <v>1767572000000</v>
      </c>
    </row>
    <row r="397" spans="1:2" x14ac:dyDescent="0.2">
      <c r="A397" s="1">
        <v>43647</v>
      </c>
      <c r="B397">
        <v>1776751000000</v>
      </c>
    </row>
    <row r="398" spans="1:2" x14ac:dyDescent="0.2">
      <c r="A398" s="1">
        <v>43678</v>
      </c>
      <c r="B398">
        <v>1791864000000</v>
      </c>
    </row>
    <row r="399" spans="1:2" x14ac:dyDescent="0.2">
      <c r="A399" s="1">
        <v>43709</v>
      </c>
      <c r="B399">
        <v>1797527000000</v>
      </c>
    </row>
    <row r="400" spans="1:2" x14ac:dyDescent="0.2">
      <c r="A400" s="1">
        <v>43739</v>
      </c>
      <c r="B400">
        <v>1795178000000</v>
      </c>
    </row>
    <row r="401" spans="1:2" x14ac:dyDescent="0.2">
      <c r="A401" s="1">
        <v>43770</v>
      </c>
      <c r="B401">
        <v>1803909000000</v>
      </c>
    </row>
    <row r="402" spans="1:2" x14ac:dyDescent="0.2">
      <c r="A402" s="1">
        <v>43800</v>
      </c>
      <c r="B402">
        <v>1809980000000</v>
      </c>
    </row>
    <row r="403" spans="1:2" x14ac:dyDescent="0.2">
      <c r="A403" s="1">
        <v>43831</v>
      </c>
      <c r="B403">
        <v>1822660000000</v>
      </c>
    </row>
    <row r="404" spans="1:2" x14ac:dyDescent="0.2">
      <c r="A404" s="1">
        <v>43862</v>
      </c>
      <c r="B404">
        <v>1843782000000</v>
      </c>
    </row>
    <row r="405" spans="1:2" x14ac:dyDescent="0.2">
      <c r="A405" s="1">
        <v>43891</v>
      </c>
      <c r="B405">
        <v>1951965000000</v>
      </c>
    </row>
    <row r="406" spans="1:2" x14ac:dyDescent="0.2">
      <c r="A406" s="1">
        <v>43922</v>
      </c>
      <c r="B406">
        <v>1988410000000</v>
      </c>
    </row>
    <row r="407" spans="1:2" x14ac:dyDescent="0.2">
      <c r="A407" s="1">
        <v>43952</v>
      </c>
      <c r="B407">
        <v>2026679000000</v>
      </c>
    </row>
    <row r="408" spans="1:2" x14ac:dyDescent="0.2">
      <c r="A408" s="1">
        <v>43983</v>
      </c>
      <c r="B408">
        <v>2042594000000</v>
      </c>
    </row>
    <row r="409" spans="1:2" x14ac:dyDescent="0.2">
      <c r="A409" s="1">
        <v>44013</v>
      </c>
      <c r="B409">
        <v>2066494000000</v>
      </c>
    </row>
    <row r="410" spans="1:2" x14ac:dyDescent="0.2">
      <c r="A410" s="1">
        <v>44044</v>
      </c>
      <c r="B410">
        <v>2075647000000</v>
      </c>
    </row>
    <row r="411" spans="1:2" x14ac:dyDescent="0.2">
      <c r="A411" s="1">
        <v>44075</v>
      </c>
      <c r="B411">
        <v>2088112000000</v>
      </c>
    </row>
    <row r="412" spans="1:2" x14ac:dyDescent="0.2">
      <c r="A412" s="1">
        <v>44105</v>
      </c>
      <c r="B412">
        <v>2117585000000</v>
      </c>
    </row>
    <row r="413" spans="1:2" x14ac:dyDescent="0.2">
      <c r="A413" s="1">
        <v>44136</v>
      </c>
      <c r="B413">
        <v>2135840000000</v>
      </c>
    </row>
    <row r="414" spans="1:2" x14ac:dyDescent="0.2">
      <c r="A414" s="1">
        <v>44166</v>
      </c>
      <c r="B414">
        <v>2183255000000</v>
      </c>
    </row>
    <row r="415" spans="1:2" x14ac:dyDescent="0.2">
      <c r="A415" s="1">
        <v>44197</v>
      </c>
      <c r="B415">
        <v>2195867000000</v>
      </c>
    </row>
    <row r="416" spans="1:2" x14ac:dyDescent="0.2">
      <c r="A416" s="1">
        <v>44228</v>
      </c>
      <c r="B416">
        <v>2217694000000</v>
      </c>
    </row>
    <row r="417" spans="1:2" x14ac:dyDescent="0.2">
      <c r="A417" s="1">
        <v>44256</v>
      </c>
      <c r="B417">
        <v>2238392000000</v>
      </c>
    </row>
    <row r="418" spans="1:2" x14ac:dyDescent="0.2">
      <c r="A418" s="1">
        <v>44287</v>
      </c>
      <c r="B418">
        <v>2260065000000</v>
      </c>
    </row>
    <row r="419" spans="1:2" x14ac:dyDescent="0.2">
      <c r="A419" s="1">
        <v>44317</v>
      </c>
      <c r="B419">
        <v>2256121000000</v>
      </c>
    </row>
    <row r="420" spans="1:2" x14ac:dyDescent="0.2">
      <c r="A420" s="1">
        <v>44348</v>
      </c>
      <c r="B420">
        <v>2273848000000</v>
      </c>
    </row>
    <row r="421" spans="1:2" x14ac:dyDescent="0.2">
      <c r="A421" s="1">
        <v>44378</v>
      </c>
      <c r="B421">
        <v>2277866000000</v>
      </c>
    </row>
    <row r="422" spans="1:2" x14ac:dyDescent="0.2">
      <c r="A422" s="1">
        <v>44409</v>
      </c>
      <c r="B422">
        <v>2278861000000</v>
      </c>
    </row>
    <row r="423" spans="1:2" x14ac:dyDescent="0.2">
      <c r="A423" s="1">
        <v>44440</v>
      </c>
      <c r="B423">
        <v>2322029000000</v>
      </c>
    </row>
    <row r="424" spans="1:2" x14ac:dyDescent="0.2">
      <c r="A424" s="1">
        <v>44470</v>
      </c>
      <c r="B424">
        <v>2337174000000</v>
      </c>
    </row>
    <row r="425" spans="1:2" x14ac:dyDescent="0.2">
      <c r="A425" s="1">
        <v>44501</v>
      </c>
      <c r="B425">
        <v>2353851000000</v>
      </c>
    </row>
    <row r="426" spans="1:2" x14ac:dyDescent="0.2">
      <c r="A426" s="1">
        <v>44531</v>
      </c>
      <c r="B426">
        <v>2373685000000</v>
      </c>
    </row>
    <row r="427" spans="1:2" x14ac:dyDescent="0.2">
      <c r="A427" s="1">
        <v>44562</v>
      </c>
      <c r="B427">
        <v>2366011000000</v>
      </c>
    </row>
    <row r="428" spans="1:2" x14ac:dyDescent="0.2">
      <c r="A428" s="1">
        <v>44593</v>
      </c>
      <c r="B428">
        <v>2384486000000</v>
      </c>
    </row>
    <row r="429" spans="1:2" x14ac:dyDescent="0.2">
      <c r="A429" s="1">
        <v>44621</v>
      </c>
      <c r="B429">
        <v>2427015000000</v>
      </c>
    </row>
    <row r="430" spans="1:2" x14ac:dyDescent="0.2">
      <c r="A430" s="1">
        <v>44652</v>
      </c>
      <c r="B430">
        <v>2417447000000</v>
      </c>
    </row>
    <row r="431" spans="1:2" x14ac:dyDescent="0.2">
      <c r="A431" s="1">
        <v>44682</v>
      </c>
      <c r="B431">
        <v>2425651000000</v>
      </c>
    </row>
    <row r="432" spans="1:2" x14ac:dyDescent="0.2">
      <c r="A432" s="1">
        <v>44713</v>
      </c>
      <c r="B432">
        <v>2446604000000</v>
      </c>
    </row>
    <row r="433" spans="1:2" x14ac:dyDescent="0.2">
      <c r="A433" s="1">
        <v>44743</v>
      </c>
      <c r="B433">
        <v>2450429000000</v>
      </c>
    </row>
    <row r="434" spans="1:2" x14ac:dyDescent="0.2">
      <c r="A434" s="1">
        <v>44774</v>
      </c>
      <c r="B434">
        <v>2466326000000</v>
      </c>
    </row>
    <row r="435" spans="1:2" x14ac:dyDescent="0.2">
      <c r="A435" s="1">
        <v>44805</v>
      </c>
      <c r="B435">
        <v>2566541000000</v>
      </c>
    </row>
    <row r="436" spans="1:2" x14ac:dyDescent="0.2">
      <c r="A436" s="1">
        <v>44835</v>
      </c>
      <c r="B436">
        <v>2457964000000</v>
      </c>
    </row>
    <row r="437" spans="1:2" x14ac:dyDescent="0.2">
      <c r="A437" s="1">
        <v>44866</v>
      </c>
      <c r="B437">
        <v>2438550000000</v>
      </c>
    </row>
    <row r="438" spans="1:2" x14ac:dyDescent="0.2">
      <c r="A438" s="1">
        <v>44896</v>
      </c>
      <c r="B438">
        <v>2386178000000</v>
      </c>
    </row>
    <row r="439" spans="1:2" x14ac:dyDescent="0.2">
      <c r="A439" s="1">
        <v>44927</v>
      </c>
      <c r="B439">
        <v>2400662000000</v>
      </c>
    </row>
    <row r="440" spans="1:2" x14ac:dyDescent="0.2">
      <c r="A440" s="1">
        <v>44958</v>
      </c>
      <c r="B440">
        <v>2391988000000</v>
      </c>
    </row>
    <row r="441" spans="1:2" x14ac:dyDescent="0.2">
      <c r="A441" s="1">
        <v>44986</v>
      </c>
      <c r="B441">
        <v>2354628000000</v>
      </c>
    </row>
    <row r="442" spans="1:2" x14ac:dyDescent="0.2">
      <c r="A442" s="1">
        <v>45017</v>
      </c>
      <c r="B442">
        <v>2335357000000</v>
      </c>
    </row>
    <row r="443" spans="1:2" x14ac:dyDescent="0.2">
      <c r="A443" s="1">
        <v>45047</v>
      </c>
      <c r="B443">
        <v>2319719000000</v>
      </c>
    </row>
    <row r="444" spans="1:2" x14ac:dyDescent="0.2">
      <c r="A444" s="1">
        <v>45078</v>
      </c>
      <c r="B444">
        <v>2297023000000</v>
      </c>
    </row>
    <row r="445" spans="1:2" x14ac:dyDescent="0.2">
      <c r="A445" s="1">
        <v>45108</v>
      </c>
      <c r="B445">
        <v>2275345000000</v>
      </c>
    </row>
    <row r="446" spans="1:2" x14ac:dyDescent="0.2">
      <c r="A446" s="1">
        <v>45139</v>
      </c>
      <c r="B446">
        <v>2257625000000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81CC1-920F-654B-857A-44E2A367714E}">
  <dimension ref="A1:D754"/>
  <sheetViews>
    <sheetView zoomScale="140" workbookViewId="0">
      <selection activeCell="D1" sqref="D1"/>
    </sheetView>
  </sheetViews>
  <sheetFormatPr baseColWidth="10" defaultRowHeight="16" x14ac:dyDescent="0.2"/>
  <sheetData>
    <row r="1" spans="1:4" x14ac:dyDescent="0.2">
      <c r="D1" t="s">
        <v>5</v>
      </c>
    </row>
    <row r="2" spans="1:4" x14ac:dyDescent="0.2">
      <c r="A2" t="s">
        <v>1</v>
      </c>
      <c r="B2" t="s">
        <v>3</v>
      </c>
      <c r="C2" t="s">
        <v>4</v>
      </c>
    </row>
    <row r="3" spans="1:4" x14ac:dyDescent="0.2">
      <c r="A3" s="1">
        <v>22282</v>
      </c>
      <c r="B3">
        <v>5.7345518960553399</v>
      </c>
      <c r="C3">
        <v>2.1838034576887821E-2</v>
      </c>
    </row>
    <row r="4" spans="1:4" x14ac:dyDescent="0.2">
      <c r="A4" s="1">
        <v>22313</v>
      </c>
      <c r="B4">
        <v>5.7345518960553399</v>
      </c>
      <c r="C4">
        <v>2.1838034576887821E-2</v>
      </c>
    </row>
    <row r="5" spans="1:4" x14ac:dyDescent="0.2">
      <c r="A5" s="1">
        <v>22341</v>
      </c>
      <c r="B5">
        <v>5.75497772649544</v>
      </c>
      <c r="C5">
        <v>2.7347310847767092E-2</v>
      </c>
    </row>
    <row r="6" spans="1:4" x14ac:dyDescent="0.2">
      <c r="A6" s="1">
        <v>22372</v>
      </c>
      <c r="B6">
        <v>5.7856164721555698</v>
      </c>
      <c r="C6">
        <v>2.7198549410698547E-2</v>
      </c>
    </row>
    <row r="7" spans="1:4" x14ac:dyDescent="0.2">
      <c r="A7" s="1">
        <v>22402</v>
      </c>
      <c r="B7">
        <v>5.8009358449856396</v>
      </c>
      <c r="C7">
        <v>2.9918404351768846E-2</v>
      </c>
    </row>
    <row r="8" spans="1:4" x14ac:dyDescent="0.2">
      <c r="A8" s="1">
        <v>22433</v>
      </c>
      <c r="B8">
        <v>5.8520004210858598</v>
      </c>
      <c r="C8">
        <v>3.3363390441838447E-2</v>
      </c>
    </row>
    <row r="9" spans="1:4" x14ac:dyDescent="0.2">
      <c r="A9" s="1">
        <v>22463</v>
      </c>
      <c r="B9">
        <v>5.8520004210858598</v>
      </c>
      <c r="C9">
        <v>3.1503150315031592E-2</v>
      </c>
    </row>
    <row r="10" spans="1:4" x14ac:dyDescent="0.2">
      <c r="A10" s="1">
        <v>22494</v>
      </c>
      <c r="B10">
        <v>5.9081714547961104</v>
      </c>
      <c r="C10">
        <v>4.800724637681042E-2</v>
      </c>
    </row>
    <row r="11" spans="1:4" x14ac:dyDescent="0.2">
      <c r="A11" s="1">
        <v>22525</v>
      </c>
      <c r="B11">
        <v>5.8979585395760701</v>
      </c>
      <c r="C11">
        <v>4.5248868778280826E-2</v>
      </c>
    </row>
    <row r="12" spans="1:4" x14ac:dyDescent="0.2">
      <c r="A12" s="1">
        <v>22555</v>
      </c>
      <c r="B12">
        <v>5.9081714547961104</v>
      </c>
      <c r="C12">
        <v>3.859964093357271E-2</v>
      </c>
    </row>
    <row r="13" spans="1:4" x14ac:dyDescent="0.2">
      <c r="A13" s="1">
        <v>22586</v>
      </c>
      <c r="B13">
        <v>5.9694489461163798</v>
      </c>
      <c r="C13">
        <v>4.4682752457549713E-2</v>
      </c>
    </row>
    <row r="14" spans="1:4" x14ac:dyDescent="0.2">
      <c r="A14" s="1">
        <v>22616</v>
      </c>
      <c r="B14">
        <v>5.9796618613364299</v>
      </c>
      <c r="C14">
        <v>4.3672014260250247E-2</v>
      </c>
    </row>
    <row r="15" spans="1:4" x14ac:dyDescent="0.2">
      <c r="A15" s="1">
        <v>22647</v>
      </c>
      <c r="B15">
        <v>6.0000876917765202</v>
      </c>
      <c r="C15">
        <v>4.6304541406946953E-2</v>
      </c>
    </row>
    <row r="16" spans="1:4" x14ac:dyDescent="0.2">
      <c r="A16" s="1">
        <v>22678</v>
      </c>
      <c r="B16">
        <v>6.0060877794682899</v>
      </c>
      <c r="C16">
        <v>4.7350845948352704E-2</v>
      </c>
    </row>
    <row r="17" spans="1:3" x14ac:dyDescent="0.2">
      <c r="A17" s="1">
        <v>22706</v>
      </c>
      <c r="B17">
        <v>6.0300881302354004</v>
      </c>
      <c r="C17">
        <v>4.7803904170362843E-2</v>
      </c>
    </row>
    <row r="18" spans="1:3" x14ac:dyDescent="0.2">
      <c r="A18" s="1">
        <v>22737</v>
      </c>
      <c r="B18">
        <v>6.1140893579202702</v>
      </c>
      <c r="C18">
        <v>5.6774051191526675E-2</v>
      </c>
    </row>
    <row r="19" spans="1:3" x14ac:dyDescent="0.2">
      <c r="A19" s="1">
        <v>22767</v>
      </c>
      <c r="B19">
        <v>6.1320896209956004</v>
      </c>
      <c r="C19">
        <v>5.7086267605633401E-2</v>
      </c>
    </row>
    <row r="20" spans="1:3" x14ac:dyDescent="0.2">
      <c r="A20" s="1">
        <v>22798</v>
      </c>
      <c r="B20">
        <v>6.1740902348380402</v>
      </c>
      <c r="C20">
        <v>5.5039267015708049E-2</v>
      </c>
    </row>
    <row r="21" spans="1:3" x14ac:dyDescent="0.2">
      <c r="A21" s="1">
        <v>22828</v>
      </c>
      <c r="B21">
        <v>6.1500898840709297</v>
      </c>
      <c r="C21">
        <v>5.0938045375218621E-2</v>
      </c>
    </row>
    <row r="22" spans="1:3" x14ac:dyDescent="0.2">
      <c r="A22" s="1">
        <v>22859</v>
      </c>
      <c r="B22">
        <v>6.09608909484494</v>
      </c>
      <c r="C22">
        <v>3.1806395851339486E-2</v>
      </c>
    </row>
    <row r="23" spans="1:3" x14ac:dyDescent="0.2">
      <c r="A23" s="1">
        <v>22890</v>
      </c>
      <c r="B23">
        <v>6.0900890071531597</v>
      </c>
      <c r="C23">
        <v>3.2575757575755926E-2</v>
      </c>
    </row>
    <row r="24" spans="1:3" x14ac:dyDescent="0.2">
      <c r="A24" s="1">
        <v>22920</v>
      </c>
      <c r="B24">
        <v>6.0840889194613901</v>
      </c>
      <c r="C24">
        <v>2.977528089887671E-2</v>
      </c>
    </row>
    <row r="25" spans="1:3" x14ac:dyDescent="0.2">
      <c r="A25" s="1">
        <v>22951</v>
      </c>
      <c r="B25">
        <v>6.1080892702284997</v>
      </c>
      <c r="C25">
        <v>2.3224978614201364E-2</v>
      </c>
    </row>
    <row r="26" spans="1:3" x14ac:dyDescent="0.2">
      <c r="A26" s="1">
        <v>22981</v>
      </c>
      <c r="B26">
        <v>6.1380897086873798</v>
      </c>
      <c r="C26">
        <v>2.6494449188727565E-2</v>
      </c>
    </row>
    <row r="27" spans="1:3" x14ac:dyDescent="0.2">
      <c r="A27" s="1">
        <v>23012</v>
      </c>
      <c r="B27">
        <v>6.1620900594544796</v>
      </c>
      <c r="C27">
        <v>2.6999999999998803E-2</v>
      </c>
    </row>
    <row r="28" spans="1:3" x14ac:dyDescent="0.2">
      <c r="A28" s="1">
        <v>23043</v>
      </c>
      <c r="B28">
        <v>6.2160908486804702</v>
      </c>
      <c r="C28">
        <v>3.4965034965035446E-2</v>
      </c>
    </row>
    <row r="29" spans="1:3" x14ac:dyDescent="0.2">
      <c r="A29" s="1">
        <v>23071</v>
      </c>
      <c r="B29">
        <v>6.2220909363722496</v>
      </c>
      <c r="C29">
        <v>3.184079601990053E-2</v>
      </c>
    </row>
    <row r="30" spans="1:3" x14ac:dyDescent="0.2">
      <c r="A30" s="1">
        <v>23102</v>
      </c>
      <c r="B30">
        <v>6.2400911994475798</v>
      </c>
      <c r="C30">
        <v>2.0608439646712995E-2</v>
      </c>
    </row>
    <row r="31" spans="1:3" x14ac:dyDescent="0.2">
      <c r="A31" s="1">
        <v>23132</v>
      </c>
      <c r="B31">
        <v>6.2340911117558004</v>
      </c>
      <c r="C31">
        <v>1.6634050880626194E-2</v>
      </c>
    </row>
    <row r="32" spans="1:3" x14ac:dyDescent="0.2">
      <c r="A32" s="1">
        <v>23163</v>
      </c>
      <c r="B32">
        <v>6.2340911117558004</v>
      </c>
      <c r="C32">
        <v>9.7181729834783237E-3</v>
      </c>
    </row>
    <row r="33" spans="1:3" x14ac:dyDescent="0.2">
      <c r="A33" s="1">
        <v>23193</v>
      </c>
      <c r="B33">
        <v>6.19809058560514</v>
      </c>
      <c r="C33">
        <v>7.8048780487802727E-3</v>
      </c>
    </row>
    <row r="34" spans="1:3" x14ac:dyDescent="0.2">
      <c r="A34" s="1">
        <v>23224</v>
      </c>
      <c r="B34">
        <v>6.1800903225298098</v>
      </c>
      <c r="C34">
        <v>1.3779527559054872E-2</v>
      </c>
    </row>
    <row r="35" spans="1:3" x14ac:dyDescent="0.2">
      <c r="A35" s="1">
        <v>23255</v>
      </c>
      <c r="B35">
        <v>6.19809058560514</v>
      </c>
      <c r="C35">
        <v>1.7733990147783762E-2</v>
      </c>
    </row>
    <row r="36" spans="1:3" x14ac:dyDescent="0.2">
      <c r="A36" s="1">
        <v>23285</v>
      </c>
      <c r="B36">
        <v>6.2220909363722496</v>
      </c>
      <c r="C36">
        <v>2.2682445759368841E-2</v>
      </c>
    </row>
    <row r="37" spans="1:3" x14ac:dyDescent="0.2">
      <c r="A37" s="1">
        <v>23316</v>
      </c>
      <c r="B37">
        <v>6.2400911994475798</v>
      </c>
      <c r="C37">
        <v>2.1611001964636056E-2</v>
      </c>
    </row>
    <row r="38" spans="1:3" x14ac:dyDescent="0.2">
      <c r="A38" s="1">
        <v>23346</v>
      </c>
      <c r="B38">
        <v>6.2520913748311298</v>
      </c>
      <c r="C38">
        <v>1.8572825024437245E-2</v>
      </c>
    </row>
    <row r="39" spans="1:3" x14ac:dyDescent="0.2">
      <c r="A39" s="1">
        <v>23377</v>
      </c>
      <c r="B39">
        <v>6.2820918132900099</v>
      </c>
      <c r="C39">
        <v>1.9474196689386547E-2</v>
      </c>
    </row>
    <row r="40" spans="1:3" x14ac:dyDescent="0.2">
      <c r="A40" s="1">
        <v>23408</v>
      </c>
      <c r="B40">
        <v>6.2880919009817902</v>
      </c>
      <c r="C40">
        <v>1.1583011583011782E-2</v>
      </c>
    </row>
    <row r="41" spans="1:3" x14ac:dyDescent="0.2">
      <c r="A41" s="1">
        <v>23437</v>
      </c>
      <c r="B41">
        <v>6.3120922517488998</v>
      </c>
      <c r="C41">
        <v>1.4464802314368752E-2</v>
      </c>
    </row>
    <row r="42" spans="1:3" x14ac:dyDescent="0.2">
      <c r="A42" s="1">
        <v>23468</v>
      </c>
      <c r="B42">
        <v>6.3660930409748904</v>
      </c>
      <c r="C42">
        <v>2.0192307692308287E-2</v>
      </c>
    </row>
    <row r="43" spans="1:3" x14ac:dyDescent="0.2">
      <c r="A43" s="1">
        <v>23498</v>
      </c>
      <c r="B43">
        <v>6.4200938302008801</v>
      </c>
      <c r="C43">
        <v>2.9836381135708745E-2</v>
      </c>
    </row>
    <row r="44" spans="1:3" x14ac:dyDescent="0.2">
      <c r="A44" s="1">
        <v>23529</v>
      </c>
      <c r="B44">
        <v>6.4440941809679799</v>
      </c>
      <c r="C44">
        <v>3.368623676612148E-2</v>
      </c>
    </row>
    <row r="45" spans="1:3" x14ac:dyDescent="0.2">
      <c r="A45" s="1">
        <v>23559</v>
      </c>
      <c r="B45">
        <v>6.4440941809679799</v>
      </c>
      <c r="C45">
        <v>3.9690222652468909E-2</v>
      </c>
    </row>
    <row r="46" spans="1:3" x14ac:dyDescent="0.2">
      <c r="A46" s="1">
        <v>23590</v>
      </c>
      <c r="B46">
        <v>6.4680945317350904</v>
      </c>
      <c r="C46">
        <v>4.6601941747574038E-2</v>
      </c>
    </row>
    <row r="47" spans="1:3" x14ac:dyDescent="0.2">
      <c r="A47" s="1">
        <v>23621</v>
      </c>
      <c r="B47">
        <v>6.4680945317350904</v>
      </c>
      <c r="C47">
        <v>4.3562439496612981E-2</v>
      </c>
    </row>
    <row r="48" spans="1:3" x14ac:dyDescent="0.2">
      <c r="A48" s="1">
        <v>23651</v>
      </c>
      <c r="B48">
        <v>6.47409461942686</v>
      </c>
      <c r="C48">
        <v>4.0501446480230907E-2</v>
      </c>
    </row>
    <row r="49" spans="1:3" x14ac:dyDescent="0.2">
      <c r="A49" s="1">
        <v>23682</v>
      </c>
      <c r="B49">
        <v>6.5280954086528498</v>
      </c>
      <c r="C49">
        <v>4.6153846153845768E-2</v>
      </c>
    </row>
    <row r="50" spans="1:3" x14ac:dyDescent="0.2">
      <c r="A50" s="1">
        <v>23712</v>
      </c>
      <c r="B50">
        <v>6.5520957594199603</v>
      </c>
      <c r="C50">
        <v>4.7984644913628305E-2</v>
      </c>
    </row>
    <row r="51" spans="1:3" x14ac:dyDescent="0.2">
      <c r="A51" s="1">
        <v>23743</v>
      </c>
      <c r="B51">
        <v>6.5700960224952896</v>
      </c>
      <c r="C51">
        <v>4.5845272206304744E-2</v>
      </c>
    </row>
    <row r="52" spans="1:3" x14ac:dyDescent="0.2">
      <c r="A52" s="1">
        <v>23774</v>
      </c>
      <c r="B52">
        <v>6.5700960224952896</v>
      </c>
      <c r="C52">
        <v>4.4847328244275397E-2</v>
      </c>
    </row>
    <row r="53" spans="1:3" x14ac:dyDescent="0.2">
      <c r="A53" s="1">
        <v>23802</v>
      </c>
      <c r="B53">
        <v>6.5940963732623903</v>
      </c>
      <c r="C53">
        <v>4.4676806083649323E-2</v>
      </c>
    </row>
    <row r="54" spans="1:3" x14ac:dyDescent="0.2">
      <c r="A54" s="1">
        <v>23833</v>
      </c>
      <c r="B54">
        <v>6.7200982147896999</v>
      </c>
      <c r="C54">
        <v>5.5607917059377066E-2</v>
      </c>
    </row>
    <row r="55" spans="1:3" x14ac:dyDescent="0.2">
      <c r="A55" s="1">
        <v>23863</v>
      </c>
      <c r="B55">
        <v>6.7440985655568104</v>
      </c>
      <c r="C55">
        <v>5.0467289719625885E-2</v>
      </c>
    </row>
    <row r="56" spans="1:3" x14ac:dyDescent="0.2">
      <c r="A56" s="1">
        <v>23894</v>
      </c>
      <c r="B56">
        <v>6.7620988286321397</v>
      </c>
      <c r="C56">
        <v>4.9348230912477309E-2</v>
      </c>
    </row>
    <row r="57" spans="1:3" x14ac:dyDescent="0.2">
      <c r="A57" s="1">
        <v>23924</v>
      </c>
      <c r="B57">
        <v>6.7620988286321397</v>
      </c>
      <c r="C57">
        <v>4.9348230912477309E-2</v>
      </c>
    </row>
    <row r="58" spans="1:3" x14ac:dyDescent="0.2">
      <c r="A58" s="1">
        <v>23955</v>
      </c>
      <c r="B58">
        <v>6.7740990040156897</v>
      </c>
      <c r="C58">
        <v>4.7309833024118175E-2</v>
      </c>
    </row>
    <row r="59" spans="1:3" x14ac:dyDescent="0.2">
      <c r="A59" s="1">
        <v>23986</v>
      </c>
      <c r="B59">
        <v>6.7800990917074602</v>
      </c>
      <c r="C59">
        <v>4.8237476808904001E-2</v>
      </c>
    </row>
    <row r="60" spans="1:3" x14ac:dyDescent="0.2">
      <c r="A60" s="1">
        <v>24016</v>
      </c>
      <c r="B60">
        <v>6.7860991793992396</v>
      </c>
      <c r="C60">
        <v>4.8192771084337505E-2</v>
      </c>
    </row>
    <row r="61" spans="1:3" x14ac:dyDescent="0.2">
      <c r="A61" s="1">
        <v>24047</v>
      </c>
      <c r="B61">
        <v>6.8160996178581197</v>
      </c>
      <c r="C61">
        <v>4.4117647058823151E-2</v>
      </c>
    </row>
    <row r="62" spans="1:3" x14ac:dyDescent="0.2">
      <c r="A62" s="1">
        <v>24077</v>
      </c>
      <c r="B62">
        <v>6.8461000563170096</v>
      </c>
      <c r="C62">
        <v>4.4871794871794934E-2</v>
      </c>
    </row>
    <row r="63" spans="1:3" x14ac:dyDescent="0.2">
      <c r="A63" s="1">
        <v>24108</v>
      </c>
      <c r="B63">
        <v>6.8581002317005604</v>
      </c>
      <c r="C63">
        <v>4.3835616438355762E-2</v>
      </c>
    </row>
    <row r="64" spans="1:3" x14ac:dyDescent="0.2">
      <c r="A64" s="1">
        <v>24139</v>
      </c>
      <c r="B64">
        <v>6.8641003193923398</v>
      </c>
      <c r="C64">
        <v>4.474885844748866E-2</v>
      </c>
    </row>
    <row r="65" spans="1:3" x14ac:dyDescent="0.2">
      <c r="A65" s="1">
        <v>24167</v>
      </c>
      <c r="B65">
        <v>6.8761004947758897</v>
      </c>
      <c r="C65">
        <v>4.2766151046406353E-2</v>
      </c>
    </row>
    <row r="66" spans="1:3" x14ac:dyDescent="0.2">
      <c r="A66" s="1">
        <v>24198</v>
      </c>
      <c r="B66">
        <v>6.9601017224607604</v>
      </c>
      <c r="C66">
        <v>3.5714285714285587E-2</v>
      </c>
    </row>
    <row r="67" spans="1:3" x14ac:dyDescent="0.2">
      <c r="A67" s="1">
        <v>24228</v>
      </c>
      <c r="B67">
        <v>7.0081024239949699</v>
      </c>
      <c r="C67">
        <v>3.9145907473308483E-2</v>
      </c>
    </row>
    <row r="68" spans="1:3" x14ac:dyDescent="0.2">
      <c r="A68" s="1">
        <v>24259</v>
      </c>
      <c r="B68">
        <v>7.0261026870703001</v>
      </c>
      <c r="C68">
        <v>3.9041703637975989E-2</v>
      </c>
    </row>
    <row r="69" spans="1:3" x14ac:dyDescent="0.2">
      <c r="A69" s="1">
        <v>24289</v>
      </c>
      <c r="B69">
        <v>6.9961022486114199</v>
      </c>
      <c r="C69">
        <v>3.4605146406388121E-2</v>
      </c>
    </row>
    <row r="70" spans="1:3" x14ac:dyDescent="0.2">
      <c r="A70" s="1">
        <v>24320</v>
      </c>
      <c r="B70">
        <v>7.0381028624538597</v>
      </c>
      <c r="C70">
        <v>3.8972542072631233E-2</v>
      </c>
    </row>
    <row r="71" spans="1:3" x14ac:dyDescent="0.2">
      <c r="A71" s="1">
        <v>24351</v>
      </c>
      <c r="B71">
        <v>7.0261026870703001</v>
      </c>
      <c r="C71">
        <v>3.6283185840708443E-2</v>
      </c>
    </row>
    <row r="72" spans="1:3" x14ac:dyDescent="0.2">
      <c r="A72" s="1">
        <v>24381</v>
      </c>
      <c r="B72">
        <v>7.0441029501456303</v>
      </c>
      <c r="C72">
        <v>3.8019451812555394E-2</v>
      </c>
    </row>
    <row r="73" spans="1:3" x14ac:dyDescent="0.2">
      <c r="A73" s="1">
        <v>24412</v>
      </c>
      <c r="B73">
        <v>7.0861035639880701</v>
      </c>
      <c r="C73">
        <v>3.9612676056339113E-2</v>
      </c>
    </row>
    <row r="74" spans="1:3" x14ac:dyDescent="0.2">
      <c r="A74" s="1">
        <v>24442</v>
      </c>
      <c r="B74">
        <v>7.09810373937162</v>
      </c>
      <c r="C74">
        <v>3.6809815950919811E-2</v>
      </c>
    </row>
    <row r="75" spans="1:3" x14ac:dyDescent="0.2">
      <c r="A75" s="1">
        <v>24473</v>
      </c>
      <c r="B75">
        <v>7.1101039147551699</v>
      </c>
      <c r="C75">
        <v>3.6745406824146398E-2</v>
      </c>
    </row>
    <row r="76" spans="1:3" x14ac:dyDescent="0.2">
      <c r="A76" s="1">
        <v>24504</v>
      </c>
      <c r="B76">
        <v>7.1161040024469502</v>
      </c>
      <c r="C76">
        <v>3.671328671328622E-2</v>
      </c>
    </row>
    <row r="77" spans="1:3" x14ac:dyDescent="0.2">
      <c r="A77" s="1">
        <v>24532</v>
      </c>
      <c r="B77">
        <v>7.1161040024469502</v>
      </c>
      <c r="C77">
        <v>3.4904013961605473E-2</v>
      </c>
    </row>
    <row r="78" spans="1:3" x14ac:dyDescent="0.2">
      <c r="A78" s="1">
        <v>24563</v>
      </c>
      <c r="B78">
        <v>7.1701047916729399</v>
      </c>
      <c r="C78">
        <v>3.0172413793103647E-2</v>
      </c>
    </row>
    <row r="79" spans="1:3" x14ac:dyDescent="0.2">
      <c r="A79" s="1">
        <v>24593</v>
      </c>
      <c r="B79">
        <v>7.1641047039811596</v>
      </c>
      <c r="C79">
        <v>2.2260273972602773E-2</v>
      </c>
    </row>
    <row r="80" spans="1:3" x14ac:dyDescent="0.2">
      <c r="A80" s="1">
        <v>24624</v>
      </c>
      <c r="B80">
        <v>7.1941051424400397</v>
      </c>
      <c r="C80">
        <v>2.39111870196409E-2</v>
      </c>
    </row>
    <row r="81" spans="1:3" x14ac:dyDescent="0.2">
      <c r="A81" s="1">
        <v>24654</v>
      </c>
      <c r="B81">
        <v>7.1521045285976097</v>
      </c>
      <c r="C81">
        <v>2.2298456260720467E-2</v>
      </c>
    </row>
    <row r="82" spans="1:3" x14ac:dyDescent="0.2">
      <c r="A82" s="1">
        <v>24685</v>
      </c>
      <c r="B82">
        <v>7.1341042655222804</v>
      </c>
      <c r="C82">
        <v>1.3640238704176744E-2</v>
      </c>
    </row>
    <row r="83" spans="1:3" x14ac:dyDescent="0.2">
      <c r="A83" s="1">
        <v>24716</v>
      </c>
      <c r="B83">
        <v>7.1281041778305001</v>
      </c>
      <c r="C83">
        <v>1.4517506404782221E-2</v>
      </c>
    </row>
    <row r="84" spans="1:3" x14ac:dyDescent="0.2">
      <c r="A84" s="1">
        <v>24746</v>
      </c>
      <c r="B84">
        <v>7.1821049670564898</v>
      </c>
      <c r="C84">
        <v>1.9591141396933409E-2</v>
      </c>
    </row>
    <row r="85" spans="1:3" x14ac:dyDescent="0.2">
      <c r="A85" s="1">
        <v>24777</v>
      </c>
      <c r="B85">
        <v>7.2241055808989296</v>
      </c>
      <c r="C85">
        <v>1.9475021168501305E-2</v>
      </c>
    </row>
    <row r="86" spans="1:3" x14ac:dyDescent="0.2">
      <c r="A86" s="1">
        <v>24807</v>
      </c>
      <c r="B86">
        <v>7.2721062824331399</v>
      </c>
      <c r="C86">
        <v>2.4513947590870888E-2</v>
      </c>
    </row>
    <row r="87" spans="1:3" x14ac:dyDescent="0.2">
      <c r="A87" s="1">
        <v>24838</v>
      </c>
      <c r="B87">
        <v>7.2961066332002504</v>
      </c>
      <c r="C87">
        <v>2.6160337552743718E-2</v>
      </c>
    </row>
    <row r="88" spans="1:3" x14ac:dyDescent="0.2">
      <c r="A88" s="1">
        <v>24869</v>
      </c>
      <c r="B88">
        <v>7.3321071593509002</v>
      </c>
      <c r="C88">
        <v>3.0354131534569229E-2</v>
      </c>
    </row>
    <row r="89" spans="1:3" x14ac:dyDescent="0.2">
      <c r="A89" s="1">
        <v>24898</v>
      </c>
      <c r="B89">
        <v>7.3561075101180098</v>
      </c>
      <c r="C89">
        <v>3.3726812816188723E-2</v>
      </c>
    </row>
    <row r="90" spans="1:3" x14ac:dyDescent="0.2">
      <c r="A90" s="1">
        <v>24929</v>
      </c>
      <c r="B90">
        <v>7.4881094393370997</v>
      </c>
      <c r="C90">
        <v>4.4351464435147037E-2</v>
      </c>
    </row>
    <row r="91" spans="1:3" x14ac:dyDescent="0.2">
      <c r="A91" s="1">
        <v>24959</v>
      </c>
      <c r="B91">
        <v>7.4941095270288702</v>
      </c>
      <c r="C91">
        <v>4.606365159129E-2</v>
      </c>
    </row>
    <row r="92" spans="1:3" x14ac:dyDescent="0.2">
      <c r="A92" s="1">
        <v>24990</v>
      </c>
      <c r="B92">
        <v>7.5241099654877504</v>
      </c>
      <c r="C92">
        <v>4.5871559633027914E-2</v>
      </c>
    </row>
    <row r="93" spans="1:3" x14ac:dyDescent="0.2">
      <c r="A93" s="1">
        <v>25020</v>
      </c>
      <c r="B93">
        <v>7.5301100531795297</v>
      </c>
      <c r="C93">
        <v>5.2852348993288611E-2</v>
      </c>
    </row>
    <row r="94" spans="1:3" x14ac:dyDescent="0.2">
      <c r="A94" s="1">
        <v>25051</v>
      </c>
      <c r="B94">
        <v>7.5421102285630797</v>
      </c>
      <c r="C94">
        <v>5.7190916736753028E-2</v>
      </c>
    </row>
    <row r="95" spans="1:3" x14ac:dyDescent="0.2">
      <c r="A95" s="1">
        <v>25082</v>
      </c>
      <c r="B95">
        <v>7.54811031625486</v>
      </c>
      <c r="C95">
        <v>5.8922558922559487E-2</v>
      </c>
    </row>
    <row r="96" spans="1:3" x14ac:dyDescent="0.2">
      <c r="A96" s="1">
        <v>25112</v>
      </c>
      <c r="B96">
        <v>7.5841108424055204</v>
      </c>
      <c r="C96">
        <v>5.5973266499582897E-2</v>
      </c>
    </row>
    <row r="97" spans="1:3" x14ac:dyDescent="0.2">
      <c r="A97" s="1">
        <v>25143</v>
      </c>
      <c r="B97">
        <v>7.6021111054808497</v>
      </c>
      <c r="C97">
        <v>5.2325581395348708E-2</v>
      </c>
    </row>
    <row r="98" spans="1:3" x14ac:dyDescent="0.2">
      <c r="A98" s="1">
        <v>25173</v>
      </c>
      <c r="B98">
        <v>7.7041125962410497</v>
      </c>
      <c r="C98">
        <v>5.9405940594059459E-2</v>
      </c>
    </row>
    <row r="99" spans="1:3" x14ac:dyDescent="0.2">
      <c r="A99" s="1">
        <v>25204</v>
      </c>
      <c r="B99">
        <v>7.7461132100834797</v>
      </c>
      <c r="C99">
        <v>6.1677631578946013E-2</v>
      </c>
    </row>
    <row r="100" spans="1:3" x14ac:dyDescent="0.2">
      <c r="A100" s="1">
        <v>25235</v>
      </c>
      <c r="B100">
        <v>7.7881138239259204</v>
      </c>
      <c r="C100">
        <v>6.2193126022914047E-2</v>
      </c>
    </row>
    <row r="101" spans="1:3" x14ac:dyDescent="0.2">
      <c r="A101" s="1">
        <v>25263</v>
      </c>
      <c r="B101">
        <v>7.8181142623847997</v>
      </c>
      <c r="C101">
        <v>6.2805872756932946E-2</v>
      </c>
    </row>
    <row r="102" spans="1:3" x14ac:dyDescent="0.2">
      <c r="A102" s="1">
        <v>25294</v>
      </c>
      <c r="B102">
        <v>7.9021154900696704</v>
      </c>
      <c r="C102">
        <v>5.5288461538460343E-2</v>
      </c>
    </row>
    <row r="103" spans="1:3" x14ac:dyDescent="0.2">
      <c r="A103" s="1">
        <v>25324</v>
      </c>
      <c r="B103">
        <v>7.8901153146861196</v>
      </c>
      <c r="C103">
        <v>5.2842273819055041E-2</v>
      </c>
    </row>
    <row r="104" spans="1:3" x14ac:dyDescent="0.2">
      <c r="A104" s="1">
        <v>25355</v>
      </c>
      <c r="B104">
        <v>7.92611584083678</v>
      </c>
      <c r="C104">
        <v>5.3429027113238048E-2</v>
      </c>
    </row>
    <row r="105" spans="1:3" x14ac:dyDescent="0.2">
      <c r="A105" s="1">
        <v>25385</v>
      </c>
      <c r="B105">
        <v>7.92611584083678</v>
      </c>
      <c r="C105">
        <v>5.2589641434263035E-2</v>
      </c>
    </row>
    <row r="106" spans="1:3" x14ac:dyDescent="0.2">
      <c r="A106" s="1">
        <v>25416</v>
      </c>
      <c r="B106">
        <v>7.9081155777614498</v>
      </c>
      <c r="C106">
        <v>4.8528241845664732E-2</v>
      </c>
    </row>
    <row r="107" spans="1:3" x14ac:dyDescent="0.2">
      <c r="A107" s="1">
        <v>25447</v>
      </c>
      <c r="B107">
        <v>7.9321159285285603</v>
      </c>
      <c r="C107">
        <v>5.0874403815580616E-2</v>
      </c>
    </row>
    <row r="108" spans="1:3" x14ac:dyDescent="0.2">
      <c r="A108" s="1">
        <v>25477</v>
      </c>
      <c r="B108">
        <v>7.9921168054463196</v>
      </c>
      <c r="C108">
        <v>5.3797468354429778E-2</v>
      </c>
    </row>
    <row r="109" spans="1:3" x14ac:dyDescent="0.2">
      <c r="A109" s="1">
        <v>25508</v>
      </c>
      <c r="B109">
        <v>8.0101170685216498</v>
      </c>
      <c r="C109">
        <v>5.3670086819257667E-2</v>
      </c>
    </row>
    <row r="110" spans="1:3" x14ac:dyDescent="0.2">
      <c r="A110" s="1">
        <v>25538</v>
      </c>
      <c r="B110">
        <v>8.0641178577476396</v>
      </c>
      <c r="C110">
        <v>4.6728971962616717E-2</v>
      </c>
    </row>
    <row r="111" spans="1:3" x14ac:dyDescent="0.2">
      <c r="A111" s="1">
        <v>25569</v>
      </c>
      <c r="B111">
        <v>8.1301188223571792</v>
      </c>
      <c r="C111">
        <v>4.9573973663826765E-2</v>
      </c>
    </row>
    <row r="112" spans="1:3" x14ac:dyDescent="0.2">
      <c r="A112" s="1">
        <v>25600</v>
      </c>
      <c r="B112">
        <v>8.1721194361996208</v>
      </c>
      <c r="C112">
        <v>4.9306625577812513E-2</v>
      </c>
    </row>
    <row r="113" spans="1:3" x14ac:dyDescent="0.2">
      <c r="A113" s="1">
        <v>25628</v>
      </c>
      <c r="B113">
        <v>8.2201201377338293</v>
      </c>
      <c r="C113">
        <v>5.1419800460476228E-2</v>
      </c>
    </row>
    <row r="114" spans="1:3" x14ac:dyDescent="0.2">
      <c r="A114" s="1">
        <v>25659</v>
      </c>
      <c r="B114">
        <v>8.3461219792611399</v>
      </c>
      <c r="C114">
        <v>5.6188306757783746E-2</v>
      </c>
    </row>
    <row r="115" spans="1:3" x14ac:dyDescent="0.2">
      <c r="A115" s="1">
        <v>25689</v>
      </c>
      <c r="B115">
        <v>8.3701223300282397</v>
      </c>
      <c r="C115">
        <v>6.0836501901140538E-2</v>
      </c>
    </row>
    <row r="116" spans="1:3" x14ac:dyDescent="0.2">
      <c r="A116" s="1">
        <v>25720</v>
      </c>
      <c r="B116">
        <v>8.3941226807953502</v>
      </c>
      <c r="C116">
        <v>5.9046177138531553E-2</v>
      </c>
    </row>
    <row r="117" spans="1:3" x14ac:dyDescent="0.2">
      <c r="A117" s="1">
        <v>25750</v>
      </c>
      <c r="B117">
        <v>8.4541235577131104</v>
      </c>
      <c r="C117">
        <v>6.6616199848599233E-2</v>
      </c>
    </row>
    <row r="118" spans="1:3" x14ac:dyDescent="0.2">
      <c r="A118" s="1">
        <v>25781</v>
      </c>
      <c r="B118">
        <v>8.4481234700213399</v>
      </c>
      <c r="C118">
        <v>6.8285280728376696E-2</v>
      </c>
    </row>
    <row r="119" spans="1:3" x14ac:dyDescent="0.2">
      <c r="A119" s="1">
        <v>25812</v>
      </c>
      <c r="B119">
        <v>8.4901240838637708</v>
      </c>
      <c r="C119">
        <v>7.0347957639938841E-2</v>
      </c>
    </row>
    <row r="120" spans="1:3" x14ac:dyDescent="0.2">
      <c r="A120" s="1">
        <v>25842</v>
      </c>
      <c r="B120">
        <v>8.5801253992404192</v>
      </c>
      <c r="C120">
        <v>7.3573573573573636E-2</v>
      </c>
    </row>
    <row r="121" spans="1:3" x14ac:dyDescent="0.2">
      <c r="A121" s="1">
        <v>25873</v>
      </c>
      <c r="B121">
        <v>8.6401262761581794</v>
      </c>
      <c r="C121">
        <v>7.8651685393257731E-2</v>
      </c>
    </row>
    <row r="122" spans="1:3" x14ac:dyDescent="0.2">
      <c r="A122" s="1">
        <v>25903</v>
      </c>
      <c r="B122">
        <v>8.7001271530759503</v>
      </c>
      <c r="C122">
        <v>7.8869047619047672E-2</v>
      </c>
    </row>
    <row r="123" spans="1:3" x14ac:dyDescent="0.2">
      <c r="A123" s="1">
        <v>25934</v>
      </c>
      <c r="B123">
        <v>8.8201289069114797</v>
      </c>
      <c r="C123">
        <v>8.4870848708487268E-2</v>
      </c>
    </row>
    <row r="124" spans="1:3" x14ac:dyDescent="0.2">
      <c r="A124" s="1">
        <v>25965</v>
      </c>
      <c r="B124">
        <v>8.8681296084457006</v>
      </c>
      <c r="C124">
        <v>8.5168869309838913E-2</v>
      </c>
    </row>
    <row r="125" spans="1:3" x14ac:dyDescent="0.2">
      <c r="A125" s="1">
        <v>25993</v>
      </c>
      <c r="B125">
        <v>8.9401306607470108</v>
      </c>
      <c r="C125">
        <v>8.7591240875912302E-2</v>
      </c>
    </row>
    <row r="126" spans="1:3" x14ac:dyDescent="0.2">
      <c r="A126" s="1">
        <v>26024</v>
      </c>
      <c r="B126">
        <v>9.1321334668838592</v>
      </c>
      <c r="C126">
        <v>9.4176851186196453E-2</v>
      </c>
    </row>
    <row r="127" spans="1:3" x14ac:dyDescent="0.2">
      <c r="A127" s="1">
        <v>26054</v>
      </c>
      <c r="B127">
        <v>9.1921343438016194</v>
      </c>
      <c r="C127">
        <v>9.8207885304659071E-2</v>
      </c>
    </row>
    <row r="128" spans="1:3" x14ac:dyDescent="0.2">
      <c r="A128" s="1">
        <v>26085</v>
      </c>
      <c r="B128">
        <v>9.2581353084111608</v>
      </c>
      <c r="C128">
        <v>0.10293066476054236</v>
      </c>
    </row>
    <row r="129" spans="1:3" x14ac:dyDescent="0.2">
      <c r="A129" s="1">
        <v>26115</v>
      </c>
      <c r="B129">
        <v>9.3121360976371594</v>
      </c>
      <c r="C129">
        <v>0.10149041873669362</v>
      </c>
    </row>
    <row r="130" spans="1:3" x14ac:dyDescent="0.2">
      <c r="A130" s="1">
        <v>26146</v>
      </c>
      <c r="B130">
        <v>9.31813618532893</v>
      </c>
      <c r="C130">
        <v>0.10298295454545392</v>
      </c>
    </row>
    <row r="131" spans="1:3" x14ac:dyDescent="0.2">
      <c r="A131" s="1">
        <v>26177</v>
      </c>
      <c r="B131">
        <v>9.3301363607124905</v>
      </c>
      <c r="C131">
        <v>9.8939929328622833E-2</v>
      </c>
    </row>
    <row r="132" spans="1:3" x14ac:dyDescent="0.2">
      <c r="A132" s="1">
        <v>26207</v>
      </c>
      <c r="B132">
        <v>9.3841371499384802</v>
      </c>
      <c r="C132">
        <v>9.3706293706294685E-2</v>
      </c>
    </row>
    <row r="133" spans="1:3" x14ac:dyDescent="0.2">
      <c r="A133" s="1">
        <v>26238</v>
      </c>
      <c r="B133">
        <v>9.4381379391644593</v>
      </c>
      <c r="C133">
        <v>9.236111111111156E-2</v>
      </c>
    </row>
    <row r="134" spans="1:3" x14ac:dyDescent="0.2">
      <c r="A134" s="1">
        <v>26268</v>
      </c>
      <c r="B134">
        <v>9.4861386406986803</v>
      </c>
      <c r="C134">
        <v>9.0344827586207543E-2</v>
      </c>
    </row>
    <row r="135" spans="1:3" x14ac:dyDescent="0.2">
      <c r="A135" s="1">
        <v>26299</v>
      </c>
      <c r="B135">
        <v>9.5401394299246594</v>
      </c>
      <c r="C135">
        <v>8.1632653061224136E-2</v>
      </c>
    </row>
    <row r="136" spans="1:3" x14ac:dyDescent="0.2">
      <c r="A136" s="1">
        <v>26330</v>
      </c>
      <c r="B136">
        <v>9.5881401314588803</v>
      </c>
      <c r="C136">
        <v>8.1190798376183704E-2</v>
      </c>
    </row>
    <row r="137" spans="1:3" x14ac:dyDescent="0.2">
      <c r="A137" s="1">
        <v>26359</v>
      </c>
      <c r="B137">
        <v>9.6181405699177596</v>
      </c>
      <c r="C137">
        <v>7.5838926174496946E-2</v>
      </c>
    </row>
    <row r="138" spans="1:3" x14ac:dyDescent="0.2">
      <c r="A138" s="1">
        <v>26390</v>
      </c>
      <c r="B138">
        <v>9.7081418852944097</v>
      </c>
      <c r="C138">
        <v>6.3074901445467013E-2</v>
      </c>
    </row>
    <row r="139" spans="1:3" x14ac:dyDescent="0.2">
      <c r="A139" s="1">
        <v>26420</v>
      </c>
      <c r="B139">
        <v>9.75614258682862</v>
      </c>
      <c r="C139">
        <v>6.1357702349870369E-2</v>
      </c>
    </row>
    <row r="140" spans="1:3" x14ac:dyDescent="0.2">
      <c r="A140" s="1">
        <v>26451</v>
      </c>
      <c r="B140">
        <v>9.8221435514381596</v>
      </c>
      <c r="C140">
        <v>6.0920285158782228E-2</v>
      </c>
    </row>
    <row r="141" spans="1:3" x14ac:dyDescent="0.2">
      <c r="A141" s="1">
        <v>26481</v>
      </c>
      <c r="B141">
        <v>9.8521439898970407</v>
      </c>
      <c r="C141">
        <v>5.7989690721648834E-2</v>
      </c>
    </row>
    <row r="142" spans="1:3" x14ac:dyDescent="0.2">
      <c r="A142" s="1">
        <v>26512</v>
      </c>
      <c r="B142">
        <v>9.9301451298901409</v>
      </c>
      <c r="C142">
        <v>6.5679330328397345E-2</v>
      </c>
    </row>
    <row r="143" spans="1:3" x14ac:dyDescent="0.2">
      <c r="A143" s="1">
        <v>26543</v>
      </c>
      <c r="B143">
        <v>9.9841459191161199</v>
      </c>
      <c r="C143">
        <v>7.0096463022506716E-2</v>
      </c>
    </row>
    <row r="144" spans="1:3" x14ac:dyDescent="0.2">
      <c r="A144" s="1">
        <v>26573</v>
      </c>
      <c r="B144">
        <v>10.122147936027</v>
      </c>
      <c r="C144">
        <v>7.8644501278773093E-2</v>
      </c>
    </row>
    <row r="145" spans="1:3" x14ac:dyDescent="0.2">
      <c r="A145" s="1">
        <v>26604</v>
      </c>
      <c r="B145">
        <v>10.1581484621776</v>
      </c>
      <c r="C145">
        <v>7.6287349014617423E-2</v>
      </c>
    </row>
    <row r="146" spans="1:3" x14ac:dyDescent="0.2">
      <c r="A146" s="1">
        <v>26634</v>
      </c>
      <c r="B146">
        <v>10.2121492514036</v>
      </c>
      <c r="C146">
        <v>7.6533839342184384E-2</v>
      </c>
    </row>
    <row r="147" spans="1:3" x14ac:dyDescent="0.2">
      <c r="A147" s="1">
        <v>26665</v>
      </c>
      <c r="B147">
        <v>10.2781502160132</v>
      </c>
      <c r="C147">
        <v>7.7358490566040938E-2</v>
      </c>
    </row>
    <row r="148" spans="1:3" x14ac:dyDescent="0.2">
      <c r="A148" s="1">
        <v>26696</v>
      </c>
      <c r="B148">
        <v>10.344151180622699</v>
      </c>
      <c r="C148">
        <v>7.884856070087376E-2</v>
      </c>
    </row>
    <row r="149" spans="1:3" x14ac:dyDescent="0.2">
      <c r="A149" s="1">
        <v>26724</v>
      </c>
      <c r="B149">
        <v>10.4041520575405</v>
      </c>
      <c r="C149">
        <v>8.1721771678105348E-2</v>
      </c>
    </row>
    <row r="150" spans="1:3" x14ac:dyDescent="0.2">
      <c r="A150" s="1">
        <v>26755</v>
      </c>
      <c r="B150">
        <v>10.6021549513691</v>
      </c>
      <c r="C150">
        <v>9.2088998763904861E-2</v>
      </c>
    </row>
    <row r="151" spans="1:3" x14ac:dyDescent="0.2">
      <c r="A151" s="1">
        <v>26785</v>
      </c>
      <c r="B151">
        <v>10.6801560913622</v>
      </c>
      <c r="C151">
        <v>9.47109471094707E-2</v>
      </c>
    </row>
    <row r="152" spans="1:3" x14ac:dyDescent="0.2">
      <c r="A152" s="1">
        <v>26816</v>
      </c>
      <c r="B152">
        <v>10.7341568805882</v>
      </c>
      <c r="C152">
        <v>9.2852779474649649E-2</v>
      </c>
    </row>
    <row r="153" spans="1:3" x14ac:dyDescent="0.2">
      <c r="A153" s="1">
        <v>26846</v>
      </c>
      <c r="B153">
        <v>10.7821575821224</v>
      </c>
      <c r="C153">
        <v>9.439707673568809E-2</v>
      </c>
    </row>
    <row r="154" spans="1:3" x14ac:dyDescent="0.2">
      <c r="A154" s="1">
        <v>26877</v>
      </c>
      <c r="B154">
        <v>10.8121580205813</v>
      </c>
      <c r="C154">
        <v>8.8821752265862086E-2</v>
      </c>
    </row>
    <row r="155" spans="1:3" x14ac:dyDescent="0.2">
      <c r="A155" s="1">
        <v>26908</v>
      </c>
      <c r="B155">
        <v>10.9081594236497</v>
      </c>
      <c r="C155">
        <v>9.254807692307665E-2</v>
      </c>
    </row>
    <row r="156" spans="1:3" x14ac:dyDescent="0.2">
      <c r="A156" s="1">
        <v>26938</v>
      </c>
      <c r="B156">
        <v>11.124162580553699</v>
      </c>
      <c r="C156">
        <v>9.899229401304277E-2</v>
      </c>
    </row>
    <row r="157" spans="1:3" x14ac:dyDescent="0.2">
      <c r="A157" s="1">
        <v>26969</v>
      </c>
      <c r="B157">
        <v>11.208163808238499</v>
      </c>
      <c r="C157">
        <v>0.10336680448907387</v>
      </c>
    </row>
    <row r="158" spans="1:3" x14ac:dyDescent="0.2">
      <c r="A158" s="1">
        <v>26999</v>
      </c>
      <c r="B158">
        <v>11.2921650359234</v>
      </c>
      <c r="C158">
        <v>0.10575793184489135</v>
      </c>
    </row>
    <row r="159" spans="1:3" x14ac:dyDescent="0.2">
      <c r="A159" s="1">
        <v>27030</v>
      </c>
      <c r="B159">
        <v>11.5081681928274</v>
      </c>
      <c r="C159">
        <v>0.11967308814944633</v>
      </c>
    </row>
    <row r="160" spans="1:3" x14ac:dyDescent="0.2">
      <c r="A160" s="1">
        <v>27061</v>
      </c>
      <c r="B160">
        <v>11.7038070521054</v>
      </c>
      <c r="C160">
        <v>0.13144199535962819</v>
      </c>
    </row>
    <row r="161" spans="1:3" x14ac:dyDescent="0.2">
      <c r="A161" s="1">
        <v>27089</v>
      </c>
      <c r="B161">
        <v>11.8073805658409</v>
      </c>
      <c r="C161">
        <v>0.13487197231833981</v>
      </c>
    </row>
    <row r="162" spans="1:3" x14ac:dyDescent="0.2">
      <c r="A162" s="1">
        <v>27120</v>
      </c>
      <c r="B162">
        <v>12.210166452589799</v>
      </c>
      <c r="C162">
        <v>0.1516683644595338</v>
      </c>
    </row>
    <row r="163" spans="1:3" x14ac:dyDescent="0.2">
      <c r="A163" s="1">
        <v>27150</v>
      </c>
      <c r="B163">
        <v>12.3827889754822</v>
      </c>
      <c r="C163">
        <v>0.15942022471909745</v>
      </c>
    </row>
    <row r="164" spans="1:3" x14ac:dyDescent="0.2">
      <c r="A164" s="1">
        <v>27181</v>
      </c>
      <c r="B164">
        <v>12.509378825603299</v>
      </c>
      <c r="C164">
        <v>0.16538065958635606</v>
      </c>
    </row>
    <row r="165" spans="1:3" x14ac:dyDescent="0.2">
      <c r="A165" s="1">
        <v>27211</v>
      </c>
      <c r="B165">
        <v>12.6244605075316</v>
      </c>
      <c r="C165">
        <v>0.17086588759042742</v>
      </c>
    </row>
    <row r="166" spans="1:3" x14ac:dyDescent="0.2">
      <c r="A166" s="1">
        <v>27242</v>
      </c>
      <c r="B166">
        <v>12.635968675724399</v>
      </c>
      <c r="C166">
        <v>0.16868146503883996</v>
      </c>
    </row>
    <row r="167" spans="1:3" x14ac:dyDescent="0.2">
      <c r="A167" s="1">
        <v>27273</v>
      </c>
      <c r="B167">
        <v>12.7740666940384</v>
      </c>
      <c r="C167">
        <v>0.17105610561056461</v>
      </c>
    </row>
    <row r="168" spans="1:3" x14ac:dyDescent="0.2">
      <c r="A168" s="1">
        <v>27303</v>
      </c>
      <c r="B168">
        <v>13.027246394280599</v>
      </c>
      <c r="C168">
        <v>0.17107659115425977</v>
      </c>
    </row>
    <row r="169" spans="1:3" x14ac:dyDescent="0.2">
      <c r="A169" s="1">
        <v>27334</v>
      </c>
      <c r="B169">
        <v>13.257409758137101</v>
      </c>
      <c r="C169">
        <v>0.18283511777302142</v>
      </c>
    </row>
    <row r="170" spans="1:3" x14ac:dyDescent="0.2">
      <c r="A170" s="1">
        <v>27364</v>
      </c>
      <c r="B170">
        <v>13.453048617415201</v>
      </c>
      <c r="C170">
        <v>0.19136131774707965</v>
      </c>
    </row>
    <row r="171" spans="1:3" x14ac:dyDescent="0.2">
      <c r="A171" s="1">
        <v>27395</v>
      </c>
      <c r="B171">
        <v>13.798293663200001</v>
      </c>
      <c r="C171">
        <v>0.19899999999999562</v>
      </c>
    </row>
    <row r="172" spans="1:3" x14ac:dyDescent="0.2">
      <c r="A172" s="1">
        <v>27426</v>
      </c>
      <c r="B172">
        <v>14.0284570270566</v>
      </c>
      <c r="C172">
        <v>0.19862340216323182</v>
      </c>
    </row>
    <row r="173" spans="1:3" x14ac:dyDescent="0.2">
      <c r="A173" s="1">
        <v>27454</v>
      </c>
      <c r="B173">
        <v>14.3046530636844</v>
      </c>
      <c r="C173">
        <v>0.21150097465886586</v>
      </c>
    </row>
    <row r="174" spans="1:3" x14ac:dyDescent="0.2">
      <c r="A174" s="1">
        <v>27485</v>
      </c>
      <c r="B174">
        <v>14.8570451369401</v>
      </c>
      <c r="C174">
        <v>0.21677662582469481</v>
      </c>
    </row>
    <row r="175" spans="1:3" x14ac:dyDescent="0.2">
      <c r="A175" s="1">
        <v>27515</v>
      </c>
      <c r="B175">
        <v>15.478486219352799</v>
      </c>
      <c r="C175">
        <v>0.250000000000004</v>
      </c>
    </row>
    <row r="176" spans="1:3" x14ac:dyDescent="0.2">
      <c r="A176" s="1">
        <v>27546</v>
      </c>
      <c r="B176">
        <v>15.777698592366299</v>
      </c>
      <c r="C176">
        <v>0.26126954921803458</v>
      </c>
    </row>
    <row r="177" spans="1:3" x14ac:dyDescent="0.2">
      <c r="A177" s="1">
        <v>27576</v>
      </c>
      <c r="B177">
        <v>15.9388129470659</v>
      </c>
      <c r="C177">
        <v>0.26253418413856155</v>
      </c>
    </row>
    <row r="178" spans="1:3" x14ac:dyDescent="0.2">
      <c r="A178" s="1">
        <v>27607</v>
      </c>
      <c r="B178">
        <v>16.030878292608499</v>
      </c>
      <c r="C178">
        <v>0.26867030965391936</v>
      </c>
    </row>
    <row r="179" spans="1:3" x14ac:dyDescent="0.2">
      <c r="A179" s="1">
        <v>27638</v>
      </c>
      <c r="B179">
        <v>16.1689763109224</v>
      </c>
      <c r="C179">
        <v>0.2657657657657595</v>
      </c>
    </row>
    <row r="180" spans="1:3" x14ac:dyDescent="0.2">
      <c r="A180" s="1">
        <v>27668</v>
      </c>
      <c r="B180">
        <v>16.399139674779001</v>
      </c>
      <c r="C180">
        <v>0.25883392226148239</v>
      </c>
    </row>
    <row r="181" spans="1:3" x14ac:dyDescent="0.2">
      <c r="A181" s="1">
        <v>27699</v>
      </c>
      <c r="B181">
        <v>16.594778534057099</v>
      </c>
      <c r="C181">
        <v>0.25173611111111627</v>
      </c>
    </row>
    <row r="182" spans="1:3" x14ac:dyDescent="0.2">
      <c r="A182" s="1">
        <v>27729</v>
      </c>
      <c r="B182">
        <v>16.801925561527899</v>
      </c>
      <c r="C182">
        <v>0.24893071000854916</v>
      </c>
    </row>
    <row r="183" spans="1:3" x14ac:dyDescent="0.2">
      <c r="A183" s="1">
        <v>27760</v>
      </c>
      <c r="B183">
        <v>17.020580757191698</v>
      </c>
      <c r="C183">
        <v>0.23352793994996102</v>
      </c>
    </row>
    <row r="184" spans="1:3" x14ac:dyDescent="0.2">
      <c r="A184" s="1">
        <v>27791</v>
      </c>
      <c r="B184">
        <v>17.239235952855399</v>
      </c>
      <c r="C184">
        <v>0.22887612797374568</v>
      </c>
    </row>
    <row r="185" spans="1:3" x14ac:dyDescent="0.2">
      <c r="A185" s="1">
        <v>27820</v>
      </c>
      <c r="B185">
        <v>17.331301298397999</v>
      </c>
      <c r="C185">
        <v>0.21158487530168979</v>
      </c>
    </row>
    <row r="186" spans="1:3" x14ac:dyDescent="0.2">
      <c r="A186" s="1">
        <v>27851</v>
      </c>
      <c r="B186">
        <v>17.665038175989999</v>
      </c>
      <c r="C186">
        <v>0.18900077459334041</v>
      </c>
    </row>
    <row r="187" spans="1:3" x14ac:dyDescent="0.2">
      <c r="A187" s="1">
        <v>27881</v>
      </c>
      <c r="B187">
        <v>17.8606770352681</v>
      </c>
      <c r="C187">
        <v>0.15390334572490949</v>
      </c>
    </row>
    <row r="188" spans="1:3" x14ac:dyDescent="0.2">
      <c r="A188" s="1">
        <v>27912</v>
      </c>
      <c r="B188">
        <v>17.952742380810701</v>
      </c>
      <c r="C188">
        <v>0.13785557986871111</v>
      </c>
    </row>
    <row r="189" spans="1:3" x14ac:dyDescent="0.2">
      <c r="A189" s="1">
        <v>27942</v>
      </c>
      <c r="B189">
        <v>17.9872668853892</v>
      </c>
      <c r="C189">
        <v>0.1285198555956697</v>
      </c>
    </row>
    <row r="190" spans="1:3" x14ac:dyDescent="0.2">
      <c r="A190" s="1">
        <v>27973</v>
      </c>
      <c r="B190">
        <v>18.2404465856314</v>
      </c>
      <c r="C190">
        <v>0.13783201722900529</v>
      </c>
    </row>
    <row r="191" spans="1:3" x14ac:dyDescent="0.2">
      <c r="A191" s="1">
        <v>28004</v>
      </c>
      <c r="B191">
        <v>18.482118117680699</v>
      </c>
      <c r="C191">
        <v>0.14306049822064093</v>
      </c>
    </row>
    <row r="192" spans="1:3" x14ac:dyDescent="0.2">
      <c r="A192" s="1">
        <v>28034</v>
      </c>
      <c r="B192">
        <v>18.815854995272701</v>
      </c>
      <c r="C192">
        <v>0.14736842105262871</v>
      </c>
    </row>
    <row r="193" spans="1:3" x14ac:dyDescent="0.2">
      <c r="A193" s="1">
        <v>28065</v>
      </c>
      <c r="B193">
        <v>19.080542863707802</v>
      </c>
      <c r="C193">
        <v>0.1497919556171976</v>
      </c>
    </row>
    <row r="194" spans="1:3" x14ac:dyDescent="0.2">
      <c r="A194" s="1">
        <v>28095</v>
      </c>
      <c r="B194">
        <v>19.333722563950001</v>
      </c>
      <c r="C194">
        <v>0.1506849315068548</v>
      </c>
    </row>
    <row r="195" spans="1:3" x14ac:dyDescent="0.2">
      <c r="A195" s="1">
        <v>28126</v>
      </c>
      <c r="B195">
        <v>19.8400819644344</v>
      </c>
      <c r="C195">
        <v>0.1656524678837048</v>
      </c>
    </row>
    <row r="196" spans="1:3" x14ac:dyDescent="0.2">
      <c r="A196" s="1">
        <v>28157</v>
      </c>
      <c r="B196">
        <v>20.035720823712399</v>
      </c>
      <c r="C196">
        <v>0.16221628838450974</v>
      </c>
    </row>
    <row r="197" spans="1:3" x14ac:dyDescent="0.2">
      <c r="A197" s="1">
        <v>28185</v>
      </c>
      <c r="B197">
        <v>20.231359682990501</v>
      </c>
      <c r="C197">
        <v>0.16733067729083717</v>
      </c>
    </row>
    <row r="198" spans="1:3" x14ac:dyDescent="0.2">
      <c r="A198" s="1">
        <v>28216</v>
      </c>
      <c r="B198">
        <v>20.749227251667701</v>
      </c>
      <c r="C198">
        <v>0.17459283387621971</v>
      </c>
    </row>
    <row r="199" spans="1:3" x14ac:dyDescent="0.2">
      <c r="A199" s="1">
        <v>28246</v>
      </c>
      <c r="B199">
        <v>20.9103416063673</v>
      </c>
      <c r="C199">
        <v>0.1707474226804091</v>
      </c>
    </row>
    <row r="200" spans="1:3" x14ac:dyDescent="0.2">
      <c r="A200" s="1">
        <v>28277</v>
      </c>
      <c r="B200">
        <v>21.128996802031001</v>
      </c>
      <c r="C200">
        <v>0.17692307692307385</v>
      </c>
    </row>
    <row r="201" spans="1:3" x14ac:dyDescent="0.2">
      <c r="A201" s="1">
        <v>28307</v>
      </c>
      <c r="B201">
        <v>21.152013138416699</v>
      </c>
      <c r="C201">
        <v>0.1759436980166329</v>
      </c>
    </row>
    <row r="202" spans="1:3" x14ac:dyDescent="0.2">
      <c r="A202" s="1">
        <v>28338</v>
      </c>
      <c r="B202">
        <v>21.2555866521521</v>
      </c>
      <c r="C202">
        <v>0.1652996845425827</v>
      </c>
    </row>
    <row r="203" spans="1:3" x14ac:dyDescent="0.2">
      <c r="A203" s="1">
        <v>28369</v>
      </c>
      <c r="B203">
        <v>21.370668334080399</v>
      </c>
      <c r="C203">
        <v>0.15628891656289134</v>
      </c>
    </row>
    <row r="204" spans="1:3" x14ac:dyDescent="0.2">
      <c r="A204" s="1">
        <v>28399</v>
      </c>
      <c r="B204">
        <v>21.462733679623</v>
      </c>
      <c r="C204">
        <v>0.14067278287461837</v>
      </c>
    </row>
    <row r="205" spans="1:3" x14ac:dyDescent="0.2">
      <c r="A205" s="1">
        <v>28430</v>
      </c>
      <c r="B205">
        <v>21.566307193358501</v>
      </c>
      <c r="C205">
        <v>0.13027744270204988</v>
      </c>
    </row>
    <row r="206" spans="1:3" x14ac:dyDescent="0.2">
      <c r="A206" s="1">
        <v>28460</v>
      </c>
      <c r="B206">
        <v>21.6813888752867</v>
      </c>
      <c r="C206">
        <v>0.121428571428567</v>
      </c>
    </row>
    <row r="207" spans="1:3" x14ac:dyDescent="0.2">
      <c r="A207" s="1">
        <v>28491</v>
      </c>
      <c r="B207">
        <v>21.8079787254078</v>
      </c>
      <c r="C207">
        <v>9.9187935034798613E-2</v>
      </c>
    </row>
    <row r="208" spans="1:3" x14ac:dyDescent="0.2">
      <c r="A208" s="1">
        <v>28522</v>
      </c>
      <c r="B208">
        <v>21.934568575528999</v>
      </c>
      <c r="C208">
        <v>9.4773118897189867E-2</v>
      </c>
    </row>
    <row r="209" spans="1:3" x14ac:dyDescent="0.2">
      <c r="A209" s="1">
        <v>28550</v>
      </c>
      <c r="B209">
        <v>22.0726665938429</v>
      </c>
      <c r="C209">
        <v>9.1012514220706331E-2</v>
      </c>
    </row>
    <row r="210" spans="1:3" x14ac:dyDescent="0.2">
      <c r="A210" s="1">
        <v>28581</v>
      </c>
      <c r="B210">
        <v>22.394895303241999</v>
      </c>
      <c r="C210">
        <v>7.9312257348862492E-2</v>
      </c>
    </row>
    <row r="211" spans="1:3" x14ac:dyDescent="0.2">
      <c r="A211" s="1">
        <v>28611</v>
      </c>
      <c r="B211">
        <v>22.521485153363098</v>
      </c>
      <c r="C211">
        <v>7.7050082553658417E-2</v>
      </c>
    </row>
    <row r="212" spans="1:3" x14ac:dyDescent="0.2">
      <c r="A212" s="1">
        <v>28642</v>
      </c>
      <c r="B212">
        <v>22.694107676255602</v>
      </c>
      <c r="C212">
        <v>7.4074074074077956E-2</v>
      </c>
    </row>
    <row r="213" spans="1:3" x14ac:dyDescent="0.2">
      <c r="A213" s="1">
        <v>28672</v>
      </c>
      <c r="B213">
        <v>22.797681189991</v>
      </c>
      <c r="C213">
        <v>7.7801958650706604E-2</v>
      </c>
    </row>
    <row r="214" spans="1:3" x14ac:dyDescent="0.2">
      <c r="A214" s="1">
        <v>28703</v>
      </c>
      <c r="B214">
        <v>22.947287376497801</v>
      </c>
      <c r="C214">
        <v>7.9588521927453693E-2</v>
      </c>
    </row>
    <row r="215" spans="1:3" x14ac:dyDescent="0.2">
      <c r="A215" s="1">
        <v>28734</v>
      </c>
      <c r="B215">
        <v>23.039352722040402</v>
      </c>
      <c r="C215">
        <v>7.8082929456113614E-2</v>
      </c>
    </row>
    <row r="216" spans="1:3" x14ac:dyDescent="0.2">
      <c r="A216" s="1">
        <v>28764</v>
      </c>
      <c r="B216">
        <v>23.1429262357758</v>
      </c>
      <c r="C216">
        <v>7.828418230563039E-2</v>
      </c>
    </row>
    <row r="217" spans="1:3" x14ac:dyDescent="0.2">
      <c r="A217" s="1">
        <v>28795</v>
      </c>
      <c r="B217">
        <v>23.304040590475399</v>
      </c>
      <c r="C217">
        <v>8.0576307363925848E-2</v>
      </c>
    </row>
    <row r="218" spans="1:3" x14ac:dyDescent="0.2">
      <c r="A218" s="1">
        <v>28825</v>
      </c>
      <c r="B218">
        <v>23.499679449753501</v>
      </c>
      <c r="C218">
        <v>8.3864118895969897E-2</v>
      </c>
    </row>
    <row r="219" spans="1:3" x14ac:dyDescent="0.2">
      <c r="A219" s="1">
        <v>28856</v>
      </c>
      <c r="B219">
        <v>23.844924495538301</v>
      </c>
      <c r="C219">
        <v>9.3403693931401355E-2</v>
      </c>
    </row>
    <row r="220" spans="1:3" x14ac:dyDescent="0.2">
      <c r="A220" s="1">
        <v>28887</v>
      </c>
      <c r="B220">
        <v>24.040563354816399</v>
      </c>
      <c r="C220">
        <v>9.6012591815319404E-2</v>
      </c>
    </row>
    <row r="221" spans="1:3" x14ac:dyDescent="0.2">
      <c r="A221" s="1">
        <v>28915</v>
      </c>
      <c r="B221">
        <v>24.236202214094401</v>
      </c>
      <c r="C221">
        <v>9.8018769551614149E-2</v>
      </c>
    </row>
    <row r="222" spans="1:3" x14ac:dyDescent="0.2">
      <c r="A222" s="1">
        <v>28946</v>
      </c>
      <c r="B222">
        <v>24.6504962690362</v>
      </c>
      <c r="C222">
        <v>0.10071942446043369</v>
      </c>
    </row>
    <row r="223" spans="1:3" x14ac:dyDescent="0.2">
      <c r="A223" s="1">
        <v>28976</v>
      </c>
      <c r="B223">
        <v>24.846135128314302</v>
      </c>
      <c r="C223">
        <v>0.10321921308125037</v>
      </c>
    </row>
    <row r="224" spans="1:3" x14ac:dyDescent="0.2">
      <c r="A224" s="1">
        <v>29007</v>
      </c>
      <c r="B224">
        <v>25.271937351448901</v>
      </c>
      <c r="C224">
        <v>0.11359026369168213</v>
      </c>
    </row>
    <row r="225" spans="1:3" x14ac:dyDescent="0.2">
      <c r="A225" s="1">
        <v>29037</v>
      </c>
      <c r="B225">
        <v>26.365213329767499</v>
      </c>
      <c r="C225">
        <v>0.15648662291771909</v>
      </c>
    </row>
    <row r="226" spans="1:3" x14ac:dyDescent="0.2">
      <c r="A226" s="1">
        <v>29068</v>
      </c>
      <c r="B226">
        <v>26.572360357238399</v>
      </c>
      <c r="C226">
        <v>0.15797392176529468</v>
      </c>
    </row>
    <row r="227" spans="1:3" x14ac:dyDescent="0.2">
      <c r="A227" s="1">
        <v>29099</v>
      </c>
      <c r="B227">
        <v>26.837048225673399</v>
      </c>
      <c r="C227">
        <v>0.16483516483516336</v>
      </c>
    </row>
    <row r="228" spans="1:3" x14ac:dyDescent="0.2">
      <c r="A228" s="1">
        <v>29129</v>
      </c>
      <c r="B228">
        <v>27.113244262301301</v>
      </c>
      <c r="C228">
        <v>0.17155643958230016</v>
      </c>
    </row>
    <row r="229" spans="1:3" x14ac:dyDescent="0.2">
      <c r="A229" s="1">
        <v>29160</v>
      </c>
      <c r="B229">
        <v>27.3549157943506</v>
      </c>
      <c r="C229">
        <v>0.17382716049382596</v>
      </c>
    </row>
    <row r="230" spans="1:3" x14ac:dyDescent="0.2">
      <c r="A230" s="1">
        <v>29190</v>
      </c>
      <c r="B230">
        <v>27.550554653628701</v>
      </c>
      <c r="C230">
        <v>0.17238001958863713</v>
      </c>
    </row>
    <row r="231" spans="1:3" x14ac:dyDescent="0.2">
      <c r="A231" s="1">
        <v>29221</v>
      </c>
      <c r="B231">
        <v>28.229536577005501</v>
      </c>
      <c r="C231">
        <v>0.18388030888030782</v>
      </c>
    </row>
    <row r="232" spans="1:3" x14ac:dyDescent="0.2">
      <c r="A232" s="1">
        <v>29252</v>
      </c>
      <c r="B232">
        <v>28.632322463754502</v>
      </c>
      <c r="C232">
        <v>0.19100047869794068</v>
      </c>
    </row>
    <row r="233" spans="1:3" x14ac:dyDescent="0.2">
      <c r="A233" s="1">
        <v>29281</v>
      </c>
      <c r="B233">
        <v>29.023600182310599</v>
      </c>
      <c r="C233">
        <v>0.19753086419753174</v>
      </c>
    </row>
    <row r="234" spans="1:3" x14ac:dyDescent="0.2">
      <c r="A234" s="1">
        <v>29312</v>
      </c>
      <c r="B234">
        <v>30.013302646893798</v>
      </c>
      <c r="C234">
        <v>0.21755368814192555</v>
      </c>
    </row>
    <row r="235" spans="1:3" x14ac:dyDescent="0.2">
      <c r="A235" s="1">
        <v>29342</v>
      </c>
      <c r="B235">
        <v>30.2894986835216</v>
      </c>
      <c r="C235">
        <v>0.2190829087540509</v>
      </c>
    </row>
    <row r="236" spans="1:3" x14ac:dyDescent="0.2">
      <c r="A236" s="1">
        <v>29373</v>
      </c>
      <c r="B236">
        <v>30.577202888342299</v>
      </c>
      <c r="C236">
        <v>0.20992714025500825</v>
      </c>
    </row>
    <row r="237" spans="1:3" x14ac:dyDescent="0.2">
      <c r="A237" s="1">
        <v>29403</v>
      </c>
      <c r="B237">
        <v>30.830382588584499</v>
      </c>
      <c r="C237">
        <v>0.16935835879528516</v>
      </c>
    </row>
    <row r="238" spans="1:3" x14ac:dyDescent="0.2">
      <c r="A238" s="1">
        <v>29434</v>
      </c>
      <c r="B238">
        <v>30.899431597741501</v>
      </c>
      <c r="C238">
        <v>0.16284105673451754</v>
      </c>
    </row>
    <row r="239" spans="1:3" x14ac:dyDescent="0.2">
      <c r="A239" s="1">
        <v>29465</v>
      </c>
      <c r="B239">
        <v>31.095070457019499</v>
      </c>
      <c r="C239">
        <v>0.15866209262435604</v>
      </c>
    </row>
    <row r="240" spans="1:3" x14ac:dyDescent="0.2">
      <c r="A240" s="1">
        <v>29495</v>
      </c>
      <c r="B240">
        <v>31.290709316297601</v>
      </c>
      <c r="C240">
        <v>0.15407470288624658</v>
      </c>
    </row>
    <row r="241" spans="1:3" x14ac:dyDescent="0.2">
      <c r="A241" s="1">
        <v>29526</v>
      </c>
      <c r="B241">
        <v>31.543889016539801</v>
      </c>
      <c r="C241">
        <v>0.15313420277661094</v>
      </c>
    </row>
    <row r="242" spans="1:3" x14ac:dyDescent="0.2">
      <c r="A242" s="1">
        <v>29556</v>
      </c>
      <c r="B242">
        <v>31.716511539432201</v>
      </c>
      <c r="C242">
        <v>0.15121136173767735</v>
      </c>
    </row>
    <row r="243" spans="1:3" x14ac:dyDescent="0.2">
      <c r="A243" s="1">
        <v>29587</v>
      </c>
      <c r="B243">
        <v>31.912150398710299</v>
      </c>
      <c r="C243">
        <v>0.13045250713412315</v>
      </c>
    </row>
    <row r="244" spans="1:3" x14ac:dyDescent="0.2">
      <c r="A244" s="1">
        <v>29618</v>
      </c>
      <c r="B244">
        <v>32.199854603531001</v>
      </c>
      <c r="C244">
        <v>0.12459807073955043</v>
      </c>
    </row>
    <row r="245" spans="1:3" x14ac:dyDescent="0.2">
      <c r="A245" s="1">
        <v>29646</v>
      </c>
      <c r="B245">
        <v>32.683197667629699</v>
      </c>
      <c r="C245">
        <v>0.1260904044409199</v>
      </c>
    </row>
    <row r="246" spans="1:3" x14ac:dyDescent="0.2">
      <c r="A246" s="1">
        <v>29677</v>
      </c>
      <c r="B246">
        <v>33.626867459441598</v>
      </c>
      <c r="C246">
        <v>0.12039877300613511</v>
      </c>
    </row>
    <row r="247" spans="1:3" x14ac:dyDescent="0.2">
      <c r="A247" s="1">
        <v>29707</v>
      </c>
      <c r="B247">
        <v>33.845522655105299</v>
      </c>
      <c r="C247">
        <v>0.11740121580547269</v>
      </c>
    </row>
    <row r="248" spans="1:3" x14ac:dyDescent="0.2">
      <c r="A248" s="1">
        <v>29738</v>
      </c>
      <c r="B248">
        <v>34.041161514383298</v>
      </c>
      <c r="C248">
        <v>0.11328566051938149</v>
      </c>
    </row>
    <row r="249" spans="1:3" x14ac:dyDescent="0.2">
      <c r="A249" s="1">
        <v>29768</v>
      </c>
      <c r="B249">
        <v>34.190767700890099</v>
      </c>
      <c r="C249">
        <v>0.1089958939902953</v>
      </c>
    </row>
    <row r="250" spans="1:3" x14ac:dyDescent="0.2">
      <c r="A250" s="1">
        <v>29799</v>
      </c>
      <c r="B250">
        <v>34.443947401132299</v>
      </c>
      <c r="C250">
        <v>0.11471135940409583</v>
      </c>
    </row>
    <row r="251" spans="1:3" x14ac:dyDescent="0.2">
      <c r="A251" s="1">
        <v>29830</v>
      </c>
      <c r="B251">
        <v>34.639586260410397</v>
      </c>
      <c r="C251">
        <v>0.11398963730570189</v>
      </c>
    </row>
    <row r="252" spans="1:3" x14ac:dyDescent="0.2">
      <c r="A252" s="1">
        <v>29860</v>
      </c>
      <c r="B252">
        <v>34.950306801616698</v>
      </c>
      <c r="C252">
        <v>0.11695476278043393</v>
      </c>
    </row>
    <row r="253" spans="1:3" x14ac:dyDescent="0.2">
      <c r="A253" s="1">
        <v>29891</v>
      </c>
      <c r="B253">
        <v>35.3185681837872</v>
      </c>
      <c r="C253">
        <v>0.11966435607442616</v>
      </c>
    </row>
    <row r="254" spans="1:3" x14ac:dyDescent="0.2">
      <c r="A254" s="1">
        <v>29921</v>
      </c>
      <c r="B254">
        <v>35.5372233794509</v>
      </c>
      <c r="C254">
        <v>0.12046444121915867</v>
      </c>
    </row>
    <row r="255" spans="1:3" x14ac:dyDescent="0.2">
      <c r="A255" s="1">
        <v>29952</v>
      </c>
      <c r="B255">
        <v>35.744370406921803</v>
      </c>
      <c r="C255">
        <v>0.12008654886404591</v>
      </c>
    </row>
    <row r="256" spans="1:3" x14ac:dyDescent="0.2">
      <c r="A256" s="1">
        <v>29983</v>
      </c>
      <c r="B256">
        <v>35.7558785751146</v>
      </c>
      <c r="C256">
        <v>0.11043602573266442</v>
      </c>
    </row>
    <row r="257" spans="1:3" x14ac:dyDescent="0.2">
      <c r="A257" s="1">
        <v>30011</v>
      </c>
      <c r="B257">
        <v>36.066599116321001</v>
      </c>
      <c r="C257">
        <v>0.10352112676056513</v>
      </c>
    </row>
    <row r="258" spans="1:3" x14ac:dyDescent="0.2">
      <c r="A258" s="1">
        <v>30042</v>
      </c>
      <c r="B258">
        <v>36.791613712469101</v>
      </c>
      <c r="C258">
        <v>9.4113620807665166E-2</v>
      </c>
    </row>
    <row r="259" spans="1:3" x14ac:dyDescent="0.2">
      <c r="A259" s="1">
        <v>30072</v>
      </c>
      <c r="B259">
        <v>37.056301580904098</v>
      </c>
      <c r="C259">
        <v>9.4865691941515395E-2</v>
      </c>
    </row>
    <row r="260" spans="1:3" x14ac:dyDescent="0.2">
      <c r="A260" s="1">
        <v>30103</v>
      </c>
      <c r="B260">
        <v>37.159875094639503</v>
      </c>
      <c r="C260">
        <v>9.1615956727518322E-2</v>
      </c>
    </row>
    <row r="261" spans="1:3" x14ac:dyDescent="0.2">
      <c r="A261" s="1">
        <v>30133</v>
      </c>
      <c r="B261">
        <v>37.1713832628324</v>
      </c>
      <c r="C261">
        <v>8.7176035005049224E-2</v>
      </c>
    </row>
    <row r="262" spans="1:3" x14ac:dyDescent="0.2">
      <c r="A262" s="1">
        <v>30164</v>
      </c>
      <c r="B262">
        <v>37.182891431025197</v>
      </c>
      <c r="C262">
        <v>7.9518877380554187E-2</v>
      </c>
    </row>
    <row r="263" spans="1:3" x14ac:dyDescent="0.2">
      <c r="A263" s="1">
        <v>30195</v>
      </c>
      <c r="B263">
        <v>37.159875094639503</v>
      </c>
      <c r="C263">
        <v>7.2757475083053968E-2</v>
      </c>
    </row>
    <row r="264" spans="1:3" x14ac:dyDescent="0.2">
      <c r="A264" s="1">
        <v>30225</v>
      </c>
      <c r="B264">
        <v>37.344005785724796</v>
      </c>
      <c r="C264">
        <v>6.848864010536726E-2</v>
      </c>
    </row>
    <row r="265" spans="1:3" x14ac:dyDescent="0.2">
      <c r="A265" s="1">
        <v>30256</v>
      </c>
      <c r="B265">
        <v>37.528136476809998</v>
      </c>
      <c r="C265">
        <v>6.2561094819157725E-2</v>
      </c>
    </row>
    <row r="266" spans="1:3" x14ac:dyDescent="0.2">
      <c r="A266" s="1">
        <v>30286</v>
      </c>
      <c r="B266">
        <v>37.459087467653099</v>
      </c>
      <c r="C266">
        <v>5.4080310880829874E-2</v>
      </c>
    </row>
    <row r="267" spans="1:3" x14ac:dyDescent="0.2">
      <c r="A267" s="1">
        <v>30317</v>
      </c>
      <c r="B267">
        <v>37.505120140424403</v>
      </c>
      <c r="C267">
        <v>4.9259497746297898E-2</v>
      </c>
    </row>
    <row r="268" spans="1:3" x14ac:dyDescent="0.2">
      <c r="A268" s="1">
        <v>30348</v>
      </c>
      <c r="B268">
        <v>37.666234495124002</v>
      </c>
      <c r="C268">
        <v>5.3427743804314476E-2</v>
      </c>
    </row>
    <row r="269" spans="1:3" x14ac:dyDescent="0.2">
      <c r="A269" s="1">
        <v>30376</v>
      </c>
      <c r="B269">
        <v>37.735283504280901</v>
      </c>
      <c r="C269">
        <v>4.6266751754943769E-2</v>
      </c>
    </row>
    <row r="270" spans="1:3" x14ac:dyDescent="0.2">
      <c r="A270" s="1">
        <v>30407</v>
      </c>
      <c r="B270">
        <v>38.264659241151001</v>
      </c>
      <c r="C270">
        <v>4.0037535189239915E-2</v>
      </c>
    </row>
    <row r="271" spans="1:3" x14ac:dyDescent="0.2">
      <c r="A271" s="1">
        <v>30437</v>
      </c>
      <c r="B271">
        <v>38.4257735958506</v>
      </c>
      <c r="C271">
        <v>3.6956521739131665E-2</v>
      </c>
    </row>
    <row r="272" spans="1:3" x14ac:dyDescent="0.2">
      <c r="A272" s="1">
        <v>30468</v>
      </c>
      <c r="B272">
        <v>38.517838941393201</v>
      </c>
      <c r="C272">
        <v>3.6543821616601413E-2</v>
      </c>
    </row>
    <row r="273" spans="1:3" x14ac:dyDescent="0.2">
      <c r="A273" s="1">
        <v>30498</v>
      </c>
      <c r="B273">
        <v>38.724985968864097</v>
      </c>
      <c r="C273">
        <v>4.1795665634674961E-2</v>
      </c>
    </row>
    <row r="274" spans="1:3" x14ac:dyDescent="0.2">
      <c r="A274" s="1">
        <v>30529</v>
      </c>
      <c r="B274">
        <v>38.8976084917565</v>
      </c>
      <c r="C274">
        <v>4.6115753636645662E-2</v>
      </c>
    </row>
    <row r="275" spans="1:3" x14ac:dyDescent="0.2">
      <c r="A275" s="1">
        <v>30560</v>
      </c>
      <c r="B275">
        <v>39.070231014648897</v>
      </c>
      <c r="C275">
        <v>5.1409104986065213E-2</v>
      </c>
    </row>
    <row r="276" spans="1:3" x14ac:dyDescent="0.2">
      <c r="A276" s="1">
        <v>30590</v>
      </c>
      <c r="B276">
        <v>39.208329032962801</v>
      </c>
      <c r="C276">
        <v>4.9922958397534023E-2</v>
      </c>
    </row>
    <row r="277" spans="1:3" x14ac:dyDescent="0.2">
      <c r="A277" s="1">
        <v>30621</v>
      </c>
      <c r="B277">
        <v>39.346427051276798</v>
      </c>
      <c r="C277">
        <v>4.845139527752429E-2</v>
      </c>
    </row>
    <row r="278" spans="1:3" x14ac:dyDescent="0.2">
      <c r="A278" s="1">
        <v>30651</v>
      </c>
      <c r="B278">
        <v>39.450000565012203</v>
      </c>
      <c r="C278">
        <v>5.3149001536097584E-2</v>
      </c>
    </row>
    <row r="279" spans="1:3" x14ac:dyDescent="0.2">
      <c r="A279" s="1">
        <v>30682</v>
      </c>
      <c r="B279">
        <v>39.426984228626502</v>
      </c>
      <c r="C279">
        <v>5.1242712488491549E-2</v>
      </c>
    </row>
    <row r="280" spans="1:3" x14ac:dyDescent="0.2">
      <c r="A280" s="1">
        <v>30713</v>
      </c>
      <c r="B280">
        <v>39.588098583326101</v>
      </c>
      <c r="C280">
        <v>5.1023525817291082E-2</v>
      </c>
    </row>
    <row r="281" spans="1:3" x14ac:dyDescent="0.2">
      <c r="A281" s="1">
        <v>30742</v>
      </c>
      <c r="B281">
        <v>39.714688433447201</v>
      </c>
      <c r="C281">
        <v>5.245501677340636E-2</v>
      </c>
    </row>
    <row r="282" spans="1:3" x14ac:dyDescent="0.2">
      <c r="A282" s="1">
        <v>30773</v>
      </c>
      <c r="B282">
        <v>40.244064170317301</v>
      </c>
      <c r="C282">
        <v>5.1729323308270514E-2</v>
      </c>
    </row>
    <row r="283" spans="1:3" x14ac:dyDescent="0.2">
      <c r="A283" s="1">
        <v>30803</v>
      </c>
      <c r="B283">
        <v>40.393670356824003</v>
      </c>
      <c r="C283">
        <v>5.1212938005388731E-2</v>
      </c>
    </row>
    <row r="284" spans="1:3" x14ac:dyDescent="0.2">
      <c r="A284" s="1">
        <v>30834</v>
      </c>
      <c r="B284">
        <v>40.497243870559501</v>
      </c>
      <c r="C284">
        <v>5.138930385419771E-2</v>
      </c>
    </row>
    <row r="285" spans="1:3" x14ac:dyDescent="0.2">
      <c r="A285" s="1">
        <v>30864</v>
      </c>
      <c r="B285">
        <v>40.451211197788197</v>
      </c>
      <c r="C285">
        <v>4.4576523031203408E-2</v>
      </c>
    </row>
    <row r="286" spans="1:3" x14ac:dyDescent="0.2">
      <c r="A286" s="1">
        <v>30895</v>
      </c>
      <c r="B286">
        <v>40.830980748151497</v>
      </c>
      <c r="C286">
        <v>4.9704142011834263E-2</v>
      </c>
    </row>
    <row r="287" spans="1:3" x14ac:dyDescent="0.2">
      <c r="A287" s="1">
        <v>30926</v>
      </c>
      <c r="B287">
        <v>40.9115379255013</v>
      </c>
      <c r="C287">
        <v>4.7128129602357127E-2</v>
      </c>
    </row>
    <row r="288" spans="1:3" x14ac:dyDescent="0.2">
      <c r="A288" s="1">
        <v>30956</v>
      </c>
      <c r="B288">
        <v>41.164717625743499</v>
      </c>
      <c r="C288">
        <v>4.9897270325800935E-2</v>
      </c>
    </row>
    <row r="289" spans="1:3" x14ac:dyDescent="0.2">
      <c r="A289" s="1">
        <v>30987</v>
      </c>
      <c r="B289">
        <v>41.291307475864599</v>
      </c>
      <c r="C289">
        <v>4.9429657794676229E-2</v>
      </c>
    </row>
    <row r="290" spans="1:3" x14ac:dyDescent="0.2">
      <c r="A290" s="1">
        <v>31017</v>
      </c>
      <c r="B290">
        <v>41.2567829712861</v>
      </c>
      <c r="C290">
        <v>4.5799299883313882E-2</v>
      </c>
    </row>
    <row r="291" spans="1:3" x14ac:dyDescent="0.2">
      <c r="A291" s="1">
        <v>31048</v>
      </c>
      <c r="B291">
        <v>41.406389157792802</v>
      </c>
      <c r="C291">
        <v>5.0204319906596462E-2</v>
      </c>
    </row>
    <row r="292" spans="1:3" x14ac:dyDescent="0.2">
      <c r="A292" s="1">
        <v>31079</v>
      </c>
      <c r="B292">
        <v>41.724201355275902</v>
      </c>
      <c r="C292">
        <v>5.3958205834353734E-2</v>
      </c>
    </row>
    <row r="293" spans="1:3" x14ac:dyDescent="0.2">
      <c r="A293" s="1">
        <v>31107</v>
      </c>
      <c r="B293">
        <v>42.132817037754101</v>
      </c>
      <c r="C293">
        <v>6.0887512899896912E-2</v>
      </c>
    </row>
    <row r="294" spans="1:3" x14ac:dyDescent="0.2">
      <c r="A294" s="1">
        <v>31138</v>
      </c>
      <c r="B294">
        <v>43.040851887705699</v>
      </c>
      <c r="C294">
        <v>6.9495657932362009E-2</v>
      </c>
    </row>
    <row r="295" spans="1:3" x14ac:dyDescent="0.2">
      <c r="A295" s="1">
        <v>31168</v>
      </c>
      <c r="B295">
        <v>43.222458857695997</v>
      </c>
      <c r="C295">
        <v>7.003048932873468E-2</v>
      </c>
    </row>
    <row r="296" spans="1:3" x14ac:dyDescent="0.2">
      <c r="A296" s="1">
        <v>31199</v>
      </c>
      <c r="B296">
        <v>43.313262342691203</v>
      </c>
      <c r="C296">
        <v>6.9536052407232596E-2</v>
      </c>
    </row>
    <row r="297" spans="1:3" x14ac:dyDescent="0.2">
      <c r="A297" s="1">
        <v>31229</v>
      </c>
      <c r="B297">
        <v>43.222458857695997</v>
      </c>
      <c r="C297">
        <v>6.8508397594268411E-2</v>
      </c>
    </row>
    <row r="298" spans="1:3" x14ac:dyDescent="0.2">
      <c r="A298" s="1">
        <v>31260</v>
      </c>
      <c r="B298">
        <v>43.358664085188799</v>
      </c>
      <c r="C298">
        <v>6.1906015743982357E-2</v>
      </c>
    </row>
    <row r="299" spans="1:3" x14ac:dyDescent="0.2">
      <c r="A299" s="1">
        <v>31291</v>
      </c>
      <c r="B299">
        <v>43.313262342691203</v>
      </c>
      <c r="C299">
        <v>5.8705307572728627E-2</v>
      </c>
    </row>
    <row r="300" spans="1:3" x14ac:dyDescent="0.2">
      <c r="A300" s="1">
        <v>31321</v>
      </c>
      <c r="B300">
        <v>43.404065827686402</v>
      </c>
      <c r="C300">
        <v>5.4399697874824238E-2</v>
      </c>
    </row>
    <row r="301" spans="1:3" x14ac:dyDescent="0.2">
      <c r="A301" s="1">
        <v>31352</v>
      </c>
      <c r="B301">
        <v>43.540271055179097</v>
      </c>
      <c r="C301">
        <v>5.4465787517846254E-2</v>
      </c>
    </row>
    <row r="302" spans="1:3" x14ac:dyDescent="0.2">
      <c r="A302" s="1">
        <v>31382</v>
      </c>
      <c r="B302">
        <v>43.5856727976767</v>
      </c>
      <c r="C302">
        <v>5.6448653013286609E-2</v>
      </c>
    </row>
    <row r="303" spans="1:3" x14ac:dyDescent="0.2">
      <c r="A303" s="1">
        <v>31413</v>
      </c>
      <c r="B303">
        <v>43.6764762826718</v>
      </c>
      <c r="C303">
        <v>5.4824561403508998E-2</v>
      </c>
    </row>
    <row r="304" spans="1:3" x14ac:dyDescent="0.2">
      <c r="A304" s="1">
        <v>31444</v>
      </c>
      <c r="B304">
        <v>43.858083252662198</v>
      </c>
      <c r="C304">
        <v>5.1142546245920517E-2</v>
      </c>
    </row>
    <row r="305" spans="1:3" x14ac:dyDescent="0.2">
      <c r="A305" s="1">
        <v>31472</v>
      </c>
      <c r="B305">
        <v>43.903484995159701</v>
      </c>
      <c r="C305">
        <v>4.2025862068965081E-2</v>
      </c>
    </row>
    <row r="306" spans="1:3" x14ac:dyDescent="0.2">
      <c r="A306" s="1">
        <v>31503</v>
      </c>
      <c r="B306">
        <v>44.357502420135503</v>
      </c>
      <c r="C306">
        <v>3.0590717299577852E-2</v>
      </c>
    </row>
    <row r="307" spans="1:3" x14ac:dyDescent="0.2">
      <c r="A307" s="1">
        <v>31533</v>
      </c>
      <c r="B307">
        <v>44.402904162633099</v>
      </c>
      <c r="C307">
        <v>2.7310924369748468E-2</v>
      </c>
    </row>
    <row r="308" spans="1:3" x14ac:dyDescent="0.2">
      <c r="A308" s="1">
        <v>31564</v>
      </c>
      <c r="B308">
        <v>44.402904162633099</v>
      </c>
      <c r="C308">
        <v>2.5157232704402066E-2</v>
      </c>
    </row>
    <row r="309" spans="1:3" x14ac:dyDescent="0.2">
      <c r="A309" s="1">
        <v>31594</v>
      </c>
      <c r="B309">
        <v>44.266698935140397</v>
      </c>
      <c r="C309">
        <v>2.4159663865547687E-2</v>
      </c>
    </row>
    <row r="310" spans="1:3" x14ac:dyDescent="0.2">
      <c r="A310" s="1">
        <v>31625</v>
      </c>
      <c r="B310">
        <v>44.402904162633099</v>
      </c>
      <c r="C310">
        <v>2.4083769633507002E-2</v>
      </c>
    </row>
    <row r="311" spans="1:3" x14ac:dyDescent="0.2">
      <c r="A311" s="1">
        <v>31656</v>
      </c>
      <c r="B311">
        <v>44.629912875121001</v>
      </c>
      <c r="C311">
        <v>3.0398322851152626E-2</v>
      </c>
    </row>
    <row r="312" spans="1:3" x14ac:dyDescent="0.2">
      <c r="A312" s="1">
        <v>31686</v>
      </c>
      <c r="B312">
        <v>44.720716360116199</v>
      </c>
      <c r="C312">
        <v>3.0334728033472258E-2</v>
      </c>
    </row>
    <row r="313" spans="1:3" x14ac:dyDescent="0.2">
      <c r="A313" s="1">
        <v>31717</v>
      </c>
      <c r="B313">
        <v>45.083930300096803</v>
      </c>
      <c r="C313">
        <v>3.5453597497392852E-2</v>
      </c>
    </row>
    <row r="314" spans="1:3" x14ac:dyDescent="0.2">
      <c r="A314" s="1">
        <v>31747</v>
      </c>
      <c r="B314">
        <v>45.220135527589498</v>
      </c>
      <c r="C314">
        <v>3.749999999999809E-2</v>
      </c>
    </row>
    <row r="315" spans="1:3" x14ac:dyDescent="0.2">
      <c r="A315" s="1">
        <v>31778</v>
      </c>
      <c r="B315">
        <v>45.401742497579903</v>
      </c>
      <c r="C315">
        <v>3.9501039501041113E-2</v>
      </c>
    </row>
    <row r="316" spans="1:3" x14ac:dyDescent="0.2">
      <c r="A316" s="1">
        <v>31809</v>
      </c>
      <c r="B316">
        <v>45.583349467570201</v>
      </c>
      <c r="C316">
        <v>3.9337474120082039E-2</v>
      </c>
    </row>
    <row r="317" spans="1:3" x14ac:dyDescent="0.2">
      <c r="A317" s="1">
        <v>31837</v>
      </c>
      <c r="B317">
        <v>45.674152952565301</v>
      </c>
      <c r="C317">
        <v>4.0330920372285028E-2</v>
      </c>
    </row>
    <row r="318" spans="1:3" x14ac:dyDescent="0.2">
      <c r="A318" s="1">
        <v>31868</v>
      </c>
      <c r="B318">
        <v>46.218973862536302</v>
      </c>
      <c r="C318">
        <v>4.196519959058409E-2</v>
      </c>
    </row>
    <row r="319" spans="1:3" x14ac:dyDescent="0.2">
      <c r="A319" s="1">
        <v>31898</v>
      </c>
      <c r="B319">
        <v>46.264375605033898</v>
      </c>
      <c r="C319">
        <v>4.1922290388548555E-2</v>
      </c>
    </row>
    <row r="320" spans="1:3" x14ac:dyDescent="0.2">
      <c r="A320" s="1">
        <v>31929</v>
      </c>
      <c r="B320">
        <v>46.264375605033898</v>
      </c>
      <c r="C320">
        <v>4.1922290388548555E-2</v>
      </c>
    </row>
    <row r="321" spans="1:3" x14ac:dyDescent="0.2">
      <c r="A321" s="1">
        <v>31959</v>
      </c>
      <c r="B321">
        <v>46.218973862536302</v>
      </c>
      <c r="C321">
        <v>4.4102564102563413E-2</v>
      </c>
    </row>
    <row r="322" spans="1:3" x14ac:dyDescent="0.2">
      <c r="A322" s="1">
        <v>31990</v>
      </c>
      <c r="B322">
        <v>46.355179090028997</v>
      </c>
      <c r="C322">
        <v>4.396728016359841E-2</v>
      </c>
    </row>
    <row r="323" spans="1:3" x14ac:dyDescent="0.2">
      <c r="A323" s="1">
        <v>32021</v>
      </c>
      <c r="B323">
        <v>46.491384317521799</v>
      </c>
      <c r="C323">
        <v>4.1709053916582528E-2</v>
      </c>
    </row>
    <row r="324" spans="1:3" x14ac:dyDescent="0.2">
      <c r="A324" s="1">
        <v>32051</v>
      </c>
      <c r="B324">
        <v>46.7183930300097</v>
      </c>
      <c r="C324">
        <v>4.4670050761421054E-2</v>
      </c>
    </row>
    <row r="325" spans="1:3" x14ac:dyDescent="0.2">
      <c r="A325" s="1">
        <v>32082</v>
      </c>
      <c r="B325">
        <v>46.945401742497602</v>
      </c>
      <c r="C325">
        <v>4.1289023162135452E-2</v>
      </c>
    </row>
    <row r="326" spans="1:3" x14ac:dyDescent="0.2">
      <c r="A326" s="1">
        <v>32112</v>
      </c>
      <c r="B326">
        <v>46.9</v>
      </c>
      <c r="C326">
        <v>3.7148594377511168E-2</v>
      </c>
    </row>
    <row r="327" spans="1:3" x14ac:dyDescent="0.2">
      <c r="A327" s="1">
        <v>32143</v>
      </c>
      <c r="B327">
        <v>46.9</v>
      </c>
      <c r="C327">
        <v>3.299999999999903E-2</v>
      </c>
    </row>
    <row r="328" spans="1:3" x14ac:dyDescent="0.2">
      <c r="A328" s="1">
        <v>32174</v>
      </c>
      <c r="B328">
        <v>47</v>
      </c>
      <c r="C328">
        <v>3.1078245652782943E-2</v>
      </c>
    </row>
    <row r="329" spans="1:3" x14ac:dyDescent="0.2">
      <c r="A329" s="1">
        <v>32203</v>
      </c>
      <c r="B329">
        <v>47.2</v>
      </c>
      <c r="C329">
        <v>3.3407232511117657E-2</v>
      </c>
    </row>
    <row r="330" spans="1:3" x14ac:dyDescent="0.2">
      <c r="A330" s="1">
        <v>32234</v>
      </c>
      <c r="B330">
        <v>47.8</v>
      </c>
      <c r="C330">
        <v>3.4207296383644392E-2</v>
      </c>
    </row>
    <row r="331" spans="1:3" x14ac:dyDescent="0.2">
      <c r="A331" s="1">
        <v>32264</v>
      </c>
      <c r="B331">
        <v>48</v>
      </c>
      <c r="C331">
        <v>3.7515353277074226E-2</v>
      </c>
    </row>
    <row r="332" spans="1:3" x14ac:dyDescent="0.2">
      <c r="A332" s="1">
        <v>32295</v>
      </c>
      <c r="B332">
        <v>48.2</v>
      </c>
      <c r="C332">
        <v>4.1838333915728887E-2</v>
      </c>
    </row>
    <row r="333" spans="1:3" x14ac:dyDescent="0.2">
      <c r="A333" s="1">
        <v>32325</v>
      </c>
      <c r="B333">
        <v>48.2</v>
      </c>
      <c r="C333">
        <v>4.2861750746687521E-2</v>
      </c>
    </row>
    <row r="334" spans="1:3" x14ac:dyDescent="0.2">
      <c r="A334" s="1">
        <v>32356</v>
      </c>
      <c r="B334">
        <v>48.5</v>
      </c>
      <c r="C334">
        <v>4.6269283218719259E-2</v>
      </c>
    </row>
    <row r="335" spans="1:3" x14ac:dyDescent="0.2">
      <c r="A335" s="1">
        <v>32387</v>
      </c>
      <c r="B335">
        <v>48.7</v>
      </c>
      <c r="C335">
        <v>4.7505913512792874E-2</v>
      </c>
    </row>
    <row r="336" spans="1:3" x14ac:dyDescent="0.2">
      <c r="A336" s="1">
        <v>32417</v>
      </c>
      <c r="B336">
        <v>49</v>
      </c>
      <c r="C336">
        <v>4.8837445425931048E-2</v>
      </c>
    </row>
    <row r="337" spans="1:3" x14ac:dyDescent="0.2">
      <c r="A337" s="1">
        <v>32448</v>
      </c>
      <c r="B337">
        <v>49.3</v>
      </c>
      <c r="C337">
        <v>5.0156099854416158E-2</v>
      </c>
    </row>
    <row r="338" spans="1:3" x14ac:dyDescent="0.2">
      <c r="A338" s="1">
        <v>32478</v>
      </c>
      <c r="B338">
        <v>49.3</v>
      </c>
      <c r="C338">
        <v>5.1172707889125757E-2</v>
      </c>
    </row>
    <row r="339" spans="1:3" x14ac:dyDescent="0.2">
      <c r="A339" s="1">
        <v>32509</v>
      </c>
      <c r="B339">
        <v>49.5</v>
      </c>
      <c r="C339">
        <v>5.5437100213219681E-2</v>
      </c>
    </row>
    <row r="340" spans="1:3" x14ac:dyDescent="0.2">
      <c r="A340" s="1">
        <v>32540</v>
      </c>
      <c r="B340">
        <v>49.7</v>
      </c>
      <c r="C340">
        <v>5.7446808510638325E-2</v>
      </c>
    </row>
    <row r="341" spans="1:3" x14ac:dyDescent="0.2">
      <c r="A341" s="1">
        <v>32568</v>
      </c>
      <c r="B341">
        <v>50</v>
      </c>
      <c r="C341">
        <v>5.9322033898304927E-2</v>
      </c>
    </row>
    <row r="342" spans="1:3" x14ac:dyDescent="0.2">
      <c r="A342" s="1">
        <v>32599</v>
      </c>
      <c r="B342">
        <v>50.5</v>
      </c>
      <c r="C342">
        <v>5.6485355648535629E-2</v>
      </c>
    </row>
    <row r="343" spans="1:3" x14ac:dyDescent="0.2">
      <c r="A343" s="1">
        <v>32629</v>
      </c>
      <c r="B343">
        <v>50.9</v>
      </c>
      <c r="C343">
        <v>6.0416666666666563E-2</v>
      </c>
    </row>
    <row r="344" spans="1:3" x14ac:dyDescent="0.2">
      <c r="A344" s="1">
        <v>32660</v>
      </c>
      <c r="B344">
        <v>51</v>
      </c>
      <c r="C344">
        <v>5.8091286307053958E-2</v>
      </c>
    </row>
    <row r="345" spans="1:3" x14ac:dyDescent="0.2">
      <c r="A345" s="1">
        <v>32690</v>
      </c>
      <c r="B345">
        <v>51</v>
      </c>
      <c r="C345">
        <v>5.8091286307053958E-2</v>
      </c>
    </row>
    <row r="346" spans="1:3" x14ac:dyDescent="0.2">
      <c r="A346" s="1">
        <v>32721</v>
      </c>
      <c r="B346">
        <v>51.1</v>
      </c>
      <c r="C346">
        <v>5.3608247422680444E-2</v>
      </c>
    </row>
    <row r="347" spans="1:3" x14ac:dyDescent="0.2">
      <c r="A347" s="1">
        <v>32752</v>
      </c>
      <c r="B347">
        <v>51.5</v>
      </c>
      <c r="C347">
        <v>5.7494866529774091E-2</v>
      </c>
    </row>
    <row r="348" spans="1:3" x14ac:dyDescent="0.2">
      <c r="A348" s="1">
        <v>32782</v>
      </c>
      <c r="B348">
        <v>51.9</v>
      </c>
      <c r="C348">
        <v>5.9183673469387799E-2</v>
      </c>
    </row>
    <row r="349" spans="1:3" x14ac:dyDescent="0.2">
      <c r="A349" s="1">
        <v>32813</v>
      </c>
      <c r="B349">
        <v>52.1</v>
      </c>
      <c r="C349">
        <v>5.6795131845841951E-2</v>
      </c>
    </row>
    <row r="350" spans="1:3" x14ac:dyDescent="0.2">
      <c r="A350" s="1">
        <v>32843</v>
      </c>
      <c r="B350">
        <v>52.2</v>
      </c>
      <c r="C350">
        <v>5.8823529411764719E-2</v>
      </c>
    </row>
    <row r="351" spans="1:3" x14ac:dyDescent="0.2">
      <c r="A351" s="1">
        <v>32874</v>
      </c>
      <c r="B351">
        <v>52.4</v>
      </c>
      <c r="C351">
        <v>5.8585858585858519E-2</v>
      </c>
    </row>
    <row r="352" spans="1:3" x14ac:dyDescent="0.2">
      <c r="A352" s="1">
        <v>32905</v>
      </c>
      <c r="B352">
        <v>52.9</v>
      </c>
      <c r="C352">
        <v>6.4386317907444646E-2</v>
      </c>
    </row>
    <row r="353" spans="1:3" x14ac:dyDescent="0.2">
      <c r="A353" s="1">
        <v>32933</v>
      </c>
      <c r="B353">
        <v>53.1</v>
      </c>
      <c r="C353">
        <v>6.2000000000000055E-2</v>
      </c>
    </row>
    <row r="354" spans="1:3" x14ac:dyDescent="0.2">
      <c r="A354" s="1">
        <v>32964</v>
      </c>
      <c r="B354">
        <v>54.4</v>
      </c>
      <c r="C354">
        <v>7.7227722772277296E-2</v>
      </c>
    </row>
    <row r="355" spans="1:3" x14ac:dyDescent="0.2">
      <c r="A355" s="1">
        <v>32994</v>
      </c>
      <c r="B355">
        <v>55</v>
      </c>
      <c r="C355">
        <v>8.0550098231827238E-2</v>
      </c>
    </row>
    <row r="356" spans="1:3" x14ac:dyDescent="0.2">
      <c r="A356" s="1">
        <v>33025</v>
      </c>
      <c r="B356">
        <v>55.2</v>
      </c>
      <c r="C356">
        <v>8.235294117647074E-2</v>
      </c>
    </row>
    <row r="357" spans="1:3" x14ac:dyDescent="0.2">
      <c r="A357" s="1">
        <v>33055</v>
      </c>
      <c r="B357">
        <v>55.2</v>
      </c>
      <c r="C357">
        <v>8.235294117647074E-2</v>
      </c>
    </row>
    <row r="358" spans="1:3" x14ac:dyDescent="0.2">
      <c r="A358" s="1">
        <v>33086</v>
      </c>
      <c r="B358">
        <v>55.7</v>
      </c>
      <c r="C358">
        <v>9.0019569471624372E-2</v>
      </c>
    </row>
    <row r="359" spans="1:3" x14ac:dyDescent="0.2">
      <c r="A359" s="1">
        <v>33117</v>
      </c>
      <c r="B359">
        <v>56.2</v>
      </c>
      <c r="C359">
        <v>9.1262135922330234E-2</v>
      </c>
    </row>
    <row r="360" spans="1:3" x14ac:dyDescent="0.2">
      <c r="A360" s="1">
        <v>33147</v>
      </c>
      <c r="B360">
        <v>56.7</v>
      </c>
      <c r="C360">
        <v>9.2485549132948153E-2</v>
      </c>
    </row>
    <row r="361" spans="1:3" x14ac:dyDescent="0.2">
      <c r="A361" s="1">
        <v>33178</v>
      </c>
      <c r="B361">
        <v>56.9</v>
      </c>
      <c r="C361">
        <v>9.213051823416496E-2</v>
      </c>
    </row>
    <row r="362" spans="1:3" x14ac:dyDescent="0.2">
      <c r="A362" s="1">
        <v>33208</v>
      </c>
      <c r="B362">
        <v>57</v>
      </c>
      <c r="C362">
        <v>9.1954022988505635E-2</v>
      </c>
    </row>
    <row r="363" spans="1:3" x14ac:dyDescent="0.2">
      <c r="A363" s="1">
        <v>33239</v>
      </c>
      <c r="B363">
        <v>57</v>
      </c>
      <c r="C363">
        <v>8.7786259541984712E-2</v>
      </c>
    </row>
    <row r="364" spans="1:3" x14ac:dyDescent="0.2">
      <c r="A364" s="1">
        <v>33270</v>
      </c>
      <c r="B364">
        <v>57.2</v>
      </c>
      <c r="C364">
        <v>8.1285444234404647E-2</v>
      </c>
    </row>
    <row r="365" spans="1:3" x14ac:dyDescent="0.2">
      <c r="A365" s="1">
        <v>33298</v>
      </c>
      <c r="B365">
        <v>57.5</v>
      </c>
      <c r="C365">
        <v>8.2862523540489619E-2</v>
      </c>
    </row>
    <row r="366" spans="1:3" x14ac:dyDescent="0.2">
      <c r="A366" s="1">
        <v>33329</v>
      </c>
      <c r="B366">
        <v>58.7</v>
      </c>
      <c r="C366">
        <v>7.9044117647058876E-2</v>
      </c>
    </row>
    <row r="367" spans="1:3" x14ac:dyDescent="0.2">
      <c r="A367" s="1">
        <v>33359</v>
      </c>
      <c r="B367">
        <v>59.2</v>
      </c>
      <c r="C367">
        <v>7.6363636363636411E-2</v>
      </c>
    </row>
    <row r="368" spans="1:3" x14ac:dyDescent="0.2">
      <c r="A368" s="1">
        <v>33390</v>
      </c>
      <c r="B368">
        <v>59.5</v>
      </c>
      <c r="C368">
        <v>7.7898550724637694E-2</v>
      </c>
    </row>
    <row r="369" spans="1:3" x14ac:dyDescent="0.2">
      <c r="A369" s="1">
        <v>33420</v>
      </c>
      <c r="B369">
        <v>59.3</v>
      </c>
      <c r="C369">
        <v>7.4275362318840576E-2</v>
      </c>
    </row>
    <row r="370" spans="1:3" x14ac:dyDescent="0.2">
      <c r="A370" s="1">
        <v>33451</v>
      </c>
      <c r="B370">
        <v>59.9</v>
      </c>
      <c r="C370">
        <v>7.5403949730700193E-2</v>
      </c>
    </row>
    <row r="371" spans="1:3" x14ac:dyDescent="0.2">
      <c r="A371" s="1">
        <v>33482</v>
      </c>
      <c r="B371">
        <v>60.1</v>
      </c>
      <c r="C371">
        <v>6.9395017793594249E-2</v>
      </c>
    </row>
    <row r="372" spans="1:3" x14ac:dyDescent="0.2">
      <c r="A372" s="1">
        <v>33512</v>
      </c>
      <c r="B372">
        <v>60.4</v>
      </c>
      <c r="C372">
        <v>6.525573192239853E-2</v>
      </c>
    </row>
    <row r="373" spans="1:3" x14ac:dyDescent="0.2">
      <c r="A373" s="1">
        <v>33543</v>
      </c>
      <c r="B373">
        <v>60.5</v>
      </c>
      <c r="C373">
        <v>6.3268892794376086E-2</v>
      </c>
    </row>
    <row r="374" spans="1:3" x14ac:dyDescent="0.2">
      <c r="A374" s="1">
        <v>33573</v>
      </c>
      <c r="B374">
        <v>60.7</v>
      </c>
      <c r="C374">
        <v>6.4912280701754366E-2</v>
      </c>
    </row>
    <row r="375" spans="1:3" x14ac:dyDescent="0.2">
      <c r="A375" s="1">
        <v>33604</v>
      </c>
      <c r="B375">
        <v>60.5</v>
      </c>
      <c r="C375">
        <v>6.1403508771929793E-2</v>
      </c>
    </row>
    <row r="376" spans="1:3" x14ac:dyDescent="0.2">
      <c r="A376" s="1">
        <v>33635</v>
      </c>
      <c r="B376">
        <v>60.8</v>
      </c>
      <c r="C376">
        <v>6.2937062937062915E-2</v>
      </c>
    </row>
    <row r="377" spans="1:3" x14ac:dyDescent="0.2">
      <c r="A377" s="1">
        <v>33664</v>
      </c>
      <c r="B377">
        <v>61.1</v>
      </c>
      <c r="C377">
        <v>6.2608695652173862E-2</v>
      </c>
    </row>
    <row r="378" spans="1:3" x14ac:dyDescent="0.2">
      <c r="A378" s="1">
        <v>33695</v>
      </c>
      <c r="B378">
        <v>61.8</v>
      </c>
      <c r="C378">
        <v>5.2810902896081702E-2</v>
      </c>
    </row>
    <row r="379" spans="1:3" x14ac:dyDescent="0.2">
      <c r="A379" s="1">
        <v>33725</v>
      </c>
      <c r="B379">
        <v>62.2</v>
      </c>
      <c r="C379">
        <v>5.0675675675675658E-2</v>
      </c>
    </row>
    <row r="380" spans="1:3" x14ac:dyDescent="0.2">
      <c r="A380" s="1">
        <v>33756</v>
      </c>
      <c r="B380">
        <v>62.2</v>
      </c>
      <c r="C380">
        <v>4.5378151260504263E-2</v>
      </c>
    </row>
    <row r="381" spans="1:3" x14ac:dyDescent="0.2">
      <c r="A381" s="1">
        <v>33786</v>
      </c>
      <c r="B381">
        <v>62</v>
      </c>
      <c r="C381">
        <v>4.5531197301855064E-2</v>
      </c>
    </row>
    <row r="382" spans="1:3" x14ac:dyDescent="0.2">
      <c r="A382" s="1">
        <v>33817</v>
      </c>
      <c r="B382">
        <v>62.1</v>
      </c>
      <c r="C382">
        <v>3.6727879799666185E-2</v>
      </c>
    </row>
    <row r="383" spans="1:3" x14ac:dyDescent="0.2">
      <c r="A383" s="1">
        <v>33848</v>
      </c>
      <c r="B383">
        <v>62.3</v>
      </c>
      <c r="C383">
        <v>3.660565723793674E-2</v>
      </c>
    </row>
    <row r="384" spans="1:3" x14ac:dyDescent="0.2">
      <c r="A384" s="1">
        <v>33878</v>
      </c>
      <c r="B384">
        <v>62.5</v>
      </c>
      <c r="C384">
        <v>3.4768211920529923E-2</v>
      </c>
    </row>
    <row r="385" spans="1:3" x14ac:dyDescent="0.2">
      <c r="A385" s="1">
        <v>33909</v>
      </c>
      <c r="B385">
        <v>62.5</v>
      </c>
      <c r="C385">
        <v>3.3057851239669311E-2</v>
      </c>
    </row>
    <row r="386" spans="1:3" x14ac:dyDescent="0.2">
      <c r="A386" s="1">
        <v>33939</v>
      </c>
      <c r="B386">
        <v>62.6</v>
      </c>
      <c r="C386">
        <v>3.13014827018121E-2</v>
      </c>
    </row>
    <row r="387" spans="1:3" x14ac:dyDescent="0.2">
      <c r="A387" s="1">
        <v>33970</v>
      </c>
      <c r="B387">
        <v>62.4</v>
      </c>
      <c r="C387">
        <v>3.140495867768589E-2</v>
      </c>
    </row>
    <row r="388" spans="1:3" x14ac:dyDescent="0.2">
      <c r="A388" s="1">
        <v>34001</v>
      </c>
      <c r="B388">
        <v>62.7</v>
      </c>
      <c r="C388">
        <v>3.125E-2</v>
      </c>
    </row>
    <row r="389" spans="1:3" x14ac:dyDescent="0.2">
      <c r="A389" s="1">
        <v>34029</v>
      </c>
      <c r="B389">
        <v>63</v>
      </c>
      <c r="C389">
        <v>3.1096563011456579E-2</v>
      </c>
    </row>
    <row r="390" spans="1:3" x14ac:dyDescent="0.2">
      <c r="A390" s="1">
        <v>34060</v>
      </c>
      <c r="B390">
        <v>63.4</v>
      </c>
      <c r="C390">
        <v>2.5889967637540368E-2</v>
      </c>
    </row>
    <row r="391" spans="1:3" x14ac:dyDescent="0.2">
      <c r="A391" s="1">
        <v>34090</v>
      </c>
      <c r="B391">
        <v>63.6</v>
      </c>
      <c r="C391">
        <v>2.2508038585209E-2</v>
      </c>
    </row>
    <row r="392" spans="1:3" x14ac:dyDescent="0.2">
      <c r="A392" s="1">
        <v>34121</v>
      </c>
      <c r="B392">
        <v>63.6</v>
      </c>
      <c r="C392">
        <v>2.2508038585209E-2</v>
      </c>
    </row>
    <row r="393" spans="1:3" x14ac:dyDescent="0.2">
      <c r="A393" s="1">
        <v>34151</v>
      </c>
      <c r="B393">
        <v>63.4</v>
      </c>
      <c r="C393">
        <v>2.2580645161290214E-2</v>
      </c>
    </row>
    <row r="394" spans="1:3" x14ac:dyDescent="0.2">
      <c r="A394" s="1">
        <v>34182</v>
      </c>
      <c r="B394">
        <v>63.7</v>
      </c>
      <c r="C394">
        <v>2.5764895330112836E-2</v>
      </c>
    </row>
    <row r="395" spans="1:3" x14ac:dyDescent="0.2">
      <c r="A395" s="1">
        <v>34213</v>
      </c>
      <c r="B395">
        <v>64</v>
      </c>
      <c r="C395">
        <v>2.7287319422151013E-2</v>
      </c>
    </row>
    <row r="396" spans="1:3" x14ac:dyDescent="0.2">
      <c r="A396" s="1">
        <v>34243</v>
      </c>
      <c r="B396">
        <v>64</v>
      </c>
      <c r="C396">
        <v>2.4000000000000021E-2</v>
      </c>
    </row>
    <row r="397" spans="1:3" x14ac:dyDescent="0.2">
      <c r="A397" s="1">
        <v>34274</v>
      </c>
      <c r="B397">
        <v>63.8</v>
      </c>
      <c r="C397">
        <v>2.079999999999993E-2</v>
      </c>
    </row>
    <row r="398" spans="1:3" x14ac:dyDescent="0.2">
      <c r="A398" s="1">
        <v>34304</v>
      </c>
      <c r="B398">
        <v>64</v>
      </c>
      <c r="C398">
        <v>2.2364217252396124E-2</v>
      </c>
    </row>
    <row r="399" spans="1:3" x14ac:dyDescent="0.2">
      <c r="A399" s="1">
        <v>34335</v>
      </c>
      <c r="B399">
        <v>64</v>
      </c>
      <c r="C399">
        <v>2.5641025641025772E-2</v>
      </c>
    </row>
    <row r="400" spans="1:3" x14ac:dyDescent="0.2">
      <c r="A400" s="1">
        <v>34366</v>
      </c>
      <c r="B400">
        <v>64.2</v>
      </c>
      <c r="C400">
        <v>2.3923444976076569E-2</v>
      </c>
    </row>
    <row r="401" spans="1:3" x14ac:dyDescent="0.2">
      <c r="A401" s="1">
        <v>34394</v>
      </c>
      <c r="B401">
        <v>64.400000000000006</v>
      </c>
      <c r="C401">
        <v>2.2222222222222365E-2</v>
      </c>
    </row>
    <row r="402" spans="1:3" x14ac:dyDescent="0.2">
      <c r="A402" s="1">
        <v>34425</v>
      </c>
      <c r="B402">
        <v>64.900000000000006</v>
      </c>
      <c r="C402">
        <v>2.3659305993690927E-2</v>
      </c>
    </row>
    <row r="403" spans="1:3" x14ac:dyDescent="0.2">
      <c r="A403" s="1">
        <v>34455</v>
      </c>
      <c r="B403">
        <v>65.099999999999994</v>
      </c>
      <c r="C403">
        <v>2.3584905660377187E-2</v>
      </c>
    </row>
    <row r="404" spans="1:3" x14ac:dyDescent="0.2">
      <c r="A404" s="1">
        <v>34486</v>
      </c>
      <c r="B404">
        <v>65.099999999999994</v>
      </c>
      <c r="C404">
        <v>2.3584905660377187E-2</v>
      </c>
    </row>
    <row r="405" spans="1:3" x14ac:dyDescent="0.2">
      <c r="A405" s="1">
        <v>34516</v>
      </c>
      <c r="B405">
        <v>64.7</v>
      </c>
      <c r="C405">
        <v>2.0504731861198833E-2</v>
      </c>
    </row>
    <row r="406" spans="1:3" x14ac:dyDescent="0.2">
      <c r="A406" s="1">
        <v>34547</v>
      </c>
      <c r="B406">
        <v>65.099999999999994</v>
      </c>
      <c r="C406">
        <v>2.19780219780219E-2</v>
      </c>
    </row>
    <row r="407" spans="1:3" x14ac:dyDescent="0.2">
      <c r="A407" s="1">
        <v>34578</v>
      </c>
      <c r="B407">
        <v>65.2</v>
      </c>
      <c r="C407">
        <v>1.8750000000000044E-2</v>
      </c>
    </row>
    <row r="408" spans="1:3" x14ac:dyDescent="0.2">
      <c r="A408" s="1">
        <v>34608</v>
      </c>
      <c r="B408">
        <v>65.099999999999994</v>
      </c>
      <c r="C408">
        <v>1.7187499999999911E-2</v>
      </c>
    </row>
    <row r="409" spans="1:3" x14ac:dyDescent="0.2">
      <c r="A409" s="1">
        <v>34639</v>
      </c>
      <c r="B409">
        <v>65.2</v>
      </c>
      <c r="C409">
        <v>2.1943573667711602E-2</v>
      </c>
    </row>
    <row r="410" spans="1:3" x14ac:dyDescent="0.2">
      <c r="A410" s="1">
        <v>34669</v>
      </c>
      <c r="B410">
        <v>65.5</v>
      </c>
      <c r="C410">
        <v>2.34375E-2</v>
      </c>
    </row>
    <row r="411" spans="1:3" x14ac:dyDescent="0.2">
      <c r="A411" s="1">
        <v>34700</v>
      </c>
      <c r="B411">
        <v>65.5</v>
      </c>
      <c r="C411">
        <v>2.34375E-2</v>
      </c>
    </row>
    <row r="412" spans="1:3" x14ac:dyDescent="0.2">
      <c r="A412" s="1">
        <v>34731</v>
      </c>
      <c r="B412">
        <v>65.7</v>
      </c>
      <c r="C412">
        <v>2.3364485981308469E-2</v>
      </c>
    </row>
    <row r="413" spans="1:3" x14ac:dyDescent="0.2">
      <c r="A413" s="1">
        <v>34759</v>
      </c>
      <c r="B413">
        <v>66</v>
      </c>
      <c r="C413">
        <v>2.4844720496894235E-2</v>
      </c>
    </row>
    <row r="414" spans="1:3" x14ac:dyDescent="0.2">
      <c r="A414" s="1">
        <v>34790</v>
      </c>
      <c r="B414">
        <v>66.400000000000006</v>
      </c>
      <c r="C414">
        <v>2.3112480739599484E-2</v>
      </c>
    </row>
    <row r="415" spans="1:3" x14ac:dyDescent="0.2">
      <c r="A415" s="1">
        <v>34820</v>
      </c>
      <c r="B415">
        <v>66.7</v>
      </c>
      <c r="C415">
        <v>2.457757296466978E-2</v>
      </c>
    </row>
    <row r="416" spans="1:3" x14ac:dyDescent="0.2">
      <c r="A416" s="1">
        <v>34851</v>
      </c>
      <c r="B416">
        <v>66.8</v>
      </c>
      <c r="C416">
        <v>2.611367127496167E-2</v>
      </c>
    </row>
    <row r="417" spans="1:3" x14ac:dyDescent="0.2">
      <c r="A417" s="1">
        <v>34881</v>
      </c>
      <c r="B417">
        <v>66.599999999999994</v>
      </c>
      <c r="C417">
        <v>2.9366306027820643E-2</v>
      </c>
    </row>
    <row r="418" spans="1:3" x14ac:dyDescent="0.2">
      <c r="A418" s="1">
        <v>34912</v>
      </c>
      <c r="B418">
        <v>66.900000000000006</v>
      </c>
      <c r="C418">
        <v>2.7649769585253559E-2</v>
      </c>
    </row>
    <row r="419" spans="1:3" x14ac:dyDescent="0.2">
      <c r="A419" s="1">
        <v>34943</v>
      </c>
      <c r="B419">
        <v>67.2</v>
      </c>
      <c r="C419">
        <v>3.0674846625766916E-2</v>
      </c>
    </row>
    <row r="420" spans="1:3" x14ac:dyDescent="0.2">
      <c r="A420" s="1">
        <v>34973</v>
      </c>
      <c r="B420">
        <v>67.099999999999994</v>
      </c>
      <c r="C420">
        <v>3.0721966205837115E-2</v>
      </c>
    </row>
    <row r="421" spans="1:3" x14ac:dyDescent="0.2">
      <c r="A421" s="1">
        <v>35004</v>
      </c>
      <c r="B421">
        <v>67.099999999999994</v>
      </c>
      <c r="C421">
        <v>2.914110429447847E-2</v>
      </c>
    </row>
    <row r="422" spans="1:3" x14ac:dyDescent="0.2">
      <c r="A422" s="1">
        <v>35034</v>
      </c>
      <c r="B422">
        <v>67.5</v>
      </c>
      <c r="C422">
        <v>3.0534351145038219E-2</v>
      </c>
    </row>
    <row r="423" spans="1:3" x14ac:dyDescent="0.2">
      <c r="A423" s="1">
        <v>35065</v>
      </c>
      <c r="B423">
        <v>67.400000000000006</v>
      </c>
      <c r="C423">
        <v>2.9007633587786241E-2</v>
      </c>
    </row>
    <row r="424" spans="1:3" x14ac:dyDescent="0.2">
      <c r="A424" s="1">
        <v>35096</v>
      </c>
      <c r="B424">
        <v>67.7</v>
      </c>
      <c r="C424">
        <v>3.0441400304414001E-2</v>
      </c>
    </row>
    <row r="425" spans="1:3" x14ac:dyDescent="0.2">
      <c r="A425" s="1">
        <v>35125</v>
      </c>
      <c r="B425">
        <v>67.900000000000006</v>
      </c>
      <c r="C425">
        <v>2.8787878787878807E-2</v>
      </c>
    </row>
    <row r="426" spans="1:3" x14ac:dyDescent="0.2">
      <c r="A426" s="1">
        <v>35156</v>
      </c>
      <c r="B426">
        <v>68.3</v>
      </c>
      <c r="C426">
        <v>2.8614457831325213E-2</v>
      </c>
    </row>
    <row r="427" spans="1:3" x14ac:dyDescent="0.2">
      <c r="A427" s="1">
        <v>35186</v>
      </c>
      <c r="B427">
        <v>68.599999999999994</v>
      </c>
      <c r="C427">
        <v>2.8485757121439192E-2</v>
      </c>
    </row>
    <row r="428" spans="1:3" x14ac:dyDescent="0.2">
      <c r="A428" s="1">
        <v>35217</v>
      </c>
      <c r="B428">
        <v>68.7</v>
      </c>
      <c r="C428">
        <v>2.8443113772455231E-2</v>
      </c>
    </row>
    <row r="429" spans="1:3" x14ac:dyDescent="0.2">
      <c r="A429" s="1">
        <v>35247</v>
      </c>
      <c r="B429">
        <v>68.3</v>
      </c>
      <c r="C429">
        <v>2.5525525525525561E-2</v>
      </c>
    </row>
    <row r="430" spans="1:3" x14ac:dyDescent="0.2">
      <c r="A430" s="1">
        <v>35278</v>
      </c>
      <c r="B430">
        <v>68.7</v>
      </c>
      <c r="C430">
        <v>2.6905829596412412E-2</v>
      </c>
    </row>
    <row r="431" spans="1:3" x14ac:dyDescent="0.2">
      <c r="A431" s="1">
        <v>35309</v>
      </c>
      <c r="B431">
        <v>69</v>
      </c>
      <c r="C431">
        <v>2.6785714285714191E-2</v>
      </c>
    </row>
    <row r="432" spans="1:3" x14ac:dyDescent="0.2">
      <c r="A432" s="1">
        <v>35339</v>
      </c>
      <c r="B432">
        <v>69.099999999999994</v>
      </c>
      <c r="C432">
        <v>2.9806259314456129E-2</v>
      </c>
    </row>
    <row r="433" spans="1:3" x14ac:dyDescent="0.2">
      <c r="A433" s="1">
        <v>35370</v>
      </c>
      <c r="B433">
        <v>69.2</v>
      </c>
      <c r="C433">
        <v>3.1296572280179014E-2</v>
      </c>
    </row>
    <row r="434" spans="1:3" x14ac:dyDescent="0.2">
      <c r="A434" s="1">
        <v>35400</v>
      </c>
      <c r="B434">
        <v>69.400000000000006</v>
      </c>
      <c r="C434">
        <v>2.8148148148148255E-2</v>
      </c>
    </row>
    <row r="435" spans="1:3" x14ac:dyDescent="0.2">
      <c r="A435" s="1">
        <v>35431</v>
      </c>
      <c r="B435">
        <v>69.2</v>
      </c>
      <c r="C435">
        <v>2.6706231454005858E-2</v>
      </c>
    </row>
    <row r="436" spans="1:3" x14ac:dyDescent="0.2">
      <c r="A436" s="1">
        <v>35462</v>
      </c>
      <c r="B436">
        <v>69.3</v>
      </c>
      <c r="C436">
        <v>2.3633677991137247E-2</v>
      </c>
    </row>
    <row r="437" spans="1:3" x14ac:dyDescent="0.2">
      <c r="A437" s="1">
        <v>35490</v>
      </c>
      <c r="B437">
        <v>69.400000000000006</v>
      </c>
      <c r="C437">
        <v>2.2091310751104487E-2</v>
      </c>
    </row>
    <row r="438" spans="1:3" x14ac:dyDescent="0.2">
      <c r="A438" s="1">
        <v>35521</v>
      </c>
      <c r="B438">
        <v>69.7</v>
      </c>
      <c r="C438">
        <v>2.049780380673516E-2</v>
      </c>
    </row>
    <row r="439" spans="1:3" x14ac:dyDescent="0.2">
      <c r="A439" s="1">
        <v>35551</v>
      </c>
      <c r="B439">
        <v>70</v>
      </c>
      <c r="C439">
        <v>2.0408163265306145E-2</v>
      </c>
    </row>
    <row r="440" spans="1:3" x14ac:dyDescent="0.2">
      <c r="A440" s="1">
        <v>35582</v>
      </c>
      <c r="B440">
        <v>70.099999999999994</v>
      </c>
      <c r="C440">
        <v>2.0378457059679667E-2</v>
      </c>
    </row>
    <row r="441" spans="1:3" x14ac:dyDescent="0.2">
      <c r="A441" s="1">
        <v>35612</v>
      </c>
      <c r="B441">
        <v>70</v>
      </c>
      <c r="C441">
        <v>2.4890190336749773E-2</v>
      </c>
    </row>
    <row r="442" spans="1:3" x14ac:dyDescent="0.2">
      <c r="A442" s="1">
        <v>35643</v>
      </c>
      <c r="B442">
        <v>70.3</v>
      </c>
      <c r="C442">
        <v>2.3289665211062571E-2</v>
      </c>
    </row>
    <row r="443" spans="1:3" x14ac:dyDescent="0.2">
      <c r="A443" s="1">
        <v>35674</v>
      </c>
      <c r="B443">
        <v>70.5</v>
      </c>
      <c r="C443">
        <v>2.1739130434782705E-2</v>
      </c>
    </row>
    <row r="444" spans="1:3" x14ac:dyDescent="0.2">
      <c r="A444" s="1">
        <v>35704</v>
      </c>
      <c r="B444">
        <v>70.599999999999994</v>
      </c>
      <c r="C444">
        <v>2.1707670043415339E-2</v>
      </c>
    </row>
    <row r="445" spans="1:3" x14ac:dyDescent="0.2">
      <c r="A445" s="1">
        <v>35735</v>
      </c>
      <c r="B445">
        <v>70.599999999999994</v>
      </c>
      <c r="C445">
        <v>2.0231213872832221E-2</v>
      </c>
    </row>
    <row r="446" spans="1:3" x14ac:dyDescent="0.2">
      <c r="A446" s="1">
        <v>35765</v>
      </c>
      <c r="B446">
        <v>70.7</v>
      </c>
      <c r="C446">
        <v>1.8731988472622474E-2</v>
      </c>
    </row>
    <row r="447" spans="1:3" x14ac:dyDescent="0.2">
      <c r="A447" s="1">
        <v>35796</v>
      </c>
      <c r="B447">
        <v>70.400000000000006</v>
      </c>
      <c r="C447">
        <v>1.7341040462427681E-2</v>
      </c>
    </row>
    <row r="448" spans="1:3" x14ac:dyDescent="0.2">
      <c r="A448" s="1">
        <v>35827</v>
      </c>
      <c r="B448">
        <v>70.599999999999994</v>
      </c>
      <c r="C448">
        <v>1.8759018759018753E-2</v>
      </c>
    </row>
    <row r="449" spans="1:3" x14ac:dyDescent="0.2">
      <c r="A449" s="1">
        <v>35855</v>
      </c>
      <c r="B449">
        <v>70.8</v>
      </c>
      <c r="C449">
        <v>2.0172910662824117E-2</v>
      </c>
    </row>
    <row r="450" spans="1:3" x14ac:dyDescent="0.2">
      <c r="A450" s="1">
        <v>35886</v>
      </c>
      <c r="B450">
        <v>71.2</v>
      </c>
      <c r="C450">
        <v>2.1520803443328518E-2</v>
      </c>
    </row>
    <row r="451" spans="1:3" x14ac:dyDescent="0.2">
      <c r="A451" s="1">
        <v>35916</v>
      </c>
      <c r="B451">
        <v>71.5</v>
      </c>
      <c r="C451">
        <v>2.1428571428571352E-2</v>
      </c>
    </row>
    <row r="452" spans="1:3" x14ac:dyDescent="0.2">
      <c r="A452" s="1">
        <v>35947</v>
      </c>
      <c r="B452">
        <v>71.400000000000006</v>
      </c>
      <c r="C452">
        <v>1.8544935805991702E-2</v>
      </c>
    </row>
    <row r="453" spans="1:3" x14ac:dyDescent="0.2">
      <c r="A453" s="1">
        <v>35977</v>
      </c>
      <c r="B453">
        <v>71.2</v>
      </c>
      <c r="C453">
        <v>1.7142857142857126E-2</v>
      </c>
    </row>
    <row r="454" spans="1:3" x14ac:dyDescent="0.2">
      <c r="A454" s="1">
        <v>36008</v>
      </c>
      <c r="B454">
        <v>71.400000000000006</v>
      </c>
      <c r="C454">
        <v>1.5647226173542084E-2</v>
      </c>
    </row>
    <row r="455" spans="1:3" x14ac:dyDescent="0.2">
      <c r="A455" s="1">
        <v>36039</v>
      </c>
      <c r="B455">
        <v>71.7</v>
      </c>
      <c r="C455">
        <v>1.7021276595744705E-2</v>
      </c>
    </row>
    <row r="456" spans="1:3" x14ac:dyDescent="0.2">
      <c r="A456" s="1">
        <v>36069</v>
      </c>
      <c r="B456">
        <v>71.7</v>
      </c>
      <c r="C456">
        <v>1.5580736543909568E-2</v>
      </c>
    </row>
    <row r="457" spans="1:3" x14ac:dyDescent="0.2">
      <c r="A457" s="1">
        <v>36100</v>
      </c>
      <c r="B457">
        <v>71.8</v>
      </c>
      <c r="C457">
        <v>1.6997167138810276E-2</v>
      </c>
    </row>
    <row r="458" spans="1:3" x14ac:dyDescent="0.2">
      <c r="A458" s="1">
        <v>36130</v>
      </c>
      <c r="B458">
        <v>72</v>
      </c>
      <c r="C458">
        <v>1.8387553041018245E-2</v>
      </c>
    </row>
    <row r="459" spans="1:3" x14ac:dyDescent="0.2">
      <c r="A459" s="1">
        <v>36161</v>
      </c>
      <c r="B459">
        <v>71.8</v>
      </c>
      <c r="C459">
        <v>1.9886363636363535E-2</v>
      </c>
    </row>
    <row r="460" spans="1:3" x14ac:dyDescent="0.2">
      <c r="A460" s="1">
        <v>36192</v>
      </c>
      <c r="B460">
        <v>71.900000000000006</v>
      </c>
      <c r="C460">
        <v>1.8413597733711207E-2</v>
      </c>
    </row>
    <row r="461" spans="1:3" x14ac:dyDescent="0.2">
      <c r="A461" s="1">
        <v>36220</v>
      </c>
      <c r="B461">
        <v>72.3</v>
      </c>
      <c r="C461">
        <v>2.1186440677966045E-2</v>
      </c>
    </row>
    <row r="462" spans="1:3" x14ac:dyDescent="0.2">
      <c r="A462" s="1">
        <v>36251</v>
      </c>
      <c r="B462">
        <v>72.599999999999994</v>
      </c>
      <c r="C462">
        <v>1.9662921348314377E-2</v>
      </c>
    </row>
    <row r="463" spans="1:3" x14ac:dyDescent="0.2">
      <c r="A463" s="1">
        <v>36281</v>
      </c>
      <c r="B463">
        <v>72.8</v>
      </c>
      <c r="C463">
        <v>1.8181818181818077E-2</v>
      </c>
    </row>
    <row r="464" spans="1:3" x14ac:dyDescent="0.2">
      <c r="A464" s="1">
        <v>36312</v>
      </c>
      <c r="B464">
        <v>72.7</v>
      </c>
      <c r="C464">
        <v>1.8207282913165201E-2</v>
      </c>
    </row>
    <row r="465" spans="1:3" x14ac:dyDescent="0.2">
      <c r="A465" s="1">
        <v>36342</v>
      </c>
      <c r="B465">
        <v>72.400000000000006</v>
      </c>
      <c r="C465">
        <v>1.6853932584269593E-2</v>
      </c>
    </row>
    <row r="466" spans="1:3" x14ac:dyDescent="0.2">
      <c r="A466" s="1">
        <v>36373</v>
      </c>
      <c r="B466">
        <v>72.599999999999994</v>
      </c>
      <c r="C466">
        <v>1.6806722689075571E-2</v>
      </c>
    </row>
    <row r="467" spans="1:3" x14ac:dyDescent="0.2">
      <c r="A467" s="1">
        <v>36404</v>
      </c>
      <c r="B467">
        <v>72.8</v>
      </c>
      <c r="C467">
        <v>1.5341701534170138E-2</v>
      </c>
    </row>
    <row r="468" spans="1:3" x14ac:dyDescent="0.2">
      <c r="A468" s="1">
        <v>36434</v>
      </c>
      <c r="B468">
        <v>72.8</v>
      </c>
      <c r="C468">
        <v>1.5341701534170138E-2</v>
      </c>
    </row>
    <row r="469" spans="1:3" x14ac:dyDescent="0.2">
      <c r="A469" s="1">
        <v>36465</v>
      </c>
      <c r="B469">
        <v>72.900000000000006</v>
      </c>
      <c r="C469">
        <v>1.5320334261838653E-2</v>
      </c>
    </row>
    <row r="470" spans="1:3" x14ac:dyDescent="0.2">
      <c r="A470" s="1">
        <v>36495</v>
      </c>
      <c r="B470">
        <v>73.099999999999994</v>
      </c>
      <c r="C470">
        <v>1.5277777777777724E-2</v>
      </c>
    </row>
    <row r="471" spans="1:3" x14ac:dyDescent="0.2">
      <c r="A471" s="1">
        <v>36526</v>
      </c>
      <c r="B471">
        <v>72.599999999999994</v>
      </c>
      <c r="C471">
        <v>1.1142061281337101E-2</v>
      </c>
    </row>
    <row r="472" spans="1:3" x14ac:dyDescent="0.2">
      <c r="A472" s="1">
        <v>36557</v>
      </c>
      <c r="B472">
        <v>72.8</v>
      </c>
      <c r="C472">
        <v>1.2517385257301727E-2</v>
      </c>
    </row>
    <row r="473" spans="1:3" x14ac:dyDescent="0.2">
      <c r="A473" s="1">
        <v>36586</v>
      </c>
      <c r="B473">
        <v>73</v>
      </c>
      <c r="C473">
        <v>9.6818810511756226E-3</v>
      </c>
    </row>
    <row r="474" spans="1:3" x14ac:dyDescent="0.2">
      <c r="A474" s="1">
        <v>36617</v>
      </c>
      <c r="B474">
        <v>73.3</v>
      </c>
      <c r="C474">
        <v>9.6418732782368455E-3</v>
      </c>
    </row>
    <row r="475" spans="1:3" x14ac:dyDescent="0.2">
      <c r="A475" s="1">
        <v>36647</v>
      </c>
      <c r="B475">
        <v>73.5</v>
      </c>
      <c r="C475">
        <v>9.6153846153845812E-3</v>
      </c>
    </row>
    <row r="476" spans="1:3" x14ac:dyDescent="0.2">
      <c r="A476" s="1">
        <v>36678</v>
      </c>
      <c r="B476">
        <v>73.599999999999994</v>
      </c>
      <c r="C476">
        <v>1.2379642365887067E-2</v>
      </c>
    </row>
    <row r="477" spans="1:3" x14ac:dyDescent="0.2">
      <c r="A477" s="1">
        <v>36708</v>
      </c>
      <c r="B477">
        <v>73.3</v>
      </c>
      <c r="C477">
        <v>1.2430939226519166E-2</v>
      </c>
    </row>
    <row r="478" spans="1:3" x14ac:dyDescent="0.2">
      <c r="A478" s="1">
        <v>36739</v>
      </c>
      <c r="B478">
        <v>73.3</v>
      </c>
      <c r="C478">
        <v>9.6418732782368455E-3</v>
      </c>
    </row>
    <row r="479" spans="1:3" x14ac:dyDescent="0.2">
      <c r="A479" s="1">
        <v>36770</v>
      </c>
      <c r="B479">
        <v>73.8</v>
      </c>
      <c r="C479">
        <v>1.3736263736263687E-2</v>
      </c>
    </row>
    <row r="480" spans="1:3" x14ac:dyDescent="0.2">
      <c r="A480" s="1">
        <v>36800</v>
      </c>
      <c r="B480">
        <v>73.8</v>
      </c>
      <c r="C480">
        <v>1.3736263736263687E-2</v>
      </c>
    </row>
    <row r="481" spans="1:3" x14ac:dyDescent="0.2">
      <c r="A481" s="1">
        <v>36831</v>
      </c>
      <c r="B481">
        <v>74</v>
      </c>
      <c r="C481">
        <v>1.5089163237311354E-2</v>
      </c>
    </row>
    <row r="482" spans="1:3" x14ac:dyDescent="0.2">
      <c r="A482" s="1">
        <v>36861</v>
      </c>
      <c r="B482">
        <v>74</v>
      </c>
      <c r="C482">
        <v>1.2311901504788114E-2</v>
      </c>
    </row>
    <row r="483" spans="1:3" x14ac:dyDescent="0.2">
      <c r="A483" s="1">
        <v>36892</v>
      </c>
      <c r="B483">
        <v>73.5</v>
      </c>
      <c r="C483">
        <v>1.2396694214876103E-2</v>
      </c>
    </row>
    <row r="484" spans="1:3" x14ac:dyDescent="0.2">
      <c r="A484" s="1">
        <v>36923</v>
      </c>
      <c r="B484">
        <v>73.7</v>
      </c>
      <c r="C484">
        <v>1.2362637362637541E-2</v>
      </c>
    </row>
    <row r="485" spans="1:3" x14ac:dyDescent="0.2">
      <c r="A485" s="1">
        <v>36951</v>
      </c>
      <c r="B485">
        <v>73.900000000000006</v>
      </c>
      <c r="C485">
        <v>1.2328767123287676E-2</v>
      </c>
    </row>
    <row r="486" spans="1:3" x14ac:dyDescent="0.2">
      <c r="A486" s="1">
        <v>36982</v>
      </c>
      <c r="B486">
        <v>74.400000000000006</v>
      </c>
      <c r="C486">
        <v>1.5006821282401273E-2</v>
      </c>
    </row>
    <row r="487" spans="1:3" x14ac:dyDescent="0.2">
      <c r="A487" s="1">
        <v>37012</v>
      </c>
      <c r="B487">
        <v>74.900000000000006</v>
      </c>
      <c r="C487">
        <v>1.9047619047619202E-2</v>
      </c>
    </row>
    <row r="488" spans="1:3" x14ac:dyDescent="0.2">
      <c r="A488" s="1">
        <v>37043</v>
      </c>
      <c r="B488">
        <v>75</v>
      </c>
      <c r="C488">
        <v>1.9021739130434812E-2</v>
      </c>
    </row>
    <row r="489" spans="1:3" x14ac:dyDescent="0.2">
      <c r="A489" s="1">
        <v>37073</v>
      </c>
      <c r="B489">
        <v>74.5</v>
      </c>
      <c r="C489">
        <v>1.6371077762619368E-2</v>
      </c>
    </row>
    <row r="490" spans="1:3" x14ac:dyDescent="0.2">
      <c r="A490" s="1">
        <v>37104</v>
      </c>
      <c r="B490">
        <v>74.8</v>
      </c>
      <c r="C490">
        <v>2.0463847203274321E-2</v>
      </c>
    </row>
    <row r="491" spans="1:3" x14ac:dyDescent="0.2">
      <c r="A491" s="1">
        <v>37135</v>
      </c>
      <c r="B491">
        <v>75</v>
      </c>
      <c r="C491">
        <v>1.6260162601626105E-2</v>
      </c>
    </row>
    <row r="492" spans="1:3" x14ac:dyDescent="0.2">
      <c r="A492" s="1">
        <v>37165</v>
      </c>
      <c r="B492">
        <v>74.900000000000006</v>
      </c>
      <c r="C492">
        <v>1.4905149051490652E-2</v>
      </c>
    </row>
    <row r="493" spans="1:3" x14ac:dyDescent="0.2">
      <c r="A493" s="1">
        <v>37196</v>
      </c>
      <c r="B493">
        <v>74.900000000000006</v>
      </c>
      <c r="C493">
        <v>1.2162162162162149E-2</v>
      </c>
    </row>
    <row r="494" spans="1:3" x14ac:dyDescent="0.2">
      <c r="A494" s="1">
        <v>37226</v>
      </c>
      <c r="B494">
        <v>75</v>
      </c>
      <c r="C494">
        <v>1.3513513513513598E-2</v>
      </c>
    </row>
    <row r="495" spans="1:3" x14ac:dyDescent="0.2">
      <c r="A495" s="1">
        <v>37257</v>
      </c>
      <c r="B495">
        <v>74.8</v>
      </c>
      <c r="C495">
        <v>1.7687074829932037E-2</v>
      </c>
    </row>
    <row r="496" spans="1:3" x14ac:dyDescent="0.2">
      <c r="A496" s="1">
        <v>37288</v>
      </c>
      <c r="B496">
        <v>75</v>
      </c>
      <c r="C496">
        <v>1.7639077340569909E-2</v>
      </c>
    </row>
    <row r="497" spans="1:3" x14ac:dyDescent="0.2">
      <c r="A497" s="1">
        <v>37316</v>
      </c>
      <c r="B497">
        <v>75.2</v>
      </c>
      <c r="C497">
        <v>1.7591339648173276E-2</v>
      </c>
    </row>
    <row r="498" spans="1:3" x14ac:dyDescent="0.2">
      <c r="A498" s="1">
        <v>37347</v>
      </c>
      <c r="B498">
        <v>75.599999999999994</v>
      </c>
      <c r="C498">
        <v>1.612903225806428E-2</v>
      </c>
    </row>
    <row r="499" spans="1:3" x14ac:dyDescent="0.2">
      <c r="A499" s="1">
        <v>37377</v>
      </c>
      <c r="B499">
        <v>75.8</v>
      </c>
      <c r="C499">
        <v>1.2016021361815676E-2</v>
      </c>
    </row>
    <row r="500" spans="1:3" x14ac:dyDescent="0.2">
      <c r="A500" s="1">
        <v>37408</v>
      </c>
      <c r="B500">
        <v>75.8</v>
      </c>
      <c r="C500">
        <v>1.0666666666666602E-2</v>
      </c>
    </row>
    <row r="501" spans="1:3" x14ac:dyDescent="0.2">
      <c r="A501" s="1">
        <v>37438</v>
      </c>
      <c r="B501">
        <v>75.599999999999994</v>
      </c>
      <c r="C501">
        <v>1.4765100671140896E-2</v>
      </c>
    </row>
    <row r="502" spans="1:3" x14ac:dyDescent="0.2">
      <c r="A502" s="1">
        <v>37469</v>
      </c>
      <c r="B502">
        <v>75.8</v>
      </c>
      <c r="C502">
        <v>1.3368983957219305E-2</v>
      </c>
    </row>
    <row r="503" spans="1:3" x14ac:dyDescent="0.2">
      <c r="A503" s="1">
        <v>37500</v>
      </c>
      <c r="B503">
        <v>76</v>
      </c>
      <c r="C503">
        <v>1.3333333333333419E-2</v>
      </c>
    </row>
    <row r="504" spans="1:3" x14ac:dyDescent="0.2">
      <c r="A504" s="1">
        <v>37530</v>
      </c>
      <c r="B504">
        <v>76.099999999999994</v>
      </c>
      <c r="C504">
        <v>1.6021361815754087E-2</v>
      </c>
    </row>
    <row r="505" spans="1:3" x14ac:dyDescent="0.2">
      <c r="A505" s="1">
        <v>37561</v>
      </c>
      <c r="B505">
        <v>76.099999999999994</v>
      </c>
      <c r="C505">
        <v>1.6021361815754087E-2</v>
      </c>
    </row>
    <row r="506" spans="1:3" x14ac:dyDescent="0.2">
      <c r="A506" s="1">
        <v>37591</v>
      </c>
      <c r="B506">
        <v>76.3</v>
      </c>
      <c r="C506">
        <v>1.7333333333333201E-2</v>
      </c>
    </row>
    <row r="507" spans="1:3" x14ac:dyDescent="0.2">
      <c r="A507" s="1">
        <v>37622</v>
      </c>
      <c r="B507">
        <v>75.900000000000006</v>
      </c>
      <c r="C507">
        <v>1.4705882352941346E-2</v>
      </c>
    </row>
    <row r="508" spans="1:3" x14ac:dyDescent="0.2">
      <c r="A508" s="1">
        <v>37653</v>
      </c>
      <c r="B508">
        <v>76.099999999999994</v>
      </c>
      <c r="C508">
        <v>1.4666666666666606E-2</v>
      </c>
    </row>
    <row r="509" spans="1:3" x14ac:dyDescent="0.2">
      <c r="A509" s="1">
        <v>37681</v>
      </c>
      <c r="B509">
        <v>76.400000000000006</v>
      </c>
      <c r="C509">
        <v>1.5957446808510634E-2</v>
      </c>
    </row>
    <row r="510" spans="1:3" x14ac:dyDescent="0.2">
      <c r="A510" s="1">
        <v>37712</v>
      </c>
      <c r="B510">
        <v>76.8</v>
      </c>
      <c r="C510">
        <v>1.5873015873015817E-2</v>
      </c>
    </row>
    <row r="511" spans="1:3" x14ac:dyDescent="0.2">
      <c r="A511" s="1">
        <v>37742</v>
      </c>
      <c r="B511">
        <v>76.8</v>
      </c>
      <c r="C511">
        <v>1.3192612137203241E-2</v>
      </c>
    </row>
    <row r="512" spans="1:3" x14ac:dyDescent="0.2">
      <c r="A512" s="1">
        <v>37773</v>
      </c>
      <c r="B512">
        <v>76.7</v>
      </c>
      <c r="C512">
        <v>1.1873350923482962E-2</v>
      </c>
    </row>
    <row r="513" spans="1:3" x14ac:dyDescent="0.2">
      <c r="A513" s="1">
        <v>37803</v>
      </c>
      <c r="B513">
        <v>76.599999999999994</v>
      </c>
      <c r="C513">
        <v>1.3227513227513255E-2</v>
      </c>
    </row>
    <row r="514" spans="1:3" x14ac:dyDescent="0.2">
      <c r="A514" s="1">
        <v>37834</v>
      </c>
      <c r="B514">
        <v>76.8</v>
      </c>
      <c r="C514">
        <v>1.3192612137203241E-2</v>
      </c>
    </row>
    <row r="515" spans="1:3" x14ac:dyDescent="0.2">
      <c r="A515" s="1">
        <v>37865</v>
      </c>
      <c r="B515">
        <v>77</v>
      </c>
      <c r="C515">
        <v>1.3157894736842035E-2</v>
      </c>
    </row>
    <row r="516" spans="1:3" x14ac:dyDescent="0.2">
      <c r="A516" s="1">
        <v>37895</v>
      </c>
      <c r="B516">
        <v>77.099999999999994</v>
      </c>
      <c r="C516">
        <v>1.3140604467805517E-2</v>
      </c>
    </row>
    <row r="517" spans="1:3" x14ac:dyDescent="0.2">
      <c r="A517" s="1">
        <v>37926</v>
      </c>
      <c r="B517">
        <v>77.099999999999994</v>
      </c>
      <c r="C517">
        <v>1.3140604467805517E-2</v>
      </c>
    </row>
    <row r="518" spans="1:3" x14ac:dyDescent="0.2">
      <c r="A518" s="1">
        <v>37956</v>
      </c>
      <c r="B518">
        <v>77.3</v>
      </c>
      <c r="C518">
        <v>1.3106159895150737E-2</v>
      </c>
    </row>
    <row r="519" spans="1:3" x14ac:dyDescent="0.2">
      <c r="A519" s="1">
        <v>37987</v>
      </c>
      <c r="B519">
        <v>77</v>
      </c>
      <c r="C519">
        <v>1.4492753623188248E-2</v>
      </c>
    </row>
    <row r="520" spans="1:3" x14ac:dyDescent="0.2">
      <c r="A520" s="1">
        <v>38018</v>
      </c>
      <c r="B520">
        <v>77.2</v>
      </c>
      <c r="C520">
        <v>1.4454664914586246E-2</v>
      </c>
    </row>
    <row r="521" spans="1:3" x14ac:dyDescent="0.2">
      <c r="A521" s="1">
        <v>38047</v>
      </c>
      <c r="B521">
        <v>77.3</v>
      </c>
      <c r="C521">
        <v>1.1780104712041828E-2</v>
      </c>
    </row>
    <row r="522" spans="1:3" x14ac:dyDescent="0.2">
      <c r="A522" s="1">
        <v>38078</v>
      </c>
      <c r="B522">
        <v>77.599999999999994</v>
      </c>
      <c r="C522">
        <v>1.0416666666666741E-2</v>
      </c>
    </row>
    <row r="523" spans="1:3" x14ac:dyDescent="0.2">
      <c r="A523" s="1">
        <v>38108</v>
      </c>
      <c r="B523">
        <v>77.900000000000006</v>
      </c>
      <c r="C523">
        <v>1.4322916666666741E-2</v>
      </c>
    </row>
    <row r="524" spans="1:3" x14ac:dyDescent="0.2">
      <c r="A524" s="1">
        <v>38139</v>
      </c>
      <c r="B524">
        <v>77.900000000000006</v>
      </c>
      <c r="C524">
        <v>1.5645371577575062E-2</v>
      </c>
    </row>
    <row r="525" spans="1:3" x14ac:dyDescent="0.2">
      <c r="A525" s="1">
        <v>38169</v>
      </c>
      <c r="B525">
        <v>77.7</v>
      </c>
      <c r="C525">
        <v>1.4360313315926909E-2</v>
      </c>
    </row>
    <row r="526" spans="1:3" x14ac:dyDescent="0.2">
      <c r="A526" s="1">
        <v>38200</v>
      </c>
      <c r="B526">
        <v>77.900000000000006</v>
      </c>
      <c r="C526">
        <v>1.4322916666666741E-2</v>
      </c>
    </row>
    <row r="527" spans="1:3" x14ac:dyDescent="0.2">
      <c r="A527" s="1">
        <v>38231</v>
      </c>
      <c r="B527">
        <v>77.900000000000006</v>
      </c>
      <c r="C527">
        <v>1.1688311688311748E-2</v>
      </c>
    </row>
    <row r="528" spans="1:3" x14ac:dyDescent="0.2">
      <c r="A528" s="1">
        <v>38261</v>
      </c>
      <c r="B528">
        <v>78.099999999999994</v>
      </c>
      <c r="C528">
        <v>1.2970168612191912E-2</v>
      </c>
    </row>
    <row r="529" spans="1:3" x14ac:dyDescent="0.2">
      <c r="A529" s="1">
        <v>38292</v>
      </c>
      <c r="B529">
        <v>78.3</v>
      </c>
      <c r="C529">
        <v>1.5564202334630295E-2</v>
      </c>
    </row>
    <row r="530" spans="1:3" x14ac:dyDescent="0.2">
      <c r="A530" s="1">
        <v>38322</v>
      </c>
      <c r="B530">
        <v>78.599999999999994</v>
      </c>
      <c r="C530">
        <v>1.681759379042691E-2</v>
      </c>
    </row>
    <row r="531" spans="1:3" x14ac:dyDescent="0.2">
      <c r="A531" s="1">
        <v>38353</v>
      </c>
      <c r="B531">
        <v>78.3</v>
      </c>
      <c r="C531">
        <v>1.6883116883116944E-2</v>
      </c>
    </row>
    <row r="532" spans="1:3" x14ac:dyDescent="0.2">
      <c r="A532" s="1">
        <v>38384</v>
      </c>
      <c r="B532">
        <v>78.5</v>
      </c>
      <c r="C532">
        <v>1.6839378238342029E-2</v>
      </c>
    </row>
    <row r="533" spans="1:3" x14ac:dyDescent="0.2">
      <c r="A533" s="1">
        <v>38412</v>
      </c>
      <c r="B533">
        <v>78.8</v>
      </c>
      <c r="C533">
        <v>1.9404915912031084E-2</v>
      </c>
    </row>
    <row r="534" spans="1:3" x14ac:dyDescent="0.2">
      <c r="A534" s="1">
        <v>38443</v>
      </c>
      <c r="B534">
        <v>79.099999999999994</v>
      </c>
      <c r="C534">
        <v>1.9329896907216426E-2</v>
      </c>
    </row>
    <row r="535" spans="1:3" x14ac:dyDescent="0.2">
      <c r="A535" s="1">
        <v>38473</v>
      </c>
      <c r="B535">
        <v>79.400000000000006</v>
      </c>
      <c r="C535">
        <v>1.9255455712451797E-2</v>
      </c>
    </row>
    <row r="536" spans="1:3" x14ac:dyDescent="0.2">
      <c r="A536" s="1">
        <v>38504</v>
      </c>
      <c r="B536">
        <v>79.400000000000006</v>
      </c>
      <c r="C536">
        <v>1.9255455712451797E-2</v>
      </c>
    </row>
    <row r="537" spans="1:3" x14ac:dyDescent="0.2">
      <c r="A537" s="1">
        <v>38534</v>
      </c>
      <c r="B537">
        <v>79.5</v>
      </c>
      <c r="C537">
        <v>2.316602316602312E-2</v>
      </c>
    </row>
    <row r="538" spans="1:3" x14ac:dyDescent="0.2">
      <c r="A538" s="1">
        <v>38565</v>
      </c>
      <c r="B538">
        <v>79.7</v>
      </c>
      <c r="C538">
        <v>2.3106546854942289E-2</v>
      </c>
    </row>
    <row r="539" spans="1:3" x14ac:dyDescent="0.2">
      <c r="A539" s="1">
        <v>38596</v>
      </c>
      <c r="B539">
        <v>79.900000000000006</v>
      </c>
      <c r="C539">
        <v>2.5673940949935803E-2</v>
      </c>
    </row>
    <row r="540" spans="1:3" x14ac:dyDescent="0.2">
      <c r="A540" s="1">
        <v>38626</v>
      </c>
      <c r="B540">
        <v>80</v>
      </c>
      <c r="C540">
        <v>2.4327784891165161E-2</v>
      </c>
    </row>
    <row r="541" spans="1:3" x14ac:dyDescent="0.2">
      <c r="A541" s="1">
        <v>38657</v>
      </c>
      <c r="B541">
        <v>80</v>
      </c>
      <c r="C541">
        <v>2.1711366538952781E-2</v>
      </c>
    </row>
    <row r="542" spans="1:3" x14ac:dyDescent="0.2">
      <c r="A542" s="1">
        <v>38687</v>
      </c>
      <c r="B542">
        <v>80.3</v>
      </c>
      <c r="C542">
        <v>2.1628498727735312E-2</v>
      </c>
    </row>
    <row r="543" spans="1:3" x14ac:dyDescent="0.2">
      <c r="A543" s="1">
        <v>38718</v>
      </c>
      <c r="B543">
        <v>80</v>
      </c>
      <c r="C543">
        <v>2.1711366538952781E-2</v>
      </c>
    </row>
    <row r="544" spans="1:3" x14ac:dyDescent="0.2">
      <c r="A544" s="1">
        <v>38749</v>
      </c>
      <c r="B544">
        <v>80.2</v>
      </c>
      <c r="C544">
        <v>2.1656050955414008E-2</v>
      </c>
    </row>
    <row r="545" spans="1:3" x14ac:dyDescent="0.2">
      <c r="A545" s="1">
        <v>38777</v>
      </c>
      <c r="B545">
        <v>80.400000000000006</v>
      </c>
      <c r="C545">
        <v>2.0304568527918843E-2</v>
      </c>
    </row>
    <row r="546" spans="1:3" x14ac:dyDescent="0.2">
      <c r="A546" s="1">
        <v>38808</v>
      </c>
      <c r="B546">
        <v>80.900000000000006</v>
      </c>
      <c r="C546">
        <v>2.2756005056890238E-2</v>
      </c>
    </row>
    <row r="547" spans="1:3" x14ac:dyDescent="0.2">
      <c r="A547" s="1">
        <v>38838</v>
      </c>
      <c r="B547">
        <v>81.3</v>
      </c>
      <c r="C547">
        <v>2.3929471032745564E-2</v>
      </c>
    </row>
    <row r="548" spans="1:3" x14ac:dyDescent="0.2">
      <c r="A548" s="1">
        <v>38869</v>
      </c>
      <c r="B548">
        <v>81.5</v>
      </c>
      <c r="C548">
        <v>2.6448362720402852E-2</v>
      </c>
    </row>
    <row r="549" spans="1:3" x14ac:dyDescent="0.2">
      <c r="A549" s="1">
        <v>38899</v>
      </c>
      <c r="B549">
        <v>81.5</v>
      </c>
      <c r="C549">
        <v>2.515723270440251E-2</v>
      </c>
    </row>
    <row r="550" spans="1:3" x14ac:dyDescent="0.2">
      <c r="A550" s="1">
        <v>38930</v>
      </c>
      <c r="B550">
        <v>81.8</v>
      </c>
      <c r="C550">
        <v>2.6348808030112858E-2</v>
      </c>
    </row>
    <row r="551" spans="1:3" x14ac:dyDescent="0.2">
      <c r="A551" s="1">
        <v>38961</v>
      </c>
      <c r="B551">
        <v>81.900000000000006</v>
      </c>
      <c r="C551">
        <v>2.5031289111389299E-2</v>
      </c>
    </row>
    <row r="552" spans="1:3" x14ac:dyDescent="0.2">
      <c r="A552" s="1">
        <v>38991</v>
      </c>
      <c r="B552">
        <v>82</v>
      </c>
      <c r="C552">
        <v>2.4999999999999911E-2</v>
      </c>
    </row>
    <row r="553" spans="1:3" x14ac:dyDescent="0.2">
      <c r="A553" s="1">
        <v>39022</v>
      </c>
      <c r="B553">
        <v>82.2</v>
      </c>
      <c r="C553">
        <v>2.750000000000008E-2</v>
      </c>
    </row>
    <row r="554" spans="1:3" x14ac:dyDescent="0.2">
      <c r="A554" s="1">
        <v>39052</v>
      </c>
      <c r="B554">
        <v>82.6</v>
      </c>
      <c r="C554">
        <v>2.8642590286425795E-2</v>
      </c>
    </row>
    <row r="555" spans="1:3" x14ac:dyDescent="0.2">
      <c r="A555" s="1">
        <v>39083</v>
      </c>
      <c r="B555">
        <v>82.1</v>
      </c>
      <c r="C555">
        <v>2.6249999999999885E-2</v>
      </c>
    </row>
    <row r="556" spans="1:3" x14ac:dyDescent="0.2">
      <c r="A556" s="1">
        <v>39114</v>
      </c>
      <c r="B556">
        <v>82.4</v>
      </c>
      <c r="C556">
        <v>2.7431421446383997E-2</v>
      </c>
    </row>
    <row r="557" spans="1:3" x14ac:dyDescent="0.2">
      <c r="A557" s="1">
        <v>39142</v>
      </c>
      <c r="B557">
        <v>82.8</v>
      </c>
      <c r="C557">
        <v>2.9850746268656581E-2</v>
      </c>
    </row>
    <row r="558" spans="1:3" x14ac:dyDescent="0.2">
      <c r="A558" s="1">
        <v>39173</v>
      </c>
      <c r="B558">
        <v>83.1</v>
      </c>
      <c r="C558">
        <v>2.7194066749072876E-2</v>
      </c>
    </row>
    <row r="559" spans="1:3" x14ac:dyDescent="0.2">
      <c r="A559" s="1">
        <v>39203</v>
      </c>
      <c r="B559">
        <v>83.3</v>
      </c>
      <c r="C559">
        <v>2.4600246002460135E-2</v>
      </c>
    </row>
    <row r="560" spans="1:3" x14ac:dyDescent="0.2">
      <c r="A560" s="1">
        <v>39234</v>
      </c>
      <c r="B560">
        <v>83.5</v>
      </c>
      <c r="C560">
        <v>2.4539877300613577E-2</v>
      </c>
    </row>
    <row r="561" spans="1:3" x14ac:dyDescent="0.2">
      <c r="A561" s="1">
        <v>39264</v>
      </c>
      <c r="B561">
        <v>83.1</v>
      </c>
      <c r="C561">
        <v>1.9631901840490684E-2</v>
      </c>
    </row>
    <row r="562" spans="1:3" x14ac:dyDescent="0.2">
      <c r="A562" s="1">
        <v>39295</v>
      </c>
      <c r="B562">
        <v>83.4</v>
      </c>
      <c r="C562">
        <v>1.9559902200489088E-2</v>
      </c>
    </row>
    <row r="563" spans="1:3" x14ac:dyDescent="0.2">
      <c r="A563" s="1">
        <v>39326</v>
      </c>
      <c r="B563">
        <v>83.5</v>
      </c>
      <c r="C563">
        <v>1.9536019536019467E-2</v>
      </c>
    </row>
    <row r="564" spans="1:3" x14ac:dyDescent="0.2">
      <c r="A564" s="1">
        <v>39356</v>
      </c>
      <c r="B564">
        <v>83.8</v>
      </c>
      <c r="C564">
        <v>2.1951219512195141E-2</v>
      </c>
    </row>
    <row r="565" spans="1:3" x14ac:dyDescent="0.2">
      <c r="A565" s="1">
        <v>39387</v>
      </c>
      <c r="B565">
        <v>84.1</v>
      </c>
      <c r="C565">
        <v>2.3114355231143469E-2</v>
      </c>
    </row>
    <row r="566" spans="1:3" x14ac:dyDescent="0.2">
      <c r="A566" s="1">
        <v>39417</v>
      </c>
      <c r="B566">
        <v>84.5</v>
      </c>
      <c r="C566">
        <v>2.3002421307506182E-2</v>
      </c>
    </row>
    <row r="567" spans="1:3" x14ac:dyDescent="0.2">
      <c r="A567" s="1">
        <v>39448</v>
      </c>
      <c r="B567">
        <v>84.1</v>
      </c>
      <c r="C567">
        <v>2.4360535931790439E-2</v>
      </c>
    </row>
    <row r="568" spans="1:3" x14ac:dyDescent="0.2">
      <c r="A568" s="1">
        <v>39479</v>
      </c>
      <c r="B568">
        <v>84.6</v>
      </c>
      <c r="C568">
        <v>2.6699029126213469E-2</v>
      </c>
    </row>
    <row r="569" spans="1:3" x14ac:dyDescent="0.2">
      <c r="A569" s="1">
        <v>39508</v>
      </c>
      <c r="B569">
        <v>84.9</v>
      </c>
      <c r="C569">
        <v>2.5362318840579823E-2</v>
      </c>
    </row>
    <row r="570" spans="1:3" x14ac:dyDescent="0.2">
      <c r="A570" s="1">
        <v>39539</v>
      </c>
      <c r="B570">
        <v>85.6</v>
      </c>
      <c r="C570">
        <v>3.0084235860409203E-2</v>
      </c>
    </row>
    <row r="571" spans="1:3" x14ac:dyDescent="0.2">
      <c r="A571" s="1">
        <v>39569</v>
      </c>
      <c r="B571">
        <v>86.1</v>
      </c>
      <c r="C571">
        <v>3.3613445378151141E-2</v>
      </c>
    </row>
    <row r="572" spans="1:3" x14ac:dyDescent="0.2">
      <c r="A572" s="1">
        <v>39600</v>
      </c>
      <c r="B572">
        <v>86.6</v>
      </c>
      <c r="C572">
        <v>3.7125748502993883E-2</v>
      </c>
    </row>
    <row r="573" spans="1:3" x14ac:dyDescent="0.2">
      <c r="A573" s="1">
        <v>39630</v>
      </c>
      <c r="B573">
        <v>86.6</v>
      </c>
      <c r="C573">
        <v>4.2117930204572884E-2</v>
      </c>
    </row>
    <row r="574" spans="1:3" x14ac:dyDescent="0.2">
      <c r="A574" s="1">
        <v>39661</v>
      </c>
      <c r="B574">
        <v>87.1</v>
      </c>
      <c r="C574">
        <v>4.4364508393285318E-2</v>
      </c>
    </row>
    <row r="575" spans="1:3" x14ac:dyDescent="0.2">
      <c r="A575" s="1">
        <v>39692</v>
      </c>
      <c r="B575">
        <v>87.5</v>
      </c>
      <c r="C575">
        <v>4.7904191616766401E-2</v>
      </c>
    </row>
    <row r="576" spans="1:3" x14ac:dyDescent="0.2">
      <c r="A576" s="1">
        <v>39722</v>
      </c>
      <c r="B576">
        <v>87.3</v>
      </c>
      <c r="C576">
        <v>4.1766109785202898E-2</v>
      </c>
    </row>
    <row r="577" spans="1:3" x14ac:dyDescent="0.2">
      <c r="A577" s="1">
        <v>39753</v>
      </c>
      <c r="B577">
        <v>87.3</v>
      </c>
      <c r="C577">
        <v>3.8049940546967864E-2</v>
      </c>
    </row>
    <row r="578" spans="1:3" x14ac:dyDescent="0.2">
      <c r="A578" s="1">
        <v>39783</v>
      </c>
      <c r="B578">
        <v>87.1</v>
      </c>
      <c r="C578">
        <v>3.076923076923066E-2</v>
      </c>
    </row>
    <row r="579" spans="1:3" x14ac:dyDescent="0.2">
      <c r="A579" s="1">
        <v>39814</v>
      </c>
      <c r="B579">
        <v>86.6</v>
      </c>
      <c r="C579">
        <v>2.9726516052318575E-2</v>
      </c>
    </row>
    <row r="580" spans="1:3" x14ac:dyDescent="0.2">
      <c r="A580" s="1">
        <v>39845</v>
      </c>
      <c r="B580">
        <v>87.2</v>
      </c>
      <c r="C580">
        <v>3.0732860520094718E-2</v>
      </c>
    </row>
    <row r="581" spans="1:3" x14ac:dyDescent="0.2">
      <c r="A581" s="1">
        <v>39873</v>
      </c>
      <c r="B581">
        <v>87.3</v>
      </c>
      <c r="C581">
        <v>2.8268551236749095E-2</v>
      </c>
    </row>
    <row r="582" spans="1:3" x14ac:dyDescent="0.2">
      <c r="A582" s="1">
        <v>39904</v>
      </c>
      <c r="B582">
        <v>87.5</v>
      </c>
      <c r="C582">
        <v>2.219626168224309E-2</v>
      </c>
    </row>
    <row r="583" spans="1:3" x14ac:dyDescent="0.2">
      <c r="A583" s="1">
        <v>39934</v>
      </c>
      <c r="B583">
        <v>87.9</v>
      </c>
      <c r="C583">
        <v>2.0905923344947785E-2</v>
      </c>
    </row>
    <row r="584" spans="1:3" x14ac:dyDescent="0.2">
      <c r="A584" s="1">
        <v>39965</v>
      </c>
      <c r="B584">
        <v>88.1</v>
      </c>
      <c r="C584">
        <v>1.7321016166281789E-2</v>
      </c>
    </row>
    <row r="585" spans="1:3" x14ac:dyDescent="0.2">
      <c r="A585" s="1">
        <v>39995</v>
      </c>
      <c r="B585">
        <v>88</v>
      </c>
      <c r="C585">
        <v>1.616628175519641E-2</v>
      </c>
    </row>
    <row r="586" spans="1:3" x14ac:dyDescent="0.2">
      <c r="A586" s="1">
        <v>40026</v>
      </c>
      <c r="B586">
        <v>88.3</v>
      </c>
      <c r="C586">
        <v>1.3777267508610747E-2</v>
      </c>
    </row>
    <row r="587" spans="1:3" x14ac:dyDescent="0.2">
      <c r="A587" s="1">
        <v>40057</v>
      </c>
      <c r="B587">
        <v>88.3</v>
      </c>
      <c r="C587">
        <v>9.1428571428571193E-3</v>
      </c>
    </row>
    <row r="588" spans="1:3" x14ac:dyDescent="0.2">
      <c r="A588" s="1">
        <v>40087</v>
      </c>
      <c r="B588">
        <v>88.4</v>
      </c>
      <c r="C588">
        <v>1.2600229095074633E-2</v>
      </c>
    </row>
    <row r="589" spans="1:3" x14ac:dyDescent="0.2">
      <c r="A589" s="1">
        <v>40118</v>
      </c>
      <c r="B589">
        <v>88.6</v>
      </c>
      <c r="C589">
        <v>1.4891179839633395E-2</v>
      </c>
    </row>
    <row r="590" spans="1:3" x14ac:dyDescent="0.2">
      <c r="A590" s="1">
        <v>40148</v>
      </c>
      <c r="B590">
        <v>88.9</v>
      </c>
      <c r="C590">
        <v>2.0665901262916231E-2</v>
      </c>
    </row>
    <row r="591" spans="1:3" x14ac:dyDescent="0.2">
      <c r="A591" s="1">
        <v>40179</v>
      </c>
      <c r="B591">
        <v>88.8</v>
      </c>
      <c r="C591">
        <v>2.5404157043879882E-2</v>
      </c>
    </row>
    <row r="592" spans="1:3" x14ac:dyDescent="0.2">
      <c r="A592" s="1">
        <v>40210</v>
      </c>
      <c r="B592">
        <v>89</v>
      </c>
      <c r="C592">
        <v>2.0642201834862428E-2</v>
      </c>
    </row>
    <row r="593" spans="1:3" x14ac:dyDescent="0.2">
      <c r="A593" s="1">
        <v>40238</v>
      </c>
      <c r="B593">
        <v>89.4</v>
      </c>
      <c r="C593">
        <v>2.4054982817869552E-2</v>
      </c>
    </row>
    <row r="594" spans="1:3" x14ac:dyDescent="0.2">
      <c r="A594" s="1">
        <v>40269</v>
      </c>
      <c r="B594">
        <v>89.9</v>
      </c>
      <c r="C594">
        <v>2.742857142857158E-2</v>
      </c>
    </row>
    <row r="595" spans="1:3" x14ac:dyDescent="0.2">
      <c r="A595" s="1">
        <v>40299</v>
      </c>
      <c r="B595">
        <v>90.1</v>
      </c>
      <c r="C595">
        <v>2.5028441410693825E-2</v>
      </c>
    </row>
    <row r="596" spans="1:3" x14ac:dyDescent="0.2">
      <c r="A596" s="1">
        <v>40330</v>
      </c>
      <c r="B596">
        <v>90.2</v>
      </c>
      <c r="C596">
        <v>2.3836549375709559E-2</v>
      </c>
    </row>
    <row r="597" spans="1:3" x14ac:dyDescent="0.2">
      <c r="A597" s="1">
        <v>40360</v>
      </c>
      <c r="B597">
        <v>90</v>
      </c>
      <c r="C597">
        <v>2.2727272727272707E-2</v>
      </c>
    </row>
    <row r="598" spans="1:3" x14ac:dyDescent="0.2">
      <c r="A598" s="1">
        <v>40391</v>
      </c>
      <c r="B598">
        <v>90.4</v>
      </c>
      <c r="C598">
        <v>2.3782559456398733E-2</v>
      </c>
    </row>
    <row r="599" spans="1:3" x14ac:dyDescent="0.2">
      <c r="A599" s="1">
        <v>40422</v>
      </c>
      <c r="B599">
        <v>90.4</v>
      </c>
      <c r="C599">
        <v>2.3782559456398733E-2</v>
      </c>
    </row>
    <row r="600" spans="1:3" x14ac:dyDescent="0.2">
      <c r="A600" s="1">
        <v>40452</v>
      </c>
      <c r="B600">
        <v>90.6</v>
      </c>
      <c r="C600">
        <v>2.488687782805421E-2</v>
      </c>
    </row>
    <row r="601" spans="1:3" x14ac:dyDescent="0.2">
      <c r="A601" s="1">
        <v>40483</v>
      </c>
      <c r="B601">
        <v>90.9</v>
      </c>
      <c r="C601">
        <v>2.5959367945824097E-2</v>
      </c>
    </row>
    <row r="602" spans="1:3" x14ac:dyDescent="0.2">
      <c r="A602" s="1">
        <v>40513</v>
      </c>
      <c r="B602">
        <v>91.7</v>
      </c>
      <c r="C602">
        <v>3.1496062992125928E-2</v>
      </c>
    </row>
    <row r="603" spans="1:3" x14ac:dyDescent="0.2">
      <c r="A603" s="1">
        <v>40544</v>
      </c>
      <c r="B603">
        <v>91.8</v>
      </c>
      <c r="C603">
        <v>3.3783783783783772E-2</v>
      </c>
    </row>
    <row r="604" spans="1:3" x14ac:dyDescent="0.2">
      <c r="A604" s="1">
        <v>40575</v>
      </c>
      <c r="B604">
        <v>92.3</v>
      </c>
      <c r="C604">
        <v>3.7078651685393149E-2</v>
      </c>
    </row>
    <row r="605" spans="1:3" x14ac:dyDescent="0.2">
      <c r="A605" s="1">
        <v>40603</v>
      </c>
      <c r="B605">
        <v>92.6</v>
      </c>
      <c r="C605">
        <v>3.5794183445190031E-2</v>
      </c>
    </row>
    <row r="606" spans="1:3" x14ac:dyDescent="0.2">
      <c r="A606" s="1">
        <v>40634</v>
      </c>
      <c r="B606">
        <v>93.3</v>
      </c>
      <c r="C606">
        <v>3.7819799777530472E-2</v>
      </c>
    </row>
    <row r="607" spans="1:3" x14ac:dyDescent="0.2">
      <c r="A607" s="1">
        <v>40664</v>
      </c>
      <c r="B607">
        <v>93.5</v>
      </c>
      <c r="C607">
        <v>3.7735849056603765E-2</v>
      </c>
    </row>
    <row r="608" spans="1:3" x14ac:dyDescent="0.2">
      <c r="A608" s="1">
        <v>40695</v>
      </c>
      <c r="B608">
        <v>93.5</v>
      </c>
      <c r="C608">
        <v>3.6585365853658569E-2</v>
      </c>
    </row>
    <row r="609" spans="1:3" x14ac:dyDescent="0.2">
      <c r="A609" s="1">
        <v>40725</v>
      </c>
      <c r="B609">
        <v>93.5</v>
      </c>
      <c r="C609">
        <v>3.8888888888888973E-2</v>
      </c>
    </row>
    <row r="610" spans="1:3" x14ac:dyDescent="0.2">
      <c r="A610" s="1">
        <v>40756</v>
      </c>
      <c r="B610">
        <v>93.9</v>
      </c>
      <c r="C610">
        <v>3.8716814159291957E-2</v>
      </c>
    </row>
    <row r="611" spans="1:3" x14ac:dyDescent="0.2">
      <c r="A611" s="1">
        <v>40787</v>
      </c>
      <c r="B611">
        <v>94.5</v>
      </c>
      <c r="C611">
        <v>4.5353982300884832E-2</v>
      </c>
    </row>
    <row r="612" spans="1:3" x14ac:dyDescent="0.2">
      <c r="A612" s="1">
        <v>40817</v>
      </c>
      <c r="B612">
        <v>94.5</v>
      </c>
      <c r="C612">
        <v>4.3046357615894149E-2</v>
      </c>
    </row>
    <row r="613" spans="1:3" x14ac:dyDescent="0.2">
      <c r="A613" s="1">
        <v>40848</v>
      </c>
      <c r="B613">
        <v>94.7</v>
      </c>
      <c r="C613">
        <v>4.1804180418041792E-2</v>
      </c>
    </row>
    <row r="614" spans="1:3" x14ac:dyDescent="0.2">
      <c r="A614" s="1">
        <v>40878</v>
      </c>
      <c r="B614">
        <v>95</v>
      </c>
      <c r="C614">
        <v>3.598691384950925E-2</v>
      </c>
    </row>
    <row r="615" spans="1:3" x14ac:dyDescent="0.2">
      <c r="A615" s="1">
        <v>40909</v>
      </c>
      <c r="B615">
        <v>94.7</v>
      </c>
      <c r="C615">
        <v>3.1590413943355156E-2</v>
      </c>
    </row>
    <row r="616" spans="1:3" x14ac:dyDescent="0.2">
      <c r="A616" s="1">
        <v>40940</v>
      </c>
      <c r="B616">
        <v>95.2</v>
      </c>
      <c r="C616">
        <v>3.1419284940411796E-2</v>
      </c>
    </row>
    <row r="617" spans="1:3" x14ac:dyDescent="0.2">
      <c r="A617" s="1">
        <v>40969</v>
      </c>
      <c r="B617">
        <v>95.4</v>
      </c>
      <c r="C617">
        <v>3.0237580993520696E-2</v>
      </c>
    </row>
    <row r="618" spans="1:3" x14ac:dyDescent="0.2">
      <c r="A618" s="1">
        <v>41000</v>
      </c>
      <c r="B618">
        <v>95.9</v>
      </c>
      <c r="C618">
        <v>2.7867095391211238E-2</v>
      </c>
    </row>
    <row r="619" spans="1:3" x14ac:dyDescent="0.2">
      <c r="A619" s="1">
        <v>41030</v>
      </c>
      <c r="B619">
        <v>95.9</v>
      </c>
      <c r="C619">
        <v>2.5668449197860932E-2</v>
      </c>
    </row>
    <row r="620" spans="1:3" x14ac:dyDescent="0.2">
      <c r="A620" s="1">
        <v>41061</v>
      </c>
      <c r="B620">
        <v>95.6</v>
      </c>
      <c r="C620">
        <v>2.2459893048128343E-2</v>
      </c>
    </row>
    <row r="621" spans="1:3" x14ac:dyDescent="0.2">
      <c r="A621" s="1">
        <v>41091</v>
      </c>
      <c r="B621">
        <v>95.7</v>
      </c>
      <c r="C621">
        <v>2.3529411764706021E-2</v>
      </c>
    </row>
    <row r="622" spans="1:3" x14ac:dyDescent="0.2">
      <c r="A622" s="1">
        <v>41122</v>
      </c>
      <c r="B622">
        <v>96.1</v>
      </c>
      <c r="C622">
        <v>2.3429179978700532E-2</v>
      </c>
    </row>
    <row r="623" spans="1:3" x14ac:dyDescent="0.2">
      <c r="A623" s="1">
        <v>41153</v>
      </c>
      <c r="B623">
        <v>96.4</v>
      </c>
      <c r="C623">
        <v>2.0105820105820182E-2</v>
      </c>
    </row>
    <row r="624" spans="1:3" x14ac:dyDescent="0.2">
      <c r="A624" s="1">
        <v>41183</v>
      </c>
      <c r="B624">
        <v>96.8</v>
      </c>
      <c r="C624">
        <v>2.4338624338624326E-2</v>
      </c>
    </row>
    <row r="625" spans="1:3" x14ac:dyDescent="0.2">
      <c r="A625" s="1">
        <v>41214</v>
      </c>
      <c r="B625">
        <v>97</v>
      </c>
      <c r="C625">
        <v>2.428722280887019E-2</v>
      </c>
    </row>
    <row r="626" spans="1:3" x14ac:dyDescent="0.2">
      <c r="A626" s="1">
        <v>41244</v>
      </c>
      <c r="B626">
        <v>97.3</v>
      </c>
      <c r="C626">
        <v>2.421052631578946E-2</v>
      </c>
    </row>
    <row r="627" spans="1:3" x14ac:dyDescent="0.2">
      <c r="A627" s="1">
        <v>41275</v>
      </c>
      <c r="B627">
        <v>97</v>
      </c>
      <c r="C627">
        <v>2.428722280887019E-2</v>
      </c>
    </row>
    <row r="628" spans="1:3" x14ac:dyDescent="0.2">
      <c r="A628" s="1">
        <v>41306</v>
      </c>
      <c r="B628">
        <v>97.5</v>
      </c>
      <c r="C628">
        <v>2.4159663865546133E-2</v>
      </c>
    </row>
    <row r="629" spans="1:3" x14ac:dyDescent="0.2">
      <c r="A629" s="1">
        <v>41334</v>
      </c>
      <c r="B629">
        <v>97.8</v>
      </c>
      <c r="C629">
        <v>2.515723270440251E-2</v>
      </c>
    </row>
    <row r="630" spans="1:3" x14ac:dyDescent="0.2">
      <c r="A630" s="1">
        <v>41365</v>
      </c>
      <c r="B630">
        <v>98</v>
      </c>
      <c r="C630">
        <v>2.1897810218977964E-2</v>
      </c>
    </row>
    <row r="631" spans="1:3" x14ac:dyDescent="0.2">
      <c r="A631" s="1">
        <v>41395</v>
      </c>
      <c r="B631">
        <v>98.2</v>
      </c>
      <c r="C631">
        <v>2.3983315954118734E-2</v>
      </c>
    </row>
    <row r="632" spans="1:3" x14ac:dyDescent="0.2">
      <c r="A632" s="1">
        <v>41426</v>
      </c>
      <c r="B632">
        <v>98</v>
      </c>
      <c r="C632">
        <v>2.5104602510460206E-2</v>
      </c>
    </row>
    <row r="633" spans="1:3" x14ac:dyDescent="0.2">
      <c r="A633" s="1">
        <v>41456</v>
      </c>
      <c r="B633">
        <v>98</v>
      </c>
      <c r="C633">
        <v>2.4033437826541215E-2</v>
      </c>
    </row>
    <row r="634" spans="1:3" x14ac:dyDescent="0.2">
      <c r="A634" s="1">
        <v>41487</v>
      </c>
      <c r="B634">
        <v>98.4</v>
      </c>
      <c r="C634">
        <v>2.3933402705515139E-2</v>
      </c>
    </row>
    <row r="635" spans="1:3" x14ac:dyDescent="0.2">
      <c r="A635" s="1">
        <v>41518</v>
      </c>
      <c r="B635">
        <v>98.7</v>
      </c>
      <c r="C635">
        <v>2.3858921161825641E-2</v>
      </c>
    </row>
    <row r="636" spans="1:3" x14ac:dyDescent="0.2">
      <c r="A636" s="1">
        <v>41548</v>
      </c>
      <c r="B636">
        <v>98.8</v>
      </c>
      <c r="C636">
        <v>2.0661157024793431E-2</v>
      </c>
    </row>
    <row r="637" spans="1:3" x14ac:dyDescent="0.2">
      <c r="A637" s="1">
        <v>41579</v>
      </c>
      <c r="B637">
        <v>98.8</v>
      </c>
      <c r="C637">
        <v>1.8556701030927769E-2</v>
      </c>
    </row>
    <row r="638" spans="1:3" x14ac:dyDescent="0.2">
      <c r="A638" s="1">
        <v>41609</v>
      </c>
      <c r="B638">
        <v>99.2</v>
      </c>
      <c r="C638">
        <v>1.9527235354573458E-2</v>
      </c>
    </row>
    <row r="639" spans="1:3" x14ac:dyDescent="0.2">
      <c r="A639" s="1">
        <v>41640</v>
      </c>
      <c r="B639">
        <v>98.7</v>
      </c>
      <c r="C639">
        <v>1.7525773195876226E-2</v>
      </c>
    </row>
    <row r="640" spans="1:3" x14ac:dyDescent="0.2">
      <c r="A640" s="1">
        <v>41671</v>
      </c>
      <c r="B640">
        <v>99.1</v>
      </c>
      <c r="C640">
        <v>1.6410256410256396E-2</v>
      </c>
    </row>
    <row r="641" spans="1:3" x14ac:dyDescent="0.2">
      <c r="A641" s="1">
        <v>41699</v>
      </c>
      <c r="B641">
        <v>99.3</v>
      </c>
      <c r="C641">
        <v>1.5337423312883347E-2</v>
      </c>
    </row>
    <row r="642" spans="1:3" x14ac:dyDescent="0.2">
      <c r="A642" s="1">
        <v>41730</v>
      </c>
      <c r="B642">
        <v>99.6</v>
      </c>
      <c r="C642">
        <v>1.6326530612244872E-2</v>
      </c>
    </row>
    <row r="643" spans="1:3" x14ac:dyDescent="0.2">
      <c r="A643" s="1">
        <v>41760</v>
      </c>
      <c r="B643">
        <v>99.6</v>
      </c>
      <c r="C643">
        <v>1.4256619144602745E-2</v>
      </c>
    </row>
    <row r="644" spans="1:3" x14ac:dyDescent="0.2">
      <c r="A644" s="1">
        <v>41791</v>
      </c>
      <c r="B644">
        <v>99.8</v>
      </c>
      <c r="C644">
        <v>1.8367346938775508E-2</v>
      </c>
    </row>
    <row r="645" spans="1:3" x14ac:dyDescent="0.2">
      <c r="A645" s="1">
        <v>41821</v>
      </c>
      <c r="B645">
        <v>99.6</v>
      </c>
      <c r="C645">
        <v>1.6326530612244872E-2</v>
      </c>
    </row>
    <row r="646" spans="1:3" x14ac:dyDescent="0.2">
      <c r="A646" s="1">
        <v>41852</v>
      </c>
      <c r="B646">
        <v>99.9</v>
      </c>
      <c r="C646">
        <v>1.5243902439024293E-2</v>
      </c>
    </row>
    <row r="647" spans="1:3" x14ac:dyDescent="0.2">
      <c r="A647" s="1">
        <v>41883</v>
      </c>
      <c r="B647">
        <v>100</v>
      </c>
      <c r="C647">
        <v>1.3171225937183451E-2</v>
      </c>
    </row>
    <row r="648" spans="1:3" x14ac:dyDescent="0.2">
      <c r="A648" s="1">
        <v>41913</v>
      </c>
      <c r="B648">
        <v>100.1</v>
      </c>
      <c r="C648">
        <v>1.3157894736842035E-2</v>
      </c>
    </row>
    <row r="649" spans="1:3" x14ac:dyDescent="0.2">
      <c r="A649" s="1">
        <v>41944</v>
      </c>
      <c r="B649">
        <v>99.9</v>
      </c>
      <c r="C649">
        <v>1.1133603238866474E-2</v>
      </c>
    </row>
    <row r="650" spans="1:3" x14ac:dyDescent="0.2">
      <c r="A650" s="1">
        <v>41974</v>
      </c>
      <c r="B650">
        <v>99.9</v>
      </c>
      <c r="C650">
        <v>7.0564516129032473E-3</v>
      </c>
    </row>
    <row r="651" spans="1:3" x14ac:dyDescent="0.2">
      <c r="A651" s="1">
        <v>42005</v>
      </c>
      <c r="B651">
        <v>99.2</v>
      </c>
      <c r="C651">
        <v>5.0658561296859084E-3</v>
      </c>
    </row>
    <row r="652" spans="1:3" x14ac:dyDescent="0.2">
      <c r="A652" s="1">
        <v>42036</v>
      </c>
      <c r="B652">
        <v>99.5</v>
      </c>
      <c r="C652">
        <v>4.0363269424823489E-3</v>
      </c>
    </row>
    <row r="653" spans="1:3" x14ac:dyDescent="0.2">
      <c r="A653" s="1">
        <v>42064</v>
      </c>
      <c r="B653">
        <v>99.6</v>
      </c>
      <c r="C653">
        <v>3.0211480362536403E-3</v>
      </c>
    </row>
    <row r="654" spans="1:3" x14ac:dyDescent="0.2">
      <c r="A654" s="1">
        <v>42095</v>
      </c>
      <c r="B654">
        <v>99.9</v>
      </c>
      <c r="C654">
        <v>3.0120481927711218E-3</v>
      </c>
    </row>
    <row r="655" spans="1:3" x14ac:dyDescent="0.2">
      <c r="A655" s="1">
        <v>42125</v>
      </c>
      <c r="B655">
        <v>100.1</v>
      </c>
      <c r="C655">
        <v>5.020080321285203E-3</v>
      </c>
    </row>
    <row r="656" spans="1:3" x14ac:dyDescent="0.2">
      <c r="A656" s="1">
        <v>42156</v>
      </c>
      <c r="B656">
        <v>100.1</v>
      </c>
      <c r="C656">
        <v>3.0060120240480437E-3</v>
      </c>
    </row>
    <row r="657" spans="1:3" x14ac:dyDescent="0.2">
      <c r="A657" s="1">
        <v>42186</v>
      </c>
      <c r="B657">
        <v>100</v>
      </c>
      <c r="C657">
        <v>4.0160642570281624E-3</v>
      </c>
    </row>
    <row r="658" spans="1:3" x14ac:dyDescent="0.2">
      <c r="A658" s="1">
        <v>42217</v>
      </c>
      <c r="B658">
        <v>100.3</v>
      </c>
      <c r="C658">
        <v>4.0040040040039138E-3</v>
      </c>
    </row>
    <row r="659" spans="1:3" x14ac:dyDescent="0.2">
      <c r="A659" s="1">
        <v>42248</v>
      </c>
      <c r="B659">
        <v>100.2</v>
      </c>
      <c r="C659">
        <v>2.0000000000000018E-3</v>
      </c>
    </row>
    <row r="660" spans="1:3" x14ac:dyDescent="0.2">
      <c r="A660" s="1">
        <v>42278</v>
      </c>
      <c r="B660">
        <v>100.3</v>
      </c>
      <c r="C660">
        <v>1.9980019980019303E-3</v>
      </c>
    </row>
    <row r="661" spans="1:3" x14ac:dyDescent="0.2">
      <c r="A661" s="1">
        <v>42309</v>
      </c>
      <c r="B661">
        <v>100.3</v>
      </c>
      <c r="C661">
        <v>4.0040040040039138E-3</v>
      </c>
    </row>
    <row r="662" spans="1:3" x14ac:dyDescent="0.2">
      <c r="A662" s="1">
        <v>42339</v>
      </c>
      <c r="B662">
        <v>100.4</v>
      </c>
      <c r="C662">
        <v>5.0050050050050032E-3</v>
      </c>
    </row>
    <row r="663" spans="1:3" x14ac:dyDescent="0.2">
      <c r="A663" s="1">
        <v>42370</v>
      </c>
      <c r="B663">
        <v>99.9</v>
      </c>
      <c r="C663">
        <v>7.0564516129032473E-3</v>
      </c>
    </row>
    <row r="664" spans="1:3" x14ac:dyDescent="0.2">
      <c r="A664" s="1">
        <v>42401</v>
      </c>
      <c r="B664">
        <v>100.1</v>
      </c>
      <c r="C664">
        <v>6.0301507537687815E-3</v>
      </c>
    </row>
    <row r="665" spans="1:3" x14ac:dyDescent="0.2">
      <c r="A665" s="1">
        <v>42430</v>
      </c>
      <c r="B665">
        <v>100.4</v>
      </c>
      <c r="C665">
        <v>8.0321285140563248E-3</v>
      </c>
    </row>
    <row r="666" spans="1:3" x14ac:dyDescent="0.2">
      <c r="A666" s="1">
        <v>42461</v>
      </c>
      <c r="B666">
        <v>100.6</v>
      </c>
      <c r="C666">
        <v>7.0070070070069601E-3</v>
      </c>
    </row>
    <row r="667" spans="1:3" x14ac:dyDescent="0.2">
      <c r="A667" s="1">
        <v>42491</v>
      </c>
      <c r="B667">
        <v>100.8</v>
      </c>
      <c r="C667">
        <v>6.9930069930070893E-3</v>
      </c>
    </row>
    <row r="668" spans="1:3" x14ac:dyDescent="0.2">
      <c r="A668" s="1">
        <v>42522</v>
      </c>
      <c r="B668">
        <v>101</v>
      </c>
      <c r="C668">
        <v>8.9910089910090196E-3</v>
      </c>
    </row>
    <row r="669" spans="1:3" x14ac:dyDescent="0.2">
      <c r="A669" s="1">
        <v>42552</v>
      </c>
      <c r="B669">
        <v>100.9</v>
      </c>
      <c r="C669">
        <v>9.000000000000119E-3</v>
      </c>
    </row>
    <row r="670" spans="1:3" x14ac:dyDescent="0.2">
      <c r="A670" s="1">
        <v>42583</v>
      </c>
      <c r="B670">
        <v>101.2</v>
      </c>
      <c r="C670">
        <v>8.9730807577268479E-3</v>
      </c>
    </row>
    <row r="671" spans="1:3" x14ac:dyDescent="0.2">
      <c r="A671" s="1">
        <v>42614</v>
      </c>
      <c r="B671">
        <v>101.5</v>
      </c>
      <c r="C671">
        <v>1.2974051896207595E-2</v>
      </c>
    </row>
    <row r="672" spans="1:3" x14ac:dyDescent="0.2">
      <c r="A672" s="1">
        <v>42644</v>
      </c>
      <c r="B672">
        <v>101.6</v>
      </c>
      <c r="C672">
        <v>1.2961116650049842E-2</v>
      </c>
    </row>
    <row r="673" spans="1:3" x14ac:dyDescent="0.2">
      <c r="A673" s="1">
        <v>42675</v>
      </c>
      <c r="B673">
        <v>101.8</v>
      </c>
      <c r="C673">
        <v>1.4955134596211339E-2</v>
      </c>
    </row>
    <row r="674" spans="1:3" x14ac:dyDescent="0.2">
      <c r="A674" s="1">
        <v>42705</v>
      </c>
      <c r="B674">
        <v>102.2</v>
      </c>
      <c r="C674">
        <v>1.7928286852589626E-2</v>
      </c>
    </row>
    <row r="675" spans="1:3" x14ac:dyDescent="0.2">
      <c r="A675" s="1">
        <v>42736</v>
      </c>
      <c r="B675">
        <v>101.8</v>
      </c>
      <c r="C675">
        <v>1.9019019019018923E-2</v>
      </c>
    </row>
    <row r="676" spans="1:3" x14ac:dyDescent="0.2">
      <c r="A676" s="1">
        <v>42767</v>
      </c>
      <c r="B676">
        <v>102.4</v>
      </c>
      <c r="C676">
        <v>2.2977022977023198E-2</v>
      </c>
    </row>
    <row r="677" spans="1:3" x14ac:dyDescent="0.2">
      <c r="A677" s="1">
        <v>42795</v>
      </c>
      <c r="B677">
        <v>102.7</v>
      </c>
      <c r="C677">
        <v>2.2908366533864521E-2</v>
      </c>
    </row>
    <row r="678" spans="1:3" x14ac:dyDescent="0.2">
      <c r="A678" s="1">
        <v>42826</v>
      </c>
      <c r="B678">
        <v>103.2</v>
      </c>
      <c r="C678">
        <v>2.5844930417495027E-2</v>
      </c>
    </row>
    <row r="679" spans="1:3" x14ac:dyDescent="0.2">
      <c r="A679" s="1">
        <v>42856</v>
      </c>
      <c r="B679">
        <v>103.5</v>
      </c>
      <c r="C679">
        <v>2.6785714285714413E-2</v>
      </c>
    </row>
    <row r="680" spans="1:3" x14ac:dyDescent="0.2">
      <c r="A680" s="1">
        <v>42887</v>
      </c>
      <c r="B680">
        <v>103.5</v>
      </c>
      <c r="C680">
        <v>2.4752475247524774E-2</v>
      </c>
    </row>
    <row r="681" spans="1:3" x14ac:dyDescent="0.2">
      <c r="A681" s="1">
        <v>42917</v>
      </c>
      <c r="B681">
        <v>103.5</v>
      </c>
      <c r="C681">
        <v>2.5768087215064295E-2</v>
      </c>
    </row>
    <row r="682" spans="1:3" x14ac:dyDescent="0.2">
      <c r="A682" s="1">
        <v>42948</v>
      </c>
      <c r="B682">
        <v>104</v>
      </c>
      <c r="C682">
        <v>2.7667984189723382E-2</v>
      </c>
    </row>
    <row r="683" spans="1:3" x14ac:dyDescent="0.2">
      <c r="A683" s="1">
        <v>42979</v>
      </c>
      <c r="B683">
        <v>104.3</v>
      </c>
      <c r="C683">
        <v>2.7586206896551779E-2</v>
      </c>
    </row>
    <row r="684" spans="1:3" x14ac:dyDescent="0.2">
      <c r="A684" s="1">
        <v>43009</v>
      </c>
      <c r="B684">
        <v>104.4</v>
      </c>
      <c r="C684">
        <v>2.7559055118110409E-2</v>
      </c>
    </row>
    <row r="685" spans="1:3" x14ac:dyDescent="0.2">
      <c r="A685" s="1">
        <v>43040</v>
      </c>
      <c r="B685">
        <v>104.7</v>
      </c>
      <c r="C685">
        <v>2.8487229862475427E-2</v>
      </c>
    </row>
    <row r="686" spans="1:3" x14ac:dyDescent="0.2">
      <c r="A686" s="1">
        <v>43070</v>
      </c>
      <c r="B686">
        <v>105</v>
      </c>
      <c r="C686">
        <v>2.739726027397249E-2</v>
      </c>
    </row>
    <row r="687" spans="1:3" x14ac:dyDescent="0.2">
      <c r="A687" s="1">
        <v>43101</v>
      </c>
      <c r="B687">
        <v>104.5</v>
      </c>
      <c r="C687">
        <v>2.6522593320235766E-2</v>
      </c>
    </row>
    <row r="688" spans="1:3" x14ac:dyDescent="0.2">
      <c r="A688" s="1">
        <v>43132</v>
      </c>
      <c r="B688">
        <v>104.9</v>
      </c>
      <c r="C688">
        <v>2.44140625E-2</v>
      </c>
    </row>
    <row r="689" spans="1:3" x14ac:dyDescent="0.2">
      <c r="A689" s="1">
        <v>43160</v>
      </c>
      <c r="B689">
        <v>105.1</v>
      </c>
      <c r="C689">
        <v>2.3369036027263812E-2</v>
      </c>
    </row>
    <row r="690" spans="1:3" x14ac:dyDescent="0.2">
      <c r="A690" s="1">
        <v>43191</v>
      </c>
      <c r="B690">
        <v>105.5</v>
      </c>
      <c r="C690">
        <v>2.2286821705426396E-2</v>
      </c>
    </row>
    <row r="691" spans="1:3" x14ac:dyDescent="0.2">
      <c r="A691" s="1">
        <v>43221</v>
      </c>
      <c r="B691">
        <v>105.9</v>
      </c>
      <c r="C691">
        <v>2.3188405797101463E-2</v>
      </c>
    </row>
    <row r="692" spans="1:3" x14ac:dyDescent="0.2">
      <c r="A692" s="1">
        <v>43252</v>
      </c>
      <c r="B692">
        <v>105.9</v>
      </c>
      <c r="C692">
        <v>2.3188405797101463E-2</v>
      </c>
    </row>
    <row r="693" spans="1:3" x14ac:dyDescent="0.2">
      <c r="A693" s="1">
        <v>43282</v>
      </c>
      <c r="B693">
        <v>105.9</v>
      </c>
      <c r="C693">
        <v>2.3188405797101463E-2</v>
      </c>
    </row>
    <row r="694" spans="1:3" x14ac:dyDescent="0.2">
      <c r="A694" s="1">
        <v>43313</v>
      </c>
      <c r="B694">
        <v>106.5</v>
      </c>
      <c r="C694">
        <v>2.4038461538461453E-2</v>
      </c>
    </row>
    <row r="695" spans="1:3" x14ac:dyDescent="0.2">
      <c r="A695" s="1">
        <v>43344</v>
      </c>
      <c r="B695">
        <v>106.6</v>
      </c>
      <c r="C695">
        <v>2.2051773729625967E-2</v>
      </c>
    </row>
    <row r="696" spans="1:3" x14ac:dyDescent="0.2">
      <c r="A696" s="1">
        <v>43374</v>
      </c>
      <c r="B696">
        <v>106.7</v>
      </c>
      <c r="C696">
        <v>2.2030651340996243E-2</v>
      </c>
    </row>
    <row r="697" spans="1:3" x14ac:dyDescent="0.2">
      <c r="A697" s="1">
        <v>43405</v>
      </c>
      <c r="B697">
        <v>106.9</v>
      </c>
      <c r="C697">
        <v>2.1012416427889313E-2</v>
      </c>
    </row>
    <row r="698" spans="1:3" x14ac:dyDescent="0.2">
      <c r="A698" s="1">
        <v>43435</v>
      </c>
      <c r="B698">
        <v>107.1</v>
      </c>
      <c r="C698">
        <v>2.0000000000000018E-2</v>
      </c>
    </row>
    <row r="699" spans="1:3" x14ac:dyDescent="0.2">
      <c r="A699" s="1">
        <v>43466</v>
      </c>
      <c r="B699">
        <v>106.4</v>
      </c>
      <c r="C699">
        <v>1.8181818181818299E-2</v>
      </c>
    </row>
    <row r="700" spans="1:3" x14ac:dyDescent="0.2">
      <c r="A700" s="1">
        <v>43497</v>
      </c>
      <c r="B700">
        <v>106.8</v>
      </c>
      <c r="C700">
        <v>1.8112488083889433E-2</v>
      </c>
    </row>
    <row r="701" spans="1:3" x14ac:dyDescent="0.2">
      <c r="A701" s="1">
        <v>43525</v>
      </c>
      <c r="B701">
        <v>107</v>
      </c>
      <c r="C701">
        <v>1.8078020932445371E-2</v>
      </c>
    </row>
    <row r="702" spans="1:3" x14ac:dyDescent="0.2">
      <c r="A702" s="1">
        <v>43556</v>
      </c>
      <c r="B702">
        <v>107.6</v>
      </c>
      <c r="C702">
        <v>1.9905213270142053E-2</v>
      </c>
    </row>
    <row r="703" spans="1:3" x14ac:dyDescent="0.2">
      <c r="A703" s="1">
        <v>43586</v>
      </c>
      <c r="B703">
        <v>107.9</v>
      </c>
      <c r="C703">
        <v>1.8885741265344702E-2</v>
      </c>
    </row>
    <row r="704" spans="1:3" x14ac:dyDescent="0.2">
      <c r="A704" s="1">
        <v>43617</v>
      </c>
      <c r="B704">
        <v>107.9</v>
      </c>
      <c r="C704">
        <v>1.8885741265344702E-2</v>
      </c>
    </row>
    <row r="705" spans="1:3" x14ac:dyDescent="0.2">
      <c r="A705" s="1">
        <v>43647</v>
      </c>
      <c r="B705">
        <v>108</v>
      </c>
      <c r="C705">
        <v>1.9830028328611915E-2</v>
      </c>
    </row>
    <row r="706" spans="1:3" x14ac:dyDescent="0.2">
      <c r="A706" s="1">
        <v>43678</v>
      </c>
      <c r="B706">
        <v>108.3</v>
      </c>
      <c r="C706">
        <v>1.6901408450704203E-2</v>
      </c>
    </row>
    <row r="707" spans="1:3" x14ac:dyDescent="0.2">
      <c r="A707" s="1">
        <v>43709</v>
      </c>
      <c r="B707">
        <v>108.4</v>
      </c>
      <c r="C707">
        <v>1.6885553470919357E-2</v>
      </c>
    </row>
    <row r="708" spans="1:3" x14ac:dyDescent="0.2">
      <c r="A708" s="1">
        <v>43739</v>
      </c>
      <c r="B708">
        <v>108.3</v>
      </c>
      <c r="C708">
        <v>1.4995313964386137E-2</v>
      </c>
    </row>
    <row r="709" spans="1:3" x14ac:dyDescent="0.2">
      <c r="A709" s="1">
        <v>43770</v>
      </c>
      <c r="B709">
        <v>108.5</v>
      </c>
      <c r="C709">
        <v>1.4967259120673537E-2</v>
      </c>
    </row>
    <row r="710" spans="1:3" x14ac:dyDescent="0.2">
      <c r="A710" s="1">
        <v>43800</v>
      </c>
      <c r="B710">
        <v>108.5</v>
      </c>
      <c r="C710">
        <v>1.3071895424836555E-2</v>
      </c>
    </row>
    <row r="711" spans="1:3" x14ac:dyDescent="0.2">
      <c r="A711" s="1">
        <v>43831</v>
      </c>
      <c r="B711">
        <v>108.3</v>
      </c>
      <c r="C711">
        <v>1.7857142857142794E-2</v>
      </c>
    </row>
    <row r="712" spans="1:3" x14ac:dyDescent="0.2">
      <c r="A712" s="1">
        <v>43862</v>
      </c>
      <c r="B712">
        <v>108.6</v>
      </c>
      <c r="C712">
        <v>1.6853932584269593E-2</v>
      </c>
    </row>
    <row r="713" spans="1:3" x14ac:dyDescent="0.2">
      <c r="A713" s="1">
        <v>43891</v>
      </c>
      <c r="B713">
        <v>108.6</v>
      </c>
      <c r="C713">
        <v>1.495327102803734E-2</v>
      </c>
    </row>
    <row r="714" spans="1:3" x14ac:dyDescent="0.2">
      <c r="A714" s="1">
        <v>43922</v>
      </c>
      <c r="B714">
        <v>108.6</v>
      </c>
      <c r="C714">
        <v>9.2936802973977439E-3</v>
      </c>
    </row>
    <row r="715" spans="1:3" x14ac:dyDescent="0.2">
      <c r="A715" s="1">
        <v>43952</v>
      </c>
      <c r="B715">
        <v>108.6</v>
      </c>
      <c r="C715">
        <v>6.487488415199083E-3</v>
      </c>
    </row>
    <row r="716" spans="1:3" x14ac:dyDescent="0.2">
      <c r="A716" s="1">
        <v>43983</v>
      </c>
      <c r="B716">
        <v>108.8</v>
      </c>
      <c r="C716">
        <v>8.3410565338275511E-3</v>
      </c>
    </row>
    <row r="717" spans="1:3" x14ac:dyDescent="0.2">
      <c r="A717" s="1">
        <v>44013</v>
      </c>
      <c r="B717">
        <v>109.2</v>
      </c>
      <c r="C717">
        <v>1.1111111111111072E-2</v>
      </c>
    </row>
    <row r="718" spans="1:3" x14ac:dyDescent="0.2">
      <c r="A718" s="1">
        <v>44044</v>
      </c>
      <c r="B718">
        <v>108.8</v>
      </c>
      <c r="C718">
        <v>4.6168051708217472E-3</v>
      </c>
    </row>
    <row r="719" spans="1:3" x14ac:dyDescent="0.2">
      <c r="A719" s="1">
        <v>44075</v>
      </c>
      <c r="B719">
        <v>109.2</v>
      </c>
      <c r="C719">
        <v>7.3800738007379074E-3</v>
      </c>
    </row>
    <row r="720" spans="1:3" x14ac:dyDescent="0.2">
      <c r="A720" s="1">
        <v>44105</v>
      </c>
      <c r="B720">
        <v>109.2</v>
      </c>
      <c r="C720">
        <v>8.3102493074793671E-3</v>
      </c>
    </row>
    <row r="721" spans="1:3" x14ac:dyDescent="0.2">
      <c r="A721" s="1">
        <v>44136</v>
      </c>
      <c r="B721">
        <v>109.1</v>
      </c>
      <c r="C721">
        <v>5.5299539170505785E-3</v>
      </c>
    </row>
    <row r="722" spans="1:3" x14ac:dyDescent="0.2">
      <c r="A722" s="1">
        <v>44166</v>
      </c>
      <c r="B722">
        <v>109.4</v>
      </c>
      <c r="C722">
        <v>8.2949308755759787E-3</v>
      </c>
    </row>
    <row r="723" spans="1:3" x14ac:dyDescent="0.2">
      <c r="A723" s="1">
        <v>44197</v>
      </c>
      <c r="B723">
        <v>109.3</v>
      </c>
      <c r="C723">
        <v>9.2336103416434945E-3</v>
      </c>
    </row>
    <row r="724" spans="1:3" x14ac:dyDescent="0.2">
      <c r="A724" s="1">
        <v>44228</v>
      </c>
      <c r="B724">
        <v>109.4</v>
      </c>
      <c r="C724">
        <v>7.3664825046042548E-3</v>
      </c>
    </row>
    <row r="725" spans="1:3" x14ac:dyDescent="0.2">
      <c r="A725" s="1">
        <v>44256</v>
      </c>
      <c r="B725">
        <v>109.7</v>
      </c>
      <c r="C725">
        <v>1.0128913443830712E-2</v>
      </c>
    </row>
    <row r="726" spans="1:3" x14ac:dyDescent="0.2">
      <c r="A726" s="1">
        <v>44287</v>
      </c>
      <c r="B726">
        <v>110.4</v>
      </c>
      <c r="C726">
        <v>1.6574585635359185E-2</v>
      </c>
    </row>
    <row r="727" spans="1:3" x14ac:dyDescent="0.2">
      <c r="A727" s="1">
        <v>44317</v>
      </c>
      <c r="B727">
        <v>111</v>
      </c>
      <c r="C727">
        <v>2.2099447513812098E-2</v>
      </c>
    </row>
    <row r="728" spans="1:3" x14ac:dyDescent="0.2">
      <c r="A728" s="1">
        <v>44348</v>
      </c>
      <c r="B728">
        <v>111.4</v>
      </c>
      <c r="C728">
        <v>2.3897058823529438E-2</v>
      </c>
    </row>
    <row r="729" spans="1:3" x14ac:dyDescent="0.2">
      <c r="A729" s="1">
        <v>44378</v>
      </c>
      <c r="B729">
        <v>111.4</v>
      </c>
      <c r="C729">
        <v>2.0146520146520075E-2</v>
      </c>
    </row>
    <row r="730" spans="1:3" x14ac:dyDescent="0.2">
      <c r="A730" s="1">
        <v>44409</v>
      </c>
      <c r="B730">
        <v>112.1</v>
      </c>
      <c r="C730">
        <v>3.0330882352941124E-2</v>
      </c>
    </row>
    <row r="731" spans="1:3" x14ac:dyDescent="0.2">
      <c r="A731" s="1">
        <v>44440</v>
      </c>
      <c r="B731">
        <v>112.4</v>
      </c>
      <c r="C731">
        <v>2.9304029304029422E-2</v>
      </c>
    </row>
    <row r="732" spans="1:3" x14ac:dyDescent="0.2">
      <c r="A732" s="1">
        <v>44470</v>
      </c>
      <c r="B732">
        <v>113.4</v>
      </c>
      <c r="C732">
        <v>3.8461538461538547E-2</v>
      </c>
    </row>
    <row r="733" spans="1:3" x14ac:dyDescent="0.2">
      <c r="A733" s="1">
        <v>44501</v>
      </c>
      <c r="B733">
        <v>114.1</v>
      </c>
      <c r="C733">
        <v>4.5829514207149424E-2</v>
      </c>
    </row>
    <row r="734" spans="1:3" x14ac:dyDescent="0.2">
      <c r="A734" s="1">
        <v>44531</v>
      </c>
      <c r="B734">
        <v>114.7</v>
      </c>
      <c r="C734">
        <v>4.8446069469835429E-2</v>
      </c>
    </row>
    <row r="735" spans="1:3" x14ac:dyDescent="0.2">
      <c r="A735" s="1">
        <v>44562</v>
      </c>
      <c r="B735">
        <v>114.6</v>
      </c>
      <c r="C735">
        <v>4.8490393412625732E-2</v>
      </c>
    </row>
    <row r="736" spans="1:3" x14ac:dyDescent="0.2">
      <c r="A736" s="1">
        <v>44593</v>
      </c>
      <c r="B736">
        <v>115.4</v>
      </c>
      <c r="C736">
        <v>5.4844606946983454E-2</v>
      </c>
    </row>
    <row r="737" spans="1:3" x14ac:dyDescent="0.2">
      <c r="A737" s="1">
        <v>44621</v>
      </c>
      <c r="B737">
        <v>116.5</v>
      </c>
      <c r="C737">
        <v>6.1987237921604432E-2</v>
      </c>
    </row>
    <row r="738" spans="1:3" x14ac:dyDescent="0.2">
      <c r="A738" s="1">
        <v>44652</v>
      </c>
      <c r="B738">
        <v>119</v>
      </c>
      <c r="C738">
        <v>7.7898550724637694E-2</v>
      </c>
    </row>
    <row r="739" spans="1:3" x14ac:dyDescent="0.2">
      <c r="A739" s="1">
        <v>44682</v>
      </c>
      <c r="B739">
        <v>119.7</v>
      </c>
      <c r="C739">
        <v>7.8378378378378466E-2</v>
      </c>
    </row>
    <row r="740" spans="1:3" x14ac:dyDescent="0.2">
      <c r="A740" s="1">
        <v>44713</v>
      </c>
      <c r="B740">
        <v>120.5</v>
      </c>
      <c r="C740">
        <v>8.1687612208258376E-2</v>
      </c>
    </row>
    <row r="741" spans="1:3" x14ac:dyDescent="0.2">
      <c r="A741" s="1">
        <v>44743</v>
      </c>
      <c r="B741">
        <v>121.2</v>
      </c>
      <c r="C741">
        <v>8.797127468581678E-2</v>
      </c>
    </row>
    <row r="742" spans="1:3" x14ac:dyDescent="0.2">
      <c r="A742" s="1">
        <v>44774</v>
      </c>
      <c r="B742">
        <v>121.8</v>
      </c>
      <c r="C742">
        <v>8.6529884032114257E-2</v>
      </c>
    </row>
    <row r="743" spans="1:3" x14ac:dyDescent="0.2">
      <c r="A743" s="1">
        <v>44805</v>
      </c>
      <c r="B743">
        <v>122.3</v>
      </c>
      <c r="C743">
        <v>8.807829181494653E-2</v>
      </c>
    </row>
    <row r="744" spans="1:3" x14ac:dyDescent="0.2">
      <c r="A744" s="1">
        <v>44835</v>
      </c>
      <c r="B744">
        <v>124.3</v>
      </c>
      <c r="C744">
        <v>9.6119929453262642E-2</v>
      </c>
    </row>
    <row r="745" spans="1:3" x14ac:dyDescent="0.2">
      <c r="A745" s="1">
        <v>44866</v>
      </c>
      <c r="B745">
        <v>124.8</v>
      </c>
      <c r="C745">
        <v>9.3777388255915861E-2</v>
      </c>
    </row>
    <row r="746" spans="1:3" x14ac:dyDescent="0.2">
      <c r="A746" s="1">
        <v>44896</v>
      </c>
      <c r="B746">
        <v>125.3</v>
      </c>
      <c r="C746">
        <v>9.2414995640802022E-2</v>
      </c>
    </row>
    <row r="747" spans="1:3" x14ac:dyDescent="0.2">
      <c r="A747" s="1">
        <v>44927</v>
      </c>
      <c r="B747">
        <v>124.8</v>
      </c>
      <c r="C747">
        <v>8.9005235602094279E-2</v>
      </c>
    </row>
    <row r="748" spans="1:3" x14ac:dyDescent="0.2">
      <c r="A748" s="1">
        <v>44958</v>
      </c>
      <c r="B748">
        <v>126</v>
      </c>
      <c r="C748">
        <v>9.1854419410745125E-2</v>
      </c>
    </row>
    <row r="749" spans="1:3" x14ac:dyDescent="0.2">
      <c r="A749" s="1">
        <v>44986</v>
      </c>
      <c r="B749">
        <v>126.8</v>
      </c>
      <c r="C749">
        <v>8.8412017167381896E-2</v>
      </c>
    </row>
    <row r="750" spans="1:3" x14ac:dyDescent="0.2">
      <c r="A750" s="1">
        <v>45017</v>
      </c>
      <c r="B750">
        <v>128.30000000000001</v>
      </c>
      <c r="C750">
        <v>7.8151260504201847E-2</v>
      </c>
    </row>
    <row r="751" spans="1:3" x14ac:dyDescent="0.2">
      <c r="A751" s="1">
        <v>45047</v>
      </c>
      <c r="B751">
        <v>129.1</v>
      </c>
      <c r="C751">
        <v>7.8529657477025783E-2</v>
      </c>
    </row>
    <row r="752" spans="1:3" x14ac:dyDescent="0.2">
      <c r="A752" s="1">
        <v>45078</v>
      </c>
      <c r="B752">
        <v>129.4</v>
      </c>
      <c r="C752">
        <v>7.3858921161825686E-2</v>
      </c>
    </row>
    <row r="753" spans="1:3" x14ac:dyDescent="0.2">
      <c r="A753" s="1">
        <v>45108</v>
      </c>
      <c r="B753">
        <v>129</v>
      </c>
      <c r="C753">
        <v>6.4356435643564414E-2</v>
      </c>
    </row>
    <row r="754" spans="1:3" x14ac:dyDescent="0.2">
      <c r="A754" s="1">
        <v>45139</v>
      </c>
      <c r="B754">
        <v>129.4</v>
      </c>
      <c r="C754">
        <v>6.2397372742200474E-2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1FC3F-D75C-D24C-B570-4CD4294B2ABF}">
  <dimension ref="A1:F297"/>
  <sheetViews>
    <sheetView workbookViewId="0">
      <selection activeCell="B1" sqref="B1"/>
    </sheetView>
  </sheetViews>
  <sheetFormatPr baseColWidth="10" defaultRowHeight="16" x14ac:dyDescent="0.2"/>
  <cols>
    <col min="1" max="1" width="10.83203125" style="1"/>
  </cols>
  <sheetData>
    <row r="1" spans="1:6" x14ac:dyDescent="0.2">
      <c r="B1" t="s">
        <v>9</v>
      </c>
      <c r="C1" t="s">
        <v>11</v>
      </c>
    </row>
    <row r="2" spans="1:6" x14ac:dyDescent="0.2">
      <c r="A2" s="1" t="s">
        <v>1</v>
      </c>
      <c r="B2" t="s">
        <v>8</v>
      </c>
      <c r="C2" t="s">
        <v>10</v>
      </c>
      <c r="D2" t="s">
        <v>4</v>
      </c>
      <c r="E2" t="s">
        <v>12</v>
      </c>
      <c r="F2" t="s">
        <v>13</v>
      </c>
    </row>
    <row r="3" spans="1:6" x14ac:dyDescent="0.2">
      <c r="A3" s="1">
        <v>36192</v>
      </c>
      <c r="B3">
        <v>175934000000</v>
      </c>
      <c r="C3">
        <v>8.11</v>
      </c>
      <c r="D3">
        <v>1.8413597733711207E-2</v>
      </c>
      <c r="E3">
        <f>LOG(B3/(1+D3))</f>
        <v>11.23742558750839</v>
      </c>
      <c r="F3">
        <f>LOG((1+C3/100)/(1+D3))</f>
        <v>2.5941678016821224E-2</v>
      </c>
    </row>
    <row r="4" spans="1:6" x14ac:dyDescent="0.2">
      <c r="A4" s="1">
        <v>36220</v>
      </c>
      <c r="B4">
        <v>176881000000</v>
      </c>
      <c r="C4">
        <v>7.69</v>
      </c>
      <c r="D4">
        <v>2.1186440677966045E-2</v>
      </c>
      <c r="E4">
        <f t="shared" ref="E4:E67" si="0">LOG(B4/(1+D4))</f>
        <v>11.238576145264711</v>
      </c>
      <c r="F4">
        <f t="shared" ref="F4:F67" si="1">LOG((1+C4/100)/(1+D4))</f>
        <v>2.3070337356601096E-2</v>
      </c>
    </row>
    <row r="5" spans="1:6" x14ac:dyDescent="0.2">
      <c r="A5" s="1">
        <v>36251</v>
      </c>
      <c r="B5">
        <v>175438000000</v>
      </c>
      <c r="C5">
        <v>7.38</v>
      </c>
      <c r="D5">
        <v>1.9662921348314377E-2</v>
      </c>
      <c r="E5">
        <f t="shared" si="0"/>
        <v>11.235667040660523</v>
      </c>
      <c r="F5">
        <f t="shared" si="1"/>
        <v>2.2466772563981729E-2</v>
      </c>
    </row>
    <row r="6" spans="1:6" x14ac:dyDescent="0.2">
      <c r="A6" s="1">
        <v>36281</v>
      </c>
      <c r="B6">
        <v>178025000000</v>
      </c>
      <c r="C6">
        <v>7.14</v>
      </c>
      <c r="D6">
        <v>1.8181818181818077E-2</v>
      </c>
      <c r="E6">
        <f t="shared" si="0"/>
        <v>11.24265565692988</v>
      </c>
      <c r="F6">
        <f t="shared" si="1"/>
        <v>2.2126304524884021E-2</v>
      </c>
    </row>
    <row r="7" spans="1:6" x14ac:dyDescent="0.2">
      <c r="A7" s="1">
        <v>36312</v>
      </c>
      <c r="B7">
        <v>179105000000</v>
      </c>
      <c r="C7">
        <v>7.12</v>
      </c>
      <c r="D7">
        <v>1.8207282913165201E-2</v>
      </c>
      <c r="E7">
        <f t="shared" si="0"/>
        <v>11.245271510954327</v>
      </c>
      <c r="F7">
        <f t="shared" si="1"/>
        <v>2.2034364921089088E-2</v>
      </c>
    </row>
    <row r="8" spans="1:6" x14ac:dyDescent="0.2">
      <c r="A8" s="1">
        <v>36342</v>
      </c>
      <c r="B8">
        <v>177216000000</v>
      </c>
      <c r="C8">
        <v>7.05</v>
      </c>
      <c r="D8">
        <v>1.6853932584269593E-2</v>
      </c>
      <c r="E8">
        <f t="shared" si="0"/>
        <v>11.241244357169171</v>
      </c>
      <c r="F8">
        <f t="shared" si="1"/>
        <v>2.2328099070166602E-2</v>
      </c>
    </row>
    <row r="9" spans="1:6" x14ac:dyDescent="0.2">
      <c r="A9" s="1">
        <v>36373</v>
      </c>
      <c r="B9">
        <v>176392000000</v>
      </c>
      <c r="C9">
        <v>7.12</v>
      </c>
      <c r="D9">
        <v>1.6806722689075571E-2</v>
      </c>
      <c r="E9">
        <f t="shared" si="0"/>
        <v>11.239240475530378</v>
      </c>
      <c r="F9">
        <f t="shared" si="1"/>
        <v>2.2632155080033262E-2</v>
      </c>
    </row>
    <row r="10" spans="1:6" x14ac:dyDescent="0.2">
      <c r="A10" s="1">
        <v>36404</v>
      </c>
      <c r="B10">
        <v>176096000000</v>
      </c>
      <c r="C10">
        <v>6.98</v>
      </c>
      <c r="D10">
        <v>1.5341701534170138E-2</v>
      </c>
      <c r="E10">
        <f t="shared" si="0"/>
        <v>11.239137267485825</v>
      </c>
      <c r="F10">
        <f t="shared" si="1"/>
        <v>2.2690369913761228E-2</v>
      </c>
    </row>
    <row r="11" spans="1:6" x14ac:dyDescent="0.2">
      <c r="A11" s="1">
        <v>36434</v>
      </c>
      <c r="B11">
        <v>178152000000</v>
      </c>
      <c r="C11">
        <v>7.06</v>
      </c>
      <c r="D11">
        <v>1.5341701534170138E-2</v>
      </c>
      <c r="E11">
        <f t="shared" si="0"/>
        <v>11.244178478619054</v>
      </c>
      <c r="F11">
        <f t="shared" si="1"/>
        <v>2.3015015402175758E-2</v>
      </c>
    </row>
    <row r="12" spans="1:6" x14ac:dyDescent="0.2">
      <c r="A12" s="1">
        <v>36465</v>
      </c>
      <c r="B12">
        <v>180217000000</v>
      </c>
      <c r="C12">
        <v>7.13</v>
      </c>
      <c r="D12">
        <v>1.5320334261838653E-2</v>
      </c>
      <c r="E12">
        <f t="shared" si="0"/>
        <v>11.249192671812427</v>
      </c>
      <c r="F12">
        <f t="shared" si="1"/>
        <v>2.3308020836769982E-2</v>
      </c>
    </row>
    <row r="13" spans="1:6" x14ac:dyDescent="0.2">
      <c r="A13" s="1">
        <v>36495</v>
      </c>
      <c r="B13">
        <v>181992000000</v>
      </c>
      <c r="C13">
        <v>7.2</v>
      </c>
      <c r="D13">
        <v>1.5277777777777724E-2</v>
      </c>
      <c r="E13">
        <f t="shared" si="0"/>
        <v>11.253467417171576</v>
      </c>
      <c r="F13">
        <f t="shared" si="1"/>
        <v>2.3609904830159269E-2</v>
      </c>
    </row>
    <row r="14" spans="1:6" x14ac:dyDescent="0.2">
      <c r="A14" s="1">
        <v>36526</v>
      </c>
      <c r="B14">
        <v>182939000000</v>
      </c>
      <c r="C14">
        <v>7.27</v>
      </c>
      <c r="D14">
        <v>1.1142061281337101E-2</v>
      </c>
      <c r="E14">
        <f t="shared" si="0"/>
        <v>11.257494124312501</v>
      </c>
      <c r="F14">
        <f t="shared" si="1"/>
        <v>2.566610416461481E-2</v>
      </c>
    </row>
    <row r="15" spans="1:6" x14ac:dyDescent="0.2">
      <c r="A15" s="1">
        <v>36557</v>
      </c>
      <c r="B15">
        <v>186490000000</v>
      </c>
      <c r="C15">
        <v>7.44</v>
      </c>
      <c r="D15">
        <v>1.2517385257301727E-2</v>
      </c>
      <c r="E15">
        <f t="shared" si="0"/>
        <v>11.265253060022831</v>
      </c>
      <c r="F15">
        <f t="shared" si="1"/>
        <v>2.5763510730504386E-2</v>
      </c>
    </row>
    <row r="16" spans="1:6" x14ac:dyDescent="0.2">
      <c r="A16" s="1">
        <v>36586</v>
      </c>
      <c r="B16">
        <v>187425000000</v>
      </c>
      <c r="C16">
        <v>7.64</v>
      </c>
      <c r="D16">
        <v>9.6818810511756226E-3</v>
      </c>
      <c r="E16">
        <f t="shared" si="0"/>
        <v>11.268642956692226</v>
      </c>
      <c r="F16">
        <f t="shared" si="1"/>
        <v>2.7789126265791858E-2</v>
      </c>
    </row>
    <row r="17" spans="1:6" x14ac:dyDescent="0.2">
      <c r="A17" s="1">
        <v>36617</v>
      </c>
      <c r="B17">
        <v>189952000000</v>
      </c>
      <c r="C17">
        <v>7.74</v>
      </c>
      <c r="D17">
        <v>9.6418732782368455E-3</v>
      </c>
      <c r="E17">
        <f t="shared" si="0"/>
        <v>11.274476516649843</v>
      </c>
      <c r="F17">
        <f t="shared" si="1"/>
        <v>2.8209617268901862E-2</v>
      </c>
    </row>
    <row r="18" spans="1:6" x14ac:dyDescent="0.2">
      <c r="A18" s="1">
        <v>36647</v>
      </c>
      <c r="B18">
        <v>195523000000</v>
      </c>
      <c r="C18">
        <v>7.77</v>
      </c>
      <c r="D18">
        <v>9.6153846153845812E-3</v>
      </c>
      <c r="E18">
        <f t="shared" si="0"/>
        <v>11.287041892423925</v>
      </c>
      <c r="F18">
        <f t="shared" si="1"/>
        <v>2.8341923085952674E-2</v>
      </c>
    </row>
    <row r="19" spans="1:6" x14ac:dyDescent="0.2">
      <c r="A19" s="1">
        <v>36678</v>
      </c>
      <c r="B19">
        <v>200623000000</v>
      </c>
      <c r="C19">
        <v>7.77</v>
      </c>
      <c r="D19">
        <v>1.2379642365887067E-2</v>
      </c>
      <c r="E19">
        <f t="shared" si="0"/>
        <v>11.29703731683351</v>
      </c>
      <c r="F19">
        <f t="shared" si="1"/>
        <v>2.7154479378649381E-2</v>
      </c>
    </row>
    <row r="20" spans="1:6" x14ac:dyDescent="0.2">
      <c r="A20" s="1">
        <v>36708</v>
      </c>
      <c r="B20">
        <v>198143000000</v>
      </c>
      <c r="C20">
        <v>7.71</v>
      </c>
      <c r="D20">
        <v>1.2430939226519166E-2</v>
      </c>
      <c r="E20">
        <f t="shared" si="0"/>
        <v>11.291613325732801</v>
      </c>
      <c r="F20">
        <f t="shared" si="1"/>
        <v>2.6890617446472146E-2</v>
      </c>
    </row>
    <row r="21" spans="1:6" x14ac:dyDescent="0.2">
      <c r="A21" s="1">
        <v>36739</v>
      </c>
      <c r="B21">
        <v>199109000000</v>
      </c>
      <c r="C21">
        <v>7.77</v>
      </c>
      <c r="D21">
        <v>9.6418732782368455E-3</v>
      </c>
      <c r="E21">
        <f t="shared" si="0"/>
        <v>11.294923537236539</v>
      </c>
      <c r="F21">
        <f t="shared" si="1"/>
        <v>2.8330528916076174E-2</v>
      </c>
    </row>
    <row r="22" spans="1:6" x14ac:dyDescent="0.2">
      <c r="A22" s="1">
        <v>36770</v>
      </c>
      <c r="B22">
        <v>201866000000</v>
      </c>
      <c r="C22">
        <v>7.77</v>
      </c>
      <c r="D22">
        <v>1.3736263736263687E-2</v>
      </c>
      <c r="E22">
        <f t="shared" si="0"/>
        <v>11.299138194998152</v>
      </c>
      <c r="F22">
        <f t="shared" si="1"/>
        <v>2.6572900347105993E-2</v>
      </c>
    </row>
    <row r="23" spans="1:6" x14ac:dyDescent="0.2">
      <c r="A23" s="1">
        <v>36800</v>
      </c>
      <c r="B23">
        <v>205252000000</v>
      </c>
      <c r="C23">
        <v>7.72</v>
      </c>
      <c r="D23">
        <v>1.3736263736263687E-2</v>
      </c>
      <c r="E23">
        <f t="shared" si="0"/>
        <v>11.306362415119388</v>
      </c>
      <c r="F23">
        <f t="shared" si="1"/>
        <v>2.6371362229468485E-2</v>
      </c>
    </row>
    <row r="24" spans="1:6" x14ac:dyDescent="0.2">
      <c r="A24" s="1">
        <v>36831</v>
      </c>
      <c r="B24">
        <v>206763000000</v>
      </c>
      <c r="C24">
        <v>7.65</v>
      </c>
      <c r="D24">
        <v>1.5089163237311354E-2</v>
      </c>
      <c r="E24">
        <f t="shared" si="0"/>
        <v>11.308968633465867</v>
      </c>
      <c r="F24">
        <f t="shared" si="1"/>
        <v>2.5509842746504481E-2</v>
      </c>
    </row>
    <row r="25" spans="1:6" x14ac:dyDescent="0.2">
      <c r="A25" s="1">
        <v>36861</v>
      </c>
      <c r="B25">
        <v>206629000000</v>
      </c>
      <c r="C25">
        <v>7.66</v>
      </c>
      <c r="D25">
        <v>1.2311901504788114E-2</v>
      </c>
      <c r="E25">
        <f t="shared" si="0"/>
        <v>11.3098769311197</v>
      </c>
      <c r="F25">
        <f t="shared" si="1"/>
        <v>2.6740032706553282E-2</v>
      </c>
    </row>
    <row r="26" spans="1:6" x14ac:dyDescent="0.2">
      <c r="A26" s="1">
        <v>36892</v>
      </c>
      <c r="B26">
        <v>207682000000</v>
      </c>
      <c r="C26">
        <v>7.63</v>
      </c>
      <c r="D26">
        <v>1.2396694214876103E-2</v>
      </c>
      <c r="E26">
        <f t="shared" si="0"/>
        <v>11.31204813905889</v>
      </c>
      <c r="F26">
        <f t="shared" si="1"/>
        <v>2.6582621891504288E-2</v>
      </c>
    </row>
    <row r="27" spans="1:6" x14ac:dyDescent="0.2">
      <c r="A27" s="1">
        <v>36923</v>
      </c>
      <c r="B27">
        <v>213020000000</v>
      </c>
      <c r="C27">
        <v>7.6</v>
      </c>
      <c r="D27">
        <v>1.2362637362637541E-2</v>
      </c>
      <c r="E27">
        <f t="shared" si="0"/>
        <v>11.323084271802935</v>
      </c>
      <c r="F27">
        <f t="shared" si="1"/>
        <v>2.6476162784356074E-2</v>
      </c>
    </row>
    <row r="28" spans="1:6" x14ac:dyDescent="0.2">
      <c r="A28" s="1">
        <v>36951</v>
      </c>
      <c r="B28">
        <v>215308000000</v>
      </c>
      <c r="C28">
        <v>7.47</v>
      </c>
      <c r="D28">
        <v>1.2328767123287676E-2</v>
      </c>
      <c r="E28">
        <f t="shared" si="0"/>
        <v>11.327738588526859</v>
      </c>
      <c r="F28">
        <f t="shared" si="1"/>
        <v>2.5965670602628301E-2</v>
      </c>
    </row>
    <row r="29" spans="1:6" x14ac:dyDescent="0.2">
      <c r="A29" s="1">
        <v>36982</v>
      </c>
      <c r="B29">
        <v>217144000000</v>
      </c>
      <c r="C29">
        <v>7.36</v>
      </c>
      <c r="D29">
        <v>1.5006821282401273E-2</v>
      </c>
      <c r="E29">
        <f t="shared" si="0"/>
        <v>11.33027887278018</v>
      </c>
      <c r="F29">
        <f t="shared" si="1"/>
        <v>2.4373541920165939E-2</v>
      </c>
    </row>
    <row r="30" spans="1:6" x14ac:dyDescent="0.2">
      <c r="A30" s="1">
        <v>37012</v>
      </c>
      <c r="B30">
        <v>219760000000</v>
      </c>
      <c r="C30">
        <v>7.31</v>
      </c>
      <c r="D30">
        <v>1.9047619047619202E-2</v>
      </c>
      <c r="E30">
        <f t="shared" si="0"/>
        <v>11.333754167797235</v>
      </c>
      <c r="F30">
        <f t="shared" si="1"/>
        <v>2.2445716253360368E-2</v>
      </c>
    </row>
    <row r="31" spans="1:6" x14ac:dyDescent="0.2">
      <c r="A31" s="1">
        <v>37043</v>
      </c>
      <c r="B31">
        <v>218056000000</v>
      </c>
      <c r="C31">
        <v>7.14</v>
      </c>
      <c r="D31">
        <v>1.9021739130434812E-2</v>
      </c>
      <c r="E31">
        <f t="shared" si="0"/>
        <v>11.330384592109066</v>
      </c>
      <c r="F31">
        <f t="shared" si="1"/>
        <v>2.1768192982639305E-2</v>
      </c>
    </row>
    <row r="32" spans="1:6" x14ac:dyDescent="0.2">
      <c r="A32" s="1">
        <v>37073</v>
      </c>
      <c r="B32">
        <v>222189000000</v>
      </c>
      <c r="C32">
        <v>7.03</v>
      </c>
      <c r="D32">
        <v>1.6371077762619368E-2</v>
      </c>
      <c r="E32">
        <f t="shared" si="0"/>
        <v>11.339670256238668</v>
      </c>
      <c r="F32">
        <f t="shared" si="1"/>
        <v>2.2453227319412079E-2</v>
      </c>
    </row>
    <row r="33" spans="1:6" x14ac:dyDescent="0.2">
      <c r="A33" s="1">
        <v>37104</v>
      </c>
      <c r="B33">
        <v>223214000000</v>
      </c>
      <c r="C33">
        <v>7.01</v>
      </c>
      <c r="D33">
        <v>2.0463847203274321E-2</v>
      </c>
      <c r="E33">
        <f t="shared" si="0"/>
        <v>11.339923806881229</v>
      </c>
      <c r="F33">
        <f t="shared" si="1"/>
        <v>2.0626740834682977E-2</v>
      </c>
    </row>
    <row r="34" spans="1:6" x14ac:dyDescent="0.2">
      <c r="A34" s="1">
        <v>37135</v>
      </c>
      <c r="B34">
        <v>225418000000</v>
      </c>
      <c r="C34">
        <v>6.86</v>
      </c>
      <c r="D34">
        <v>1.6260162601626105E-2</v>
      </c>
      <c r="E34">
        <f t="shared" si="0"/>
        <v>11.345983690658526</v>
      </c>
      <c r="F34">
        <f t="shared" si="1"/>
        <v>2.1810268278228667E-2</v>
      </c>
    </row>
    <row r="35" spans="1:6" x14ac:dyDescent="0.2">
      <c r="A35" s="1">
        <v>37165</v>
      </c>
      <c r="B35">
        <v>229248000000</v>
      </c>
      <c r="C35">
        <v>6.7</v>
      </c>
      <c r="D35">
        <v>1.4905149051490652E-2</v>
      </c>
      <c r="E35">
        <f t="shared" si="0"/>
        <v>11.353880099620476</v>
      </c>
      <c r="F35">
        <f t="shared" si="1"/>
        <v>2.1738963548044901E-2</v>
      </c>
    </row>
    <row r="36" spans="1:6" x14ac:dyDescent="0.2">
      <c r="A36" s="1">
        <v>37196</v>
      </c>
      <c r="B36">
        <v>229664000000</v>
      </c>
      <c r="C36">
        <v>6.5</v>
      </c>
      <c r="D36">
        <v>1.2162162162162149E-2</v>
      </c>
      <c r="E36">
        <f t="shared" si="0"/>
        <v>11.355842826583732</v>
      </c>
      <c r="F36">
        <f t="shared" si="1"/>
        <v>2.2099509806266231E-2</v>
      </c>
    </row>
    <row r="37" spans="1:6" x14ac:dyDescent="0.2">
      <c r="A37" s="1">
        <v>37226</v>
      </c>
      <c r="B37">
        <v>229505000000</v>
      </c>
      <c r="C37">
        <v>6.16</v>
      </c>
      <c r="D37">
        <v>1.3513513513513598E-2</v>
      </c>
      <c r="E37">
        <f t="shared" si="0"/>
        <v>11.354962607862907</v>
      </c>
      <c r="F37">
        <f t="shared" si="1"/>
        <v>2.0131366195655247E-2</v>
      </c>
    </row>
    <row r="38" spans="1:6" x14ac:dyDescent="0.2">
      <c r="A38" s="1">
        <v>37257</v>
      </c>
      <c r="B38">
        <v>226982000000</v>
      </c>
      <c r="C38">
        <v>6</v>
      </c>
      <c r="D38">
        <v>1.7687074829932037E-2</v>
      </c>
      <c r="E38">
        <f t="shared" si="0"/>
        <v>11.348377159599519</v>
      </c>
      <c r="F38">
        <f t="shared" si="1"/>
        <v>1.7691606484503755E-2</v>
      </c>
    </row>
    <row r="39" spans="1:6" x14ac:dyDescent="0.2">
      <c r="A39" s="1">
        <v>37288</v>
      </c>
      <c r="B39">
        <v>227961000000</v>
      </c>
      <c r="C39">
        <v>5.91</v>
      </c>
      <c r="D39">
        <v>1.7639077340569909E-2</v>
      </c>
      <c r="E39">
        <f t="shared" si="0"/>
        <v>11.350266777899559</v>
      </c>
      <c r="F39">
        <f t="shared" si="1"/>
        <v>1.7343192504794935E-2</v>
      </c>
    </row>
    <row r="40" spans="1:6" x14ac:dyDescent="0.2">
      <c r="A40" s="1">
        <v>37316</v>
      </c>
      <c r="B40">
        <v>228229000000</v>
      </c>
      <c r="C40">
        <v>5.86</v>
      </c>
      <c r="D40">
        <v>1.7591339648173276E-2</v>
      </c>
      <c r="E40">
        <f t="shared" si="0"/>
        <v>11.350797425176248</v>
      </c>
      <c r="F40">
        <f t="shared" si="1"/>
        <v>1.715848745843249E-2</v>
      </c>
    </row>
    <row r="41" spans="1:6" x14ac:dyDescent="0.2">
      <c r="A41" s="1">
        <v>37347</v>
      </c>
      <c r="B41">
        <v>229275000000</v>
      </c>
      <c r="C41">
        <v>5.88</v>
      </c>
      <c r="D41">
        <v>1.612903225806428E-2</v>
      </c>
      <c r="E41">
        <f t="shared" si="0"/>
        <v>11.353407842162461</v>
      </c>
      <c r="F41">
        <f t="shared" si="1"/>
        <v>1.7865072673982831E-2</v>
      </c>
    </row>
    <row r="42" spans="1:6" x14ac:dyDescent="0.2">
      <c r="A42" s="1">
        <v>37377</v>
      </c>
      <c r="B42">
        <v>228825000000</v>
      </c>
      <c r="C42">
        <v>5.88</v>
      </c>
      <c r="D42">
        <v>1.2016021361815676E-2</v>
      </c>
      <c r="E42">
        <f t="shared" si="0"/>
        <v>11.354316083101519</v>
      </c>
      <c r="F42">
        <f t="shared" si="1"/>
        <v>1.9626544696723539E-2</v>
      </c>
    </row>
    <row r="43" spans="1:6" x14ac:dyDescent="0.2">
      <c r="A43" s="1">
        <v>37408</v>
      </c>
      <c r="B43">
        <v>233070000000</v>
      </c>
      <c r="C43">
        <v>5.89</v>
      </c>
      <c r="D43">
        <v>1.0666666666666602E-2</v>
      </c>
      <c r="E43">
        <f t="shared" si="0"/>
        <v>11.362878433927433</v>
      </c>
      <c r="F43">
        <f t="shared" si="1"/>
        <v>2.0247006064664341E-2</v>
      </c>
    </row>
    <row r="44" spans="1:6" x14ac:dyDescent="0.2">
      <c r="A44" s="1">
        <v>37438</v>
      </c>
      <c r="B44">
        <v>234848000000</v>
      </c>
      <c r="C44">
        <v>5.88</v>
      </c>
      <c r="D44">
        <v>1.4765100671140896E-2</v>
      </c>
      <c r="E44">
        <f t="shared" si="0"/>
        <v>11.364421343266621</v>
      </c>
      <c r="F44">
        <f t="shared" si="1"/>
        <v>1.8448409876396933E-2</v>
      </c>
    </row>
    <row r="45" spans="1:6" x14ac:dyDescent="0.2">
      <c r="A45" s="1">
        <v>37469</v>
      </c>
      <c r="B45">
        <v>235959000000</v>
      </c>
      <c r="C45">
        <v>5.85</v>
      </c>
      <c r="D45">
        <v>1.3368983957219305E-2</v>
      </c>
      <c r="E45">
        <f t="shared" si="0"/>
        <v>11.367068939182806</v>
      </c>
      <c r="F45">
        <f t="shared" si="1"/>
        <v>1.8923254587838619E-2</v>
      </c>
    </row>
    <row r="46" spans="1:6" x14ac:dyDescent="0.2">
      <c r="A46" s="1">
        <v>37500</v>
      </c>
      <c r="B46">
        <v>239157000000</v>
      </c>
      <c r="C46">
        <v>5.86</v>
      </c>
      <c r="D46">
        <v>1.3333333333333419E-2</v>
      </c>
      <c r="E46">
        <f t="shared" si="0"/>
        <v>11.37293076807671</v>
      </c>
      <c r="F46">
        <f t="shared" si="1"/>
        <v>1.8979560766157682E-2</v>
      </c>
    </row>
    <row r="47" spans="1:6" x14ac:dyDescent="0.2">
      <c r="A47" s="1">
        <v>37530</v>
      </c>
      <c r="B47">
        <v>241848000000</v>
      </c>
      <c r="C47">
        <v>5.86</v>
      </c>
      <c r="D47">
        <v>1.6021361815754087E-2</v>
      </c>
      <c r="E47">
        <f t="shared" si="0"/>
        <v>11.376639661201827</v>
      </c>
      <c r="F47">
        <f t="shared" si="1"/>
        <v>1.7829050584142764E-2</v>
      </c>
    </row>
    <row r="48" spans="1:6" x14ac:dyDescent="0.2">
      <c r="A48" s="1">
        <v>37561</v>
      </c>
      <c r="B48">
        <v>247168000000</v>
      </c>
      <c r="C48">
        <v>5.86</v>
      </c>
      <c r="D48">
        <v>1.6021361815754087E-2</v>
      </c>
      <c r="E48">
        <f t="shared" si="0"/>
        <v>11.386089404356158</v>
      </c>
      <c r="F48">
        <f t="shared" si="1"/>
        <v>1.7829050584142764E-2</v>
      </c>
    </row>
    <row r="49" spans="1:6" x14ac:dyDescent="0.2">
      <c r="A49" s="1">
        <v>37591</v>
      </c>
      <c r="B49">
        <v>249499000000</v>
      </c>
      <c r="C49">
        <v>5.85</v>
      </c>
      <c r="D49">
        <v>1.7333333333333201E-2</v>
      </c>
      <c r="E49">
        <f t="shared" si="0"/>
        <v>11.389605534733494</v>
      </c>
      <c r="F49">
        <f t="shared" si="1"/>
        <v>1.7227587792250473E-2</v>
      </c>
    </row>
    <row r="50" spans="1:6" x14ac:dyDescent="0.2">
      <c r="A50" s="1">
        <v>37622</v>
      </c>
      <c r="B50">
        <v>251342000000</v>
      </c>
      <c r="C50">
        <v>5.87</v>
      </c>
      <c r="D50">
        <v>1.4705882352941346E-2</v>
      </c>
      <c r="E50">
        <f t="shared" si="0"/>
        <v>11.393924888532688</v>
      </c>
      <c r="F50">
        <f t="shared" si="1"/>
        <v>1.8432735048612581E-2</v>
      </c>
    </row>
    <row r="51" spans="1:6" x14ac:dyDescent="0.2">
      <c r="A51" s="1">
        <v>37653</v>
      </c>
      <c r="B51">
        <v>253253000000</v>
      </c>
      <c r="C51">
        <v>5.83</v>
      </c>
      <c r="D51">
        <v>1.4666666666666606E-2</v>
      </c>
      <c r="E51">
        <f t="shared" si="0"/>
        <v>11.397231205276263</v>
      </c>
      <c r="F51">
        <f t="shared" si="1"/>
        <v>1.8285402747685153E-2</v>
      </c>
    </row>
    <row r="52" spans="1:6" x14ac:dyDescent="0.2">
      <c r="A52" s="1">
        <v>37681</v>
      </c>
      <c r="B52">
        <v>254578000000</v>
      </c>
      <c r="C52">
        <v>5.7</v>
      </c>
      <c r="D52">
        <v>1.5957446808510634E-2</v>
      </c>
      <c r="E52">
        <f t="shared" si="0"/>
        <v>11.398945352302061</v>
      </c>
      <c r="F52">
        <f t="shared" si="1"/>
        <v>1.7199469323378607E-2</v>
      </c>
    </row>
    <row r="53" spans="1:6" x14ac:dyDescent="0.2">
      <c r="A53" s="1">
        <v>37712</v>
      </c>
      <c r="B53">
        <v>255249000000</v>
      </c>
      <c r="C53">
        <v>5.62</v>
      </c>
      <c r="D53">
        <v>1.5873015873015817E-2</v>
      </c>
      <c r="E53">
        <f t="shared" si="0"/>
        <v>11.40012462477778</v>
      </c>
      <c r="F53">
        <f t="shared" si="1"/>
        <v>1.6906738622170611E-2</v>
      </c>
    </row>
    <row r="54" spans="1:6" x14ac:dyDescent="0.2">
      <c r="A54" s="1">
        <v>37742</v>
      </c>
      <c r="B54">
        <v>257549000000</v>
      </c>
      <c r="C54">
        <v>5.65</v>
      </c>
      <c r="D54">
        <v>1.3192612137203241E-2</v>
      </c>
      <c r="E54">
        <f t="shared" si="0"/>
        <v>11.405167853560782</v>
      </c>
      <c r="F54">
        <f t="shared" si="1"/>
        <v>1.8177486988873649E-2</v>
      </c>
    </row>
    <row r="55" spans="1:6" x14ac:dyDescent="0.2">
      <c r="A55" s="1">
        <v>37773</v>
      </c>
      <c r="B55">
        <v>260086000000</v>
      </c>
      <c r="C55">
        <v>5.57</v>
      </c>
      <c r="D55">
        <v>1.1873350923482962E-2</v>
      </c>
      <c r="E55">
        <f t="shared" si="0"/>
        <v>11.409990817153128</v>
      </c>
      <c r="F55">
        <f t="shared" si="1"/>
        <v>1.8414363237926678E-2</v>
      </c>
    </row>
    <row r="56" spans="1:6" x14ac:dyDescent="0.2">
      <c r="A56" s="1">
        <v>37803</v>
      </c>
      <c r="B56">
        <v>261237000000</v>
      </c>
      <c r="C56">
        <v>5.6</v>
      </c>
      <c r="D56">
        <v>1.3227513227513255E-2</v>
      </c>
      <c r="E56">
        <f t="shared" si="0"/>
        <v>11.411327713624116</v>
      </c>
      <c r="F56">
        <f t="shared" si="1"/>
        <v>1.795694406639604E-2</v>
      </c>
    </row>
    <row r="57" spans="1:6" x14ac:dyDescent="0.2">
      <c r="A57" s="1">
        <v>37834</v>
      </c>
      <c r="B57">
        <v>259568000000</v>
      </c>
      <c r="C57">
        <v>5.52</v>
      </c>
      <c r="D57">
        <v>1.3192612137203241E-2</v>
      </c>
      <c r="E57">
        <f t="shared" si="0"/>
        <v>11.408559136440601</v>
      </c>
      <c r="F57">
        <f t="shared" si="1"/>
        <v>1.7642768138850375E-2</v>
      </c>
    </row>
    <row r="58" spans="1:6" x14ac:dyDescent="0.2">
      <c r="A58" s="1">
        <v>37865</v>
      </c>
      <c r="B58">
        <v>259840000000</v>
      </c>
      <c r="C58">
        <v>5.43</v>
      </c>
      <c r="D58">
        <v>1.3157894736842035E-2</v>
      </c>
      <c r="E58">
        <f t="shared" si="0"/>
        <v>11.40902887466939</v>
      </c>
      <c r="F58">
        <f t="shared" si="1"/>
        <v>1.7287073626302326E-2</v>
      </c>
    </row>
    <row r="59" spans="1:6" x14ac:dyDescent="0.2">
      <c r="A59" s="1">
        <v>37895</v>
      </c>
      <c r="B59">
        <v>259819000000</v>
      </c>
      <c r="C59">
        <v>5.45</v>
      </c>
      <c r="D59">
        <v>1.3140604467805517E-2</v>
      </c>
      <c r="E59">
        <f t="shared" si="0"/>
        <v>11.409001185631523</v>
      </c>
      <c r="F59">
        <f t="shared" si="1"/>
        <v>1.7376862795121031E-2</v>
      </c>
    </row>
    <row r="60" spans="1:6" x14ac:dyDescent="0.2">
      <c r="A60" s="1">
        <v>37926</v>
      </c>
      <c r="B60">
        <v>260086000000</v>
      </c>
      <c r="C60">
        <v>5.48</v>
      </c>
      <c r="D60">
        <v>1.3140604467805517E-2</v>
      </c>
      <c r="E60">
        <f t="shared" si="0"/>
        <v>11.40944725418967</v>
      </c>
      <c r="F60">
        <f t="shared" si="1"/>
        <v>1.75003998410126E-2</v>
      </c>
    </row>
    <row r="61" spans="1:6" x14ac:dyDescent="0.2">
      <c r="A61" s="1">
        <v>37956</v>
      </c>
      <c r="B61">
        <v>262262000000</v>
      </c>
      <c r="C61">
        <v>5.58</v>
      </c>
      <c r="D61">
        <v>1.3106159895150737E-2</v>
      </c>
      <c r="E61">
        <f t="shared" si="0"/>
        <v>11.413080412835619</v>
      </c>
      <c r="F61">
        <f t="shared" si="1"/>
        <v>1.7926701701495209E-2</v>
      </c>
    </row>
    <row r="62" spans="1:6" x14ac:dyDescent="0.2">
      <c r="A62" s="1">
        <v>37987</v>
      </c>
      <c r="B62">
        <v>261282000000</v>
      </c>
      <c r="C62">
        <v>5.64</v>
      </c>
      <c r="D62">
        <v>1.4492753623188248E-2</v>
      </c>
      <c r="E62">
        <f t="shared" si="0"/>
        <v>11.410860542463569</v>
      </c>
      <c r="F62">
        <f t="shared" si="1"/>
        <v>1.7579443257885029E-2</v>
      </c>
    </row>
    <row r="63" spans="1:6" x14ac:dyDescent="0.2">
      <c r="A63" s="1">
        <v>38018</v>
      </c>
      <c r="B63">
        <v>265844000000</v>
      </c>
      <c r="C63">
        <v>5.44</v>
      </c>
      <c r="D63">
        <v>1.4454664914586246E-2</v>
      </c>
      <c r="E63">
        <f t="shared" si="0"/>
        <v>11.418394219331049</v>
      </c>
      <c r="F63">
        <f t="shared" si="1"/>
        <v>1.6772753684771251E-2</v>
      </c>
    </row>
    <row r="64" spans="1:6" x14ac:dyDescent="0.2">
      <c r="A64" s="1">
        <v>38047</v>
      </c>
      <c r="B64">
        <v>268395000000</v>
      </c>
      <c r="C64">
        <v>5.61</v>
      </c>
      <c r="D64">
        <v>1.1780104712041828E-2</v>
      </c>
      <c r="E64">
        <f t="shared" si="0"/>
        <v>11.423688285645245</v>
      </c>
      <c r="F64">
        <f t="shared" si="1"/>
        <v>1.8618907279402394E-2</v>
      </c>
    </row>
    <row r="65" spans="1:6" x14ac:dyDescent="0.2">
      <c r="A65" s="1">
        <v>38078</v>
      </c>
      <c r="B65">
        <v>264781000000</v>
      </c>
      <c r="C65">
        <v>5.77</v>
      </c>
      <c r="D65">
        <v>1.0416666666666741E-2</v>
      </c>
      <c r="E65">
        <f t="shared" si="0"/>
        <v>11.418386316809846</v>
      </c>
      <c r="F65">
        <f t="shared" si="1"/>
        <v>1.9862003126605753E-2</v>
      </c>
    </row>
    <row r="66" spans="1:6" x14ac:dyDescent="0.2">
      <c r="A66" s="1">
        <v>38108</v>
      </c>
      <c r="B66">
        <v>267186000000</v>
      </c>
      <c r="C66">
        <v>5.78</v>
      </c>
      <c r="D66">
        <v>1.4322916666666741E-2</v>
      </c>
      <c r="E66">
        <f t="shared" si="0"/>
        <v>11.420637460615911</v>
      </c>
      <c r="F66">
        <f t="shared" si="1"/>
        <v>1.8227325041913236E-2</v>
      </c>
    </row>
    <row r="67" spans="1:6" x14ac:dyDescent="0.2">
      <c r="A67" s="1">
        <v>38139</v>
      </c>
      <c r="B67">
        <v>269391000000</v>
      </c>
      <c r="C67">
        <v>5.92</v>
      </c>
      <c r="D67">
        <v>1.5645371577575062E-2</v>
      </c>
      <c r="E67">
        <f t="shared" si="0"/>
        <v>11.423640988696688</v>
      </c>
      <c r="F67">
        <f t="shared" si="1"/>
        <v>1.8235878372041145E-2</v>
      </c>
    </row>
    <row r="68" spans="1:6" x14ac:dyDescent="0.2">
      <c r="A68" s="1">
        <v>38169</v>
      </c>
      <c r="B68">
        <v>269500000000</v>
      </c>
      <c r="C68">
        <v>5.97</v>
      </c>
      <c r="D68">
        <v>1.4360313315926909E-2</v>
      </c>
      <c r="E68">
        <f t="shared" ref="E68:E131" si="2">LOG(B68/(1+D68))</f>
        <v>11.424366520354447</v>
      </c>
      <c r="F68">
        <f t="shared" ref="F68:F131" si="3">LOG((1+C68/100)/(1+D68))</f>
        <v>1.8990685167138883E-2</v>
      </c>
    </row>
    <row r="69" spans="1:6" x14ac:dyDescent="0.2">
      <c r="A69" s="1">
        <v>38200</v>
      </c>
      <c r="B69">
        <v>273802000000</v>
      </c>
      <c r="C69">
        <v>6.22</v>
      </c>
      <c r="D69">
        <v>1.4322916666666741E-2</v>
      </c>
      <c r="E69">
        <f t="shared" si="2"/>
        <v>11.431260378493629</v>
      </c>
      <c r="F69">
        <f t="shared" si="3"/>
        <v>2.0030059442065904E-2</v>
      </c>
    </row>
    <row r="70" spans="1:6" x14ac:dyDescent="0.2">
      <c r="A70" s="1">
        <v>38231</v>
      </c>
      <c r="B70">
        <v>273351000000</v>
      </c>
      <c r="C70">
        <v>6.34</v>
      </c>
      <c r="D70">
        <v>1.1688311688311748E-2</v>
      </c>
      <c r="E70">
        <f t="shared" si="2"/>
        <v>11.431673934509961</v>
      </c>
      <c r="F70">
        <f t="shared" si="3"/>
        <v>2.1649923478077072E-2</v>
      </c>
    </row>
    <row r="71" spans="1:6" x14ac:dyDescent="0.2">
      <c r="A71" s="1">
        <v>38261</v>
      </c>
      <c r="B71">
        <v>276675000000</v>
      </c>
      <c r="C71">
        <v>6.4</v>
      </c>
      <c r="D71">
        <v>1.2970168612191912E-2</v>
      </c>
      <c r="E71">
        <f t="shared" si="2"/>
        <v>11.436373262792159</v>
      </c>
      <c r="F71">
        <f t="shared" si="3"/>
        <v>2.1344972132686102E-2</v>
      </c>
    </row>
    <row r="72" spans="1:6" x14ac:dyDescent="0.2">
      <c r="A72" s="1">
        <v>38292</v>
      </c>
      <c r="B72">
        <v>279635000000</v>
      </c>
      <c r="C72">
        <v>6.25</v>
      </c>
      <c r="D72">
        <v>1.5564202334630295E-2</v>
      </c>
      <c r="E72">
        <f t="shared" si="2"/>
        <v>11.439884144138073</v>
      </c>
      <c r="F72">
        <f t="shared" si="3"/>
        <v>1.9621554715362713E-2</v>
      </c>
    </row>
    <row r="73" spans="1:6" x14ac:dyDescent="0.2">
      <c r="A73" s="1">
        <v>38322</v>
      </c>
      <c r="B73">
        <v>276274000000</v>
      </c>
      <c r="C73">
        <v>6.24</v>
      </c>
      <c r="D73">
        <v>1.681759379042691E-2</v>
      </c>
      <c r="E73">
        <f t="shared" si="2"/>
        <v>11.434096963494529</v>
      </c>
      <c r="F73">
        <f t="shared" si="3"/>
        <v>1.9045009902859306E-2</v>
      </c>
    </row>
    <row r="74" spans="1:6" x14ac:dyDescent="0.2">
      <c r="A74" s="1">
        <v>38353</v>
      </c>
      <c r="B74">
        <v>279595000000</v>
      </c>
      <c r="C74">
        <v>6.28</v>
      </c>
      <c r="D74">
        <v>1.6883116883116944E-2</v>
      </c>
      <c r="E74">
        <f t="shared" si="2"/>
        <v>11.439258363765344</v>
      </c>
      <c r="F74">
        <f t="shared" si="3"/>
        <v>1.9180508852778368E-2</v>
      </c>
    </row>
    <row r="75" spans="1:6" x14ac:dyDescent="0.2">
      <c r="A75" s="1">
        <v>38384</v>
      </c>
      <c r="B75">
        <v>287312000000</v>
      </c>
      <c r="C75">
        <v>6.26</v>
      </c>
      <c r="D75">
        <v>1.6839378238342029E-2</v>
      </c>
      <c r="E75">
        <f t="shared" si="2"/>
        <v>11.451101408896555</v>
      </c>
      <c r="F75">
        <f t="shared" si="3"/>
        <v>1.911745516420198E-2</v>
      </c>
    </row>
    <row r="76" spans="1:6" x14ac:dyDescent="0.2">
      <c r="A76" s="1">
        <v>38412</v>
      </c>
      <c r="B76">
        <v>290245000000</v>
      </c>
      <c r="C76">
        <v>6.2</v>
      </c>
      <c r="D76">
        <v>1.9404915912031084E-2</v>
      </c>
      <c r="E76">
        <f t="shared" si="2"/>
        <v>11.454418023388516</v>
      </c>
      <c r="F76">
        <f t="shared" si="3"/>
        <v>1.777779317421984E-2</v>
      </c>
    </row>
    <row r="77" spans="1:6" x14ac:dyDescent="0.2">
      <c r="A77" s="1">
        <v>38443</v>
      </c>
      <c r="B77">
        <v>292087000000</v>
      </c>
      <c r="C77">
        <v>6.27</v>
      </c>
      <c r="D77">
        <v>1.9329896907216426E-2</v>
      </c>
      <c r="E77">
        <f t="shared" si="2"/>
        <v>11.457197465894955</v>
      </c>
      <c r="F77">
        <f t="shared" si="3"/>
        <v>1.8095918339285959E-2</v>
      </c>
    </row>
    <row r="78" spans="1:6" x14ac:dyDescent="0.2">
      <c r="A78" s="1">
        <v>38473</v>
      </c>
      <c r="B78">
        <v>296049000000</v>
      </c>
      <c r="C78">
        <v>6.29</v>
      </c>
      <c r="D78">
        <v>1.9255455712451797E-2</v>
      </c>
      <c r="E78">
        <f t="shared" si="2"/>
        <v>11.46308055369772</v>
      </c>
      <c r="F78">
        <f t="shared" si="3"/>
        <v>1.820936229830784E-2</v>
      </c>
    </row>
    <row r="79" spans="1:6" x14ac:dyDescent="0.2">
      <c r="A79" s="1">
        <v>38504</v>
      </c>
      <c r="B79">
        <v>298295000000</v>
      </c>
      <c r="C79">
        <v>6.28</v>
      </c>
      <c r="D79">
        <v>1.9255455712451797E-2</v>
      </c>
      <c r="E79">
        <f t="shared" si="2"/>
        <v>11.466362929054704</v>
      </c>
      <c r="F79">
        <f t="shared" si="3"/>
        <v>1.8168500983708129E-2</v>
      </c>
    </row>
    <row r="80" spans="1:6" x14ac:dyDescent="0.2">
      <c r="A80" s="1">
        <v>38534</v>
      </c>
      <c r="B80">
        <v>305550000000</v>
      </c>
      <c r="C80">
        <v>6.24</v>
      </c>
      <c r="D80">
        <v>2.316602316602312E-2</v>
      </c>
      <c r="E80">
        <f t="shared" si="2"/>
        <v>11.475136178200289</v>
      </c>
      <c r="F80">
        <f t="shared" si="3"/>
        <v>1.6341952168386312E-2</v>
      </c>
    </row>
    <row r="81" spans="1:6" x14ac:dyDescent="0.2">
      <c r="A81" s="1">
        <v>38565</v>
      </c>
      <c r="B81">
        <v>308935000000</v>
      </c>
      <c r="C81">
        <v>6.18</v>
      </c>
      <c r="D81">
        <v>2.3106546854942289E-2</v>
      </c>
      <c r="E81">
        <f t="shared" si="2"/>
        <v>11.479946249646838</v>
      </c>
      <c r="F81">
        <f t="shared" si="3"/>
        <v>1.6121857281590254E-2</v>
      </c>
    </row>
    <row r="82" spans="1:6" x14ac:dyDescent="0.2">
      <c r="A82" s="1">
        <v>38596</v>
      </c>
      <c r="B82">
        <v>331267000000</v>
      </c>
      <c r="C82">
        <v>6.07</v>
      </c>
      <c r="D82">
        <v>2.5673940949935803E-2</v>
      </c>
      <c r="E82">
        <f t="shared" si="2"/>
        <v>11.509168853052111</v>
      </c>
      <c r="F82">
        <f t="shared" si="3"/>
        <v>1.4583247210246734E-2</v>
      </c>
    </row>
    <row r="83" spans="1:6" x14ac:dyDescent="0.2">
      <c r="A83" s="1">
        <v>38626</v>
      </c>
      <c r="B83">
        <v>336728000000</v>
      </c>
      <c r="C83">
        <v>6.01</v>
      </c>
      <c r="D83">
        <v>2.4327784891165161E-2</v>
      </c>
      <c r="E83">
        <f t="shared" si="2"/>
        <v>11.516840277737057</v>
      </c>
      <c r="F83">
        <f t="shared" si="3"/>
        <v>1.490788139518389E-2</v>
      </c>
    </row>
    <row r="84" spans="1:6" x14ac:dyDescent="0.2">
      <c r="A84" s="1">
        <v>38657</v>
      </c>
      <c r="B84">
        <v>338696000000</v>
      </c>
      <c r="C84">
        <v>5.96</v>
      </c>
      <c r="D84">
        <v>2.1711366538952781E-2</v>
      </c>
      <c r="E84">
        <f t="shared" si="2"/>
        <v>11.520481842722777</v>
      </c>
      <c r="F84">
        <f t="shared" si="3"/>
        <v>1.5813724691193246E-2</v>
      </c>
    </row>
    <row r="85" spans="1:6" x14ac:dyDescent="0.2">
      <c r="A85" s="1">
        <v>38687</v>
      </c>
      <c r="B85">
        <v>340967000000</v>
      </c>
      <c r="C85">
        <v>5.96</v>
      </c>
      <c r="D85">
        <v>2.1628498727735312E-2</v>
      </c>
      <c r="E85">
        <f t="shared" si="2"/>
        <v>11.523419349221207</v>
      </c>
      <c r="F85">
        <f t="shared" si="3"/>
        <v>1.5848950385920414E-2</v>
      </c>
    </row>
    <row r="86" spans="1:6" x14ac:dyDescent="0.2">
      <c r="A86" s="1">
        <v>38718</v>
      </c>
      <c r="B86">
        <v>338790000000</v>
      </c>
      <c r="C86">
        <v>6.1</v>
      </c>
      <c r="D86">
        <v>2.1711366538952781E-2</v>
      </c>
      <c r="E86">
        <f t="shared" si="2"/>
        <v>11.520602357926224</v>
      </c>
      <c r="F86">
        <f t="shared" si="3"/>
        <v>1.638715896734046E-2</v>
      </c>
    </row>
    <row r="87" spans="1:6" x14ac:dyDescent="0.2">
      <c r="A87" s="1">
        <v>38749</v>
      </c>
      <c r="B87">
        <v>346430000000</v>
      </c>
      <c r="C87">
        <v>6.11</v>
      </c>
      <c r="D87">
        <v>2.1656050955414008E-2</v>
      </c>
      <c r="E87">
        <f t="shared" si="2"/>
        <v>11.530310782286502</v>
      </c>
      <c r="F87">
        <f t="shared" si="3"/>
        <v>1.6451602995503068E-2</v>
      </c>
    </row>
    <row r="88" spans="1:6" x14ac:dyDescent="0.2">
      <c r="A88" s="1">
        <v>38777</v>
      </c>
      <c r="B88">
        <v>347496000000</v>
      </c>
      <c r="C88">
        <v>6.09</v>
      </c>
      <c r="D88">
        <v>2.0304568527918843E-2</v>
      </c>
      <c r="E88">
        <f t="shared" si="2"/>
        <v>11.532219978565292</v>
      </c>
      <c r="F88">
        <f t="shared" si="3"/>
        <v>1.6944618151448439E-2</v>
      </c>
    </row>
    <row r="89" spans="1:6" x14ac:dyDescent="0.2">
      <c r="A89" s="1">
        <v>38808</v>
      </c>
      <c r="B89">
        <v>352559000000</v>
      </c>
      <c r="C89">
        <v>6.06</v>
      </c>
      <c r="D89">
        <v>2.2756005056890238E-2</v>
      </c>
      <c r="E89">
        <f t="shared" si="2"/>
        <v>11.537459767554109</v>
      </c>
      <c r="F89">
        <f t="shared" si="3"/>
        <v>1.5779584667948023E-2</v>
      </c>
    </row>
    <row r="90" spans="1:6" x14ac:dyDescent="0.2">
      <c r="A90" s="1">
        <v>38838</v>
      </c>
      <c r="B90">
        <v>357352000000</v>
      </c>
      <c r="C90">
        <v>6.08</v>
      </c>
      <c r="D90">
        <v>2.3929471032745564E-2</v>
      </c>
      <c r="E90">
        <f t="shared" si="2"/>
        <v>11.542826173902739</v>
      </c>
      <c r="F90">
        <f t="shared" si="3"/>
        <v>1.5363467893726045E-2</v>
      </c>
    </row>
    <row r="91" spans="1:6" x14ac:dyDescent="0.2">
      <c r="A91" s="1">
        <v>38869</v>
      </c>
      <c r="B91">
        <v>361181000000</v>
      </c>
      <c r="C91">
        <v>6.09</v>
      </c>
      <c r="D91">
        <v>2.6448362720402852E-2</v>
      </c>
      <c r="E91">
        <f t="shared" si="2"/>
        <v>11.546387789779887</v>
      </c>
      <c r="F91">
        <f t="shared" si="3"/>
        <v>1.4337343097464103E-2</v>
      </c>
    </row>
    <row r="92" spans="1:6" x14ac:dyDescent="0.2">
      <c r="A92" s="1">
        <v>38899</v>
      </c>
      <c r="B92">
        <v>366642000000</v>
      </c>
      <c r="C92">
        <v>6.09</v>
      </c>
      <c r="D92">
        <v>2.515723270440251E-2</v>
      </c>
      <c r="E92">
        <f t="shared" si="2"/>
        <v>11.553451733198049</v>
      </c>
      <c r="F92">
        <f t="shared" si="3"/>
        <v>1.48839693268381E-2</v>
      </c>
    </row>
    <row r="93" spans="1:6" x14ac:dyDescent="0.2">
      <c r="A93" s="1">
        <v>38930</v>
      </c>
      <c r="B93">
        <v>376101000000</v>
      </c>
      <c r="C93">
        <v>6.14</v>
      </c>
      <c r="D93">
        <v>2.6348808030112858E-2</v>
      </c>
      <c r="E93">
        <f t="shared" si="2"/>
        <v>11.56400950587706</v>
      </c>
      <c r="F93">
        <f t="shared" si="3"/>
        <v>1.4584101018156064E-2</v>
      </c>
    </row>
    <row r="94" spans="1:6" x14ac:dyDescent="0.2">
      <c r="A94" s="1">
        <v>38961</v>
      </c>
      <c r="B94">
        <v>380290000000</v>
      </c>
      <c r="C94">
        <v>6.26</v>
      </c>
      <c r="D94">
        <v>2.5031289111389299E-2</v>
      </c>
      <c r="E94">
        <f t="shared" si="2"/>
        <v>11.569377783028477</v>
      </c>
      <c r="F94">
        <f t="shared" si="3"/>
        <v>1.5632689127291228E-2</v>
      </c>
    </row>
    <row r="95" spans="1:6" x14ac:dyDescent="0.2">
      <c r="A95" s="1">
        <v>38991</v>
      </c>
      <c r="B95">
        <v>386227000000</v>
      </c>
      <c r="C95">
        <v>6.29</v>
      </c>
      <c r="D95">
        <v>2.4999999999999911E-2</v>
      </c>
      <c r="E95">
        <f t="shared" si="2"/>
        <v>11.57611876536993</v>
      </c>
      <c r="F95">
        <f t="shared" si="3"/>
        <v>1.5768541661066584E-2</v>
      </c>
    </row>
    <row r="96" spans="1:6" x14ac:dyDescent="0.2">
      <c r="A96" s="1">
        <v>39022</v>
      </c>
      <c r="B96">
        <v>386493000000</v>
      </c>
      <c r="C96">
        <v>6.35</v>
      </c>
      <c r="D96">
        <v>2.750000000000008E-2</v>
      </c>
      <c r="E96">
        <f t="shared" si="2"/>
        <v>11.575359802016965</v>
      </c>
      <c r="F96">
        <f t="shared" si="3"/>
        <v>1.4955663690640933E-2</v>
      </c>
    </row>
    <row r="97" spans="1:6" x14ac:dyDescent="0.2">
      <c r="A97" s="1">
        <v>39052</v>
      </c>
      <c r="B97">
        <v>389826000000</v>
      </c>
      <c r="C97">
        <v>6.48</v>
      </c>
      <c r="D97">
        <v>2.8642590286425795E-2</v>
      </c>
      <c r="E97">
        <f t="shared" si="2"/>
        <v>11.578606299594608</v>
      </c>
      <c r="F97">
        <f t="shared" si="3"/>
        <v>1.5003540424917486E-2</v>
      </c>
    </row>
    <row r="98" spans="1:6" x14ac:dyDescent="0.2">
      <c r="A98" s="1">
        <v>39083</v>
      </c>
      <c r="B98">
        <v>392598000000</v>
      </c>
      <c r="C98">
        <v>6.55</v>
      </c>
      <c r="D98">
        <v>2.6249999999999885E-2</v>
      </c>
      <c r="E98">
        <f t="shared" si="2"/>
        <v>11.582694912729011</v>
      </c>
      <c r="F98">
        <f t="shared" si="3"/>
        <v>1.6300283922723695E-2</v>
      </c>
    </row>
    <row r="99" spans="1:6" x14ac:dyDescent="0.2">
      <c r="A99" s="1">
        <v>39114</v>
      </c>
      <c r="B99">
        <v>396373000000</v>
      </c>
      <c r="C99">
        <v>6.6</v>
      </c>
      <c r="D99">
        <v>2.7431421446383997E-2</v>
      </c>
      <c r="E99">
        <f t="shared" si="2"/>
        <v>11.586351220285314</v>
      </c>
      <c r="F99">
        <f t="shared" si="3"/>
        <v>1.6004361277601246E-2</v>
      </c>
    </row>
    <row r="100" spans="1:6" x14ac:dyDescent="0.2">
      <c r="A100" s="1">
        <v>39142</v>
      </c>
      <c r="B100">
        <v>399785000000</v>
      </c>
      <c r="C100">
        <v>6.7</v>
      </c>
      <c r="D100">
        <v>2.9850746268656581E-2</v>
      </c>
      <c r="E100">
        <f t="shared" si="2"/>
        <v>11.589052207249827</v>
      </c>
      <c r="F100">
        <f t="shared" si="3"/>
        <v>1.5390131388041042E-2</v>
      </c>
    </row>
    <row r="101" spans="1:6" x14ac:dyDescent="0.2">
      <c r="A101" s="1">
        <v>39173</v>
      </c>
      <c r="B101">
        <v>403749000000</v>
      </c>
      <c r="C101">
        <v>6.68</v>
      </c>
      <c r="D101">
        <v>2.7194066749072876E-2</v>
      </c>
      <c r="E101">
        <f t="shared" si="2"/>
        <v>11.594458957514021</v>
      </c>
      <c r="F101">
        <f t="shared" si="3"/>
        <v>1.6430504845999869E-2</v>
      </c>
    </row>
    <row r="102" spans="1:6" x14ac:dyDescent="0.2">
      <c r="A102" s="1">
        <v>39203</v>
      </c>
      <c r="B102">
        <v>409912000000</v>
      </c>
      <c r="C102">
        <v>6.8</v>
      </c>
      <c r="D102">
        <v>2.4600246002460135E-2</v>
      </c>
      <c r="E102">
        <f t="shared" si="2"/>
        <v>11.602136176476701</v>
      </c>
      <c r="F102">
        <f t="shared" si="3"/>
        <v>1.8016796879818161E-2</v>
      </c>
    </row>
    <row r="103" spans="1:6" x14ac:dyDescent="0.2">
      <c r="A103" s="1">
        <v>39234</v>
      </c>
      <c r="B103">
        <v>414317000000</v>
      </c>
      <c r="C103">
        <v>6.83</v>
      </c>
      <c r="D103">
        <v>2.4539877300613577E-2</v>
      </c>
      <c r="E103">
        <f t="shared" si="2"/>
        <v>11.606803886623997</v>
      </c>
      <c r="F103">
        <f t="shared" si="3"/>
        <v>1.8164361650290634E-2</v>
      </c>
    </row>
    <row r="104" spans="1:6" x14ac:dyDescent="0.2">
      <c r="A104" s="1">
        <v>39264</v>
      </c>
      <c r="B104">
        <v>419091000000</v>
      </c>
      <c r="C104">
        <v>6.88</v>
      </c>
      <c r="D104">
        <v>1.9631901840490684E-2</v>
      </c>
      <c r="E104">
        <f t="shared" si="2"/>
        <v>11.613864919394324</v>
      </c>
      <c r="F104">
        <f t="shared" si="3"/>
        <v>2.0453030087336135E-2</v>
      </c>
    </row>
    <row r="105" spans="1:6" x14ac:dyDescent="0.2">
      <c r="A105" s="1">
        <v>39295</v>
      </c>
      <c r="B105">
        <v>428588000000</v>
      </c>
      <c r="C105">
        <v>7.08</v>
      </c>
      <c r="D105">
        <v>1.9559902200489088E-2</v>
      </c>
      <c r="E105">
        <f t="shared" si="2"/>
        <v>11.623627260134306</v>
      </c>
      <c r="F105">
        <f t="shared" si="3"/>
        <v>2.1295615548479287E-2</v>
      </c>
    </row>
    <row r="106" spans="1:6" x14ac:dyDescent="0.2">
      <c r="A106" s="1">
        <v>39326</v>
      </c>
      <c r="B106">
        <v>435110000000</v>
      </c>
      <c r="C106">
        <v>7.15</v>
      </c>
      <c r="D106">
        <v>1.9536019536019467E-2</v>
      </c>
      <c r="E106">
        <f t="shared" si="2"/>
        <v>11.630196490941429</v>
      </c>
      <c r="F106">
        <f t="shared" si="3"/>
        <v>2.1589601654663886E-2</v>
      </c>
    </row>
    <row r="107" spans="1:6" x14ac:dyDescent="0.2">
      <c r="A107" s="1">
        <v>39356</v>
      </c>
      <c r="B107">
        <v>441539000000</v>
      </c>
      <c r="C107">
        <v>7.31</v>
      </c>
      <c r="D107">
        <v>2.1951219512195141E-2</v>
      </c>
      <c r="E107">
        <f t="shared" si="2"/>
        <v>11.635538903471671</v>
      </c>
      <c r="F107">
        <f t="shared" si="3"/>
        <v>2.1210028622072163E-2</v>
      </c>
    </row>
    <row r="108" spans="1:6" x14ac:dyDescent="0.2">
      <c r="A108" s="1">
        <v>39387</v>
      </c>
      <c r="B108">
        <v>447013000000</v>
      </c>
      <c r="C108">
        <v>7.29</v>
      </c>
      <c r="D108">
        <v>2.3114355231143469E-2</v>
      </c>
      <c r="E108">
        <f t="shared" si="2"/>
        <v>11.640395975178702</v>
      </c>
      <c r="F108">
        <f t="shared" si="3"/>
        <v>2.0635067033293857E-2</v>
      </c>
    </row>
    <row r="109" spans="1:6" x14ac:dyDescent="0.2">
      <c r="A109" s="1">
        <v>39417</v>
      </c>
      <c r="B109">
        <v>453506000000</v>
      </c>
      <c r="C109">
        <v>7.29</v>
      </c>
      <c r="D109">
        <v>2.3002421307506182E-2</v>
      </c>
      <c r="E109">
        <f t="shared" si="2"/>
        <v>11.646706375631531</v>
      </c>
      <c r="F109">
        <f t="shared" si="3"/>
        <v>2.068258366184543E-2</v>
      </c>
    </row>
    <row r="110" spans="1:6" x14ac:dyDescent="0.2">
      <c r="A110" s="1">
        <v>39448</v>
      </c>
      <c r="B110">
        <v>452875000000</v>
      </c>
      <c r="C110">
        <v>7.25</v>
      </c>
      <c r="D110">
        <v>2.4360535931790439E-2</v>
      </c>
      <c r="E110">
        <f t="shared" si="2"/>
        <v>11.645525508364122</v>
      </c>
      <c r="F110">
        <f t="shared" si="3"/>
        <v>1.994446217829051E-2</v>
      </c>
    </row>
    <row r="111" spans="1:6" x14ac:dyDescent="0.2">
      <c r="A111" s="1">
        <v>39479</v>
      </c>
      <c r="B111">
        <v>455269000000</v>
      </c>
      <c r="C111">
        <v>7.15</v>
      </c>
      <c r="D111">
        <v>2.6699029126213469E-2</v>
      </c>
      <c r="E111">
        <f t="shared" si="2"/>
        <v>11.646824928161776</v>
      </c>
      <c r="F111">
        <f t="shared" si="3"/>
        <v>1.85490240359397E-2</v>
      </c>
    </row>
    <row r="112" spans="1:6" x14ac:dyDescent="0.2">
      <c r="A112" s="1">
        <v>39508</v>
      </c>
      <c r="B112">
        <v>466937000000</v>
      </c>
      <c r="C112">
        <v>6.95</v>
      </c>
      <c r="D112">
        <v>2.5362318840579823E-2</v>
      </c>
      <c r="E112">
        <f t="shared" si="2"/>
        <v>11.658380935248271</v>
      </c>
      <c r="F112">
        <f t="shared" si="3"/>
        <v>1.8303435448474313E-2</v>
      </c>
    </row>
    <row r="113" spans="1:6" x14ac:dyDescent="0.2">
      <c r="A113" s="1">
        <v>39539</v>
      </c>
      <c r="B113">
        <v>473095000000</v>
      </c>
      <c r="C113">
        <v>6.93</v>
      </c>
      <c r="D113">
        <v>3.0084235860409203E-2</v>
      </c>
      <c r="E113">
        <f t="shared" si="2"/>
        <v>11.662075617250885</v>
      </c>
      <c r="F113">
        <f t="shared" si="3"/>
        <v>1.6226825930500562E-2</v>
      </c>
    </row>
    <row r="114" spans="1:6" x14ac:dyDescent="0.2">
      <c r="A114" s="1">
        <v>39569</v>
      </c>
      <c r="B114">
        <v>477890000000</v>
      </c>
      <c r="C114">
        <v>6.9</v>
      </c>
      <c r="D114">
        <v>3.3613445378151141E-2</v>
      </c>
      <c r="E114">
        <f t="shared" si="2"/>
        <v>11.664969792819067</v>
      </c>
      <c r="F114">
        <f t="shared" si="3"/>
        <v>1.4619555161910842E-2</v>
      </c>
    </row>
    <row r="115" spans="1:6" x14ac:dyDescent="0.2">
      <c r="A115" s="1">
        <v>39600</v>
      </c>
      <c r="B115">
        <v>480450000000</v>
      </c>
      <c r="C115">
        <v>6.86</v>
      </c>
      <c r="D115">
        <v>3.7125748502993883E-2</v>
      </c>
      <c r="E115">
        <f t="shared" si="2"/>
        <v>11.665816781185759</v>
      </c>
      <c r="F115">
        <f t="shared" si="3"/>
        <v>1.2983753313142688E-2</v>
      </c>
    </row>
    <row r="116" spans="1:6" x14ac:dyDescent="0.2">
      <c r="A116" s="1">
        <v>39630</v>
      </c>
      <c r="B116">
        <v>483932000000</v>
      </c>
      <c r="C116">
        <v>6.85</v>
      </c>
      <c r="D116">
        <v>4.2117930204572884E-2</v>
      </c>
      <c r="E116">
        <f t="shared" si="2"/>
        <v>11.666867472544384</v>
      </c>
      <c r="F116">
        <f t="shared" si="3"/>
        <v>1.0857658266852553E-2</v>
      </c>
    </row>
    <row r="117" spans="1:6" x14ac:dyDescent="0.2">
      <c r="A117" s="1">
        <v>39661</v>
      </c>
      <c r="B117">
        <v>488656000000</v>
      </c>
      <c r="C117">
        <v>6.81</v>
      </c>
      <c r="D117">
        <v>4.4364508393285318E-2</v>
      </c>
      <c r="E117">
        <f t="shared" si="2"/>
        <v>11.670151131287078</v>
      </c>
      <c r="F117">
        <f t="shared" si="3"/>
        <v>9.7598106963054376E-3</v>
      </c>
    </row>
    <row r="118" spans="1:6" x14ac:dyDescent="0.2">
      <c r="A118" s="1">
        <v>39692</v>
      </c>
      <c r="B118">
        <v>490822000000</v>
      </c>
      <c r="C118">
        <v>6.8</v>
      </c>
      <c r="D118">
        <v>4.7904191616766401E-2</v>
      </c>
      <c r="E118">
        <f t="shared" si="2"/>
        <v>11.670602443232779</v>
      </c>
      <c r="F118">
        <f t="shared" si="3"/>
        <v>8.2496751538265137E-3</v>
      </c>
    </row>
    <row r="119" spans="1:6" x14ac:dyDescent="0.2">
      <c r="A119" s="1">
        <v>39722</v>
      </c>
      <c r="B119">
        <v>492664000000</v>
      </c>
      <c r="C119">
        <v>6.84</v>
      </c>
      <c r="D119">
        <v>4.1766109785202898E-2</v>
      </c>
      <c r="E119">
        <f t="shared" si="2"/>
        <v>11.674780603543109</v>
      </c>
      <c r="F119">
        <f t="shared" si="3"/>
        <v>1.0963654274042028E-2</v>
      </c>
    </row>
    <row r="120" spans="1:6" x14ac:dyDescent="0.2">
      <c r="A120" s="1">
        <v>39753</v>
      </c>
      <c r="B120">
        <v>496174000000</v>
      </c>
      <c r="C120">
        <v>6.89</v>
      </c>
      <c r="D120">
        <v>3.8049940546967864E-2</v>
      </c>
      <c r="E120">
        <f t="shared" si="2"/>
        <v>11.679415755171679</v>
      </c>
      <c r="F120">
        <f t="shared" si="3"/>
        <v>1.271882916302049E-2</v>
      </c>
    </row>
    <row r="121" spans="1:6" x14ac:dyDescent="0.2">
      <c r="A121" s="1">
        <v>39783</v>
      </c>
      <c r="B121">
        <v>495001000000</v>
      </c>
      <c r="C121">
        <v>6.14</v>
      </c>
      <c r="D121">
        <v>3.076923076923066E-2</v>
      </c>
      <c r="E121">
        <f t="shared" si="2"/>
        <v>11.681444630237301</v>
      </c>
      <c r="F121">
        <f t="shared" si="3"/>
        <v>1.2717637235395943E-2</v>
      </c>
    </row>
    <row r="122" spans="1:6" x14ac:dyDescent="0.2">
      <c r="A122" s="1">
        <v>39814</v>
      </c>
      <c r="B122">
        <v>488774000000</v>
      </c>
      <c r="C122">
        <v>5.17</v>
      </c>
      <c r="D122">
        <v>2.9726516052318575E-2</v>
      </c>
      <c r="E122">
        <f t="shared" si="2"/>
        <v>11.676386199630345</v>
      </c>
      <c r="F122">
        <f t="shared" si="3"/>
        <v>9.1699776996746665E-3</v>
      </c>
    </row>
    <row r="123" spans="1:6" x14ac:dyDescent="0.2">
      <c r="A123" s="1">
        <v>39845</v>
      </c>
      <c r="B123">
        <v>494983000000</v>
      </c>
      <c r="C123">
        <v>4.41</v>
      </c>
      <c r="D123">
        <v>3.0732860520094718E-2</v>
      </c>
      <c r="E123">
        <f t="shared" si="2"/>
        <v>11.681444161619876</v>
      </c>
      <c r="F123">
        <f t="shared" si="3"/>
        <v>5.5959738688382528E-3</v>
      </c>
    </row>
    <row r="124" spans="1:6" x14ac:dyDescent="0.2">
      <c r="A124" s="1">
        <v>39873</v>
      </c>
      <c r="B124">
        <v>496955000000</v>
      </c>
      <c r="C124">
        <v>3.68</v>
      </c>
      <c r="D124">
        <v>2.8268551236749095E-2</v>
      </c>
      <c r="E124">
        <f t="shared" si="2"/>
        <v>11.684210511053417</v>
      </c>
      <c r="F124">
        <f t="shared" si="3"/>
        <v>3.5884350649010846E-3</v>
      </c>
    </row>
    <row r="125" spans="1:6" x14ac:dyDescent="0.2">
      <c r="A125" s="1">
        <v>39904</v>
      </c>
      <c r="B125">
        <v>493912000000</v>
      </c>
      <c r="C125">
        <v>3.36</v>
      </c>
      <c r="D125">
        <v>2.219626168224309E-2</v>
      </c>
      <c r="E125">
        <f t="shared" si="2"/>
        <v>11.684115289487725</v>
      </c>
      <c r="F125">
        <f t="shared" si="3"/>
        <v>4.8182123058487973E-3</v>
      </c>
    </row>
    <row r="126" spans="1:6" x14ac:dyDescent="0.2">
      <c r="A126" s="1">
        <v>39934</v>
      </c>
      <c r="B126">
        <v>489560000000</v>
      </c>
      <c r="C126">
        <v>3.09</v>
      </c>
      <c r="D126">
        <v>2.0905923344947785E-2</v>
      </c>
      <c r="E126">
        <f t="shared" si="2"/>
        <v>11.68082020249258</v>
      </c>
      <c r="F126">
        <f t="shared" si="3"/>
        <v>4.2308160043233985E-3</v>
      </c>
    </row>
    <row r="127" spans="1:6" x14ac:dyDescent="0.2">
      <c r="A127" s="1">
        <v>39965</v>
      </c>
      <c r="B127">
        <v>491141000000</v>
      </c>
      <c r="C127">
        <v>2.98</v>
      </c>
      <c r="D127">
        <v>1.7321016166281789E-2</v>
      </c>
      <c r="E127">
        <f t="shared" si="2"/>
        <v>11.683748173755065</v>
      </c>
      <c r="F127">
        <f t="shared" si="3"/>
        <v>5.2948710965145937E-3</v>
      </c>
    </row>
    <row r="128" spans="1:6" x14ac:dyDescent="0.2">
      <c r="A128" s="1">
        <v>39995</v>
      </c>
      <c r="B128">
        <v>486512000000</v>
      </c>
      <c r="C128">
        <v>2.91</v>
      </c>
      <c r="D128">
        <v>1.616628175519641E-2</v>
      </c>
      <c r="E128">
        <f t="shared" si="2"/>
        <v>11.680128776639092</v>
      </c>
      <c r="F128">
        <f t="shared" si="3"/>
        <v>5.4927980679515785E-3</v>
      </c>
    </row>
    <row r="129" spans="1:6" x14ac:dyDescent="0.2">
      <c r="A129" s="1">
        <v>40026</v>
      </c>
      <c r="B129">
        <v>481225000000</v>
      </c>
      <c r="C129">
        <v>2.8</v>
      </c>
      <c r="D129">
        <v>1.3777267508610747E-2</v>
      </c>
      <c r="E129">
        <f t="shared" si="2"/>
        <v>11.676405632608331</v>
      </c>
      <c r="F129">
        <f t="shared" si="3"/>
        <v>6.0505660893515525E-3</v>
      </c>
    </row>
    <row r="130" spans="1:6" x14ac:dyDescent="0.2">
      <c r="A130" s="1">
        <v>40057</v>
      </c>
      <c r="B130">
        <v>481592000000</v>
      </c>
      <c r="C130">
        <v>2.78</v>
      </c>
      <c r="D130">
        <v>9.1428571428571193E-3</v>
      </c>
      <c r="E130">
        <f t="shared" si="2"/>
        <v>11.678726613440542</v>
      </c>
      <c r="F130">
        <f t="shared" si="3"/>
        <v>7.9559627938988464E-3</v>
      </c>
    </row>
    <row r="131" spans="1:6" x14ac:dyDescent="0.2">
      <c r="A131" s="1">
        <v>40087</v>
      </c>
      <c r="B131">
        <v>475472000000</v>
      </c>
      <c r="C131">
        <v>2.75</v>
      </c>
      <c r="D131">
        <v>1.2600229095074633E-2</v>
      </c>
      <c r="E131">
        <f t="shared" si="2"/>
        <v>11.671686925615692</v>
      </c>
      <c r="F131">
        <f t="shared" si="3"/>
        <v>6.3438092406033694E-3</v>
      </c>
    </row>
    <row r="132" spans="1:6" x14ac:dyDescent="0.2">
      <c r="A132" s="1">
        <v>40118</v>
      </c>
      <c r="B132">
        <v>474874000000</v>
      </c>
      <c r="C132">
        <v>2.68</v>
      </c>
      <c r="D132">
        <v>1.4891179839633395E-2</v>
      </c>
      <c r="E132">
        <f t="shared" ref="E132:E195" si="4">LOG(B132/(1+D132))</f>
        <v>11.670158913835492</v>
      </c>
      <c r="F132">
        <f t="shared" ref="F132:F195" si="5">LOG((1+C132/100)/(1+D132))</f>
        <v>5.0663818179247531E-3</v>
      </c>
    </row>
    <row r="133" spans="1:6" x14ac:dyDescent="0.2">
      <c r="A133" s="1">
        <v>40148</v>
      </c>
      <c r="B133">
        <v>473708000000</v>
      </c>
      <c r="C133">
        <v>2.64</v>
      </c>
      <c r="D133">
        <v>2.0665901262916231E-2</v>
      </c>
      <c r="E133">
        <f t="shared" si="4"/>
        <v>11.666627113210239</v>
      </c>
      <c r="F133">
        <f t="shared" si="5"/>
        <v>2.4330374043215245E-3</v>
      </c>
    </row>
    <row r="134" spans="1:6" x14ac:dyDescent="0.2">
      <c r="A134" s="1">
        <v>40179</v>
      </c>
      <c r="B134">
        <v>469813000000</v>
      </c>
      <c r="C134">
        <v>2.65</v>
      </c>
      <c r="D134">
        <v>2.5404157043879882E-2</v>
      </c>
      <c r="E134">
        <f t="shared" si="4"/>
        <v>11.661029956028464</v>
      </c>
      <c r="F134">
        <f t="shared" si="5"/>
        <v>4.6387994535628565E-4</v>
      </c>
    </row>
    <row r="135" spans="1:6" x14ac:dyDescent="0.2">
      <c r="A135" s="1">
        <v>40210</v>
      </c>
      <c r="B135">
        <v>464918000000</v>
      </c>
      <c r="C135">
        <v>2.77</v>
      </c>
      <c r="D135">
        <v>2.0642201834862428E-2</v>
      </c>
      <c r="E135">
        <f t="shared" si="4"/>
        <v>11.65850283916066</v>
      </c>
      <c r="F135">
        <f t="shared" si="5"/>
        <v>2.9928348153786476E-3</v>
      </c>
    </row>
    <row r="136" spans="1:6" x14ac:dyDescent="0.2">
      <c r="A136" s="1">
        <v>40238</v>
      </c>
      <c r="B136">
        <v>465823000000</v>
      </c>
      <c r="C136">
        <v>2.78</v>
      </c>
      <c r="D136">
        <v>2.4054982817869552E-2</v>
      </c>
      <c r="E136">
        <f t="shared" si="4"/>
        <v>11.65789765291785</v>
      </c>
      <c r="F136">
        <f t="shared" si="5"/>
        <v>1.5853382588060902E-3</v>
      </c>
    </row>
    <row r="137" spans="1:6" x14ac:dyDescent="0.2">
      <c r="A137" s="1">
        <v>40269</v>
      </c>
      <c r="B137">
        <v>460231000000</v>
      </c>
      <c r="C137">
        <v>2.81</v>
      </c>
      <c r="D137">
        <v>2.742857142857158E-2</v>
      </c>
      <c r="E137">
        <f t="shared" si="4"/>
        <v>11.651224229588479</v>
      </c>
      <c r="F137">
        <f t="shared" si="5"/>
        <v>2.8372043861375399E-4</v>
      </c>
    </row>
    <row r="138" spans="1:6" x14ac:dyDescent="0.2">
      <c r="A138" s="1">
        <v>40299</v>
      </c>
      <c r="B138">
        <v>458223000000</v>
      </c>
      <c r="C138">
        <v>2.86</v>
      </c>
      <c r="D138">
        <v>2.5028441410693825E-2</v>
      </c>
      <c r="E138">
        <f t="shared" si="4"/>
        <v>11.65034096842952</v>
      </c>
      <c r="F138">
        <f t="shared" si="5"/>
        <v>1.5106040797802755E-3</v>
      </c>
    </row>
    <row r="139" spans="1:6" x14ac:dyDescent="0.2">
      <c r="A139" s="1">
        <v>40330</v>
      </c>
      <c r="B139">
        <v>456750000000</v>
      </c>
      <c r="C139">
        <v>2.85</v>
      </c>
      <c r="D139">
        <v>2.3836549375709559E-2</v>
      </c>
      <c r="E139">
        <f t="shared" si="4"/>
        <v>11.649447926894682</v>
      </c>
      <c r="F139">
        <f t="shared" si="5"/>
        <v>1.9736669008489148E-3</v>
      </c>
    </row>
    <row r="140" spans="1:6" x14ac:dyDescent="0.2">
      <c r="A140" s="1">
        <v>40360</v>
      </c>
      <c r="B140">
        <v>454420000000</v>
      </c>
      <c r="C140">
        <v>2.88</v>
      </c>
      <c r="D140">
        <v>2.2727272727272707E-2</v>
      </c>
      <c r="E140">
        <f t="shared" si="4"/>
        <v>11.647697600067179</v>
      </c>
      <c r="F140">
        <f t="shared" si="5"/>
        <v>2.5711182909906234E-3</v>
      </c>
    </row>
    <row r="141" spans="1:6" x14ac:dyDescent="0.2">
      <c r="A141" s="1">
        <v>40391</v>
      </c>
      <c r="B141">
        <v>453646000000</v>
      </c>
      <c r="C141">
        <v>2.88</v>
      </c>
      <c r="D141">
        <v>2.3782559456398733E-2</v>
      </c>
      <c r="E141">
        <f t="shared" si="4"/>
        <v>11.646509358963389</v>
      </c>
      <c r="F141">
        <f t="shared" si="5"/>
        <v>2.1232286823520984E-3</v>
      </c>
    </row>
    <row r="142" spans="1:6" x14ac:dyDescent="0.2">
      <c r="A142" s="1">
        <v>40422</v>
      </c>
      <c r="B142">
        <v>450684000000</v>
      </c>
      <c r="C142">
        <v>2.88</v>
      </c>
      <c r="D142">
        <v>2.3782559456398733E-2</v>
      </c>
      <c r="E142">
        <f t="shared" si="4"/>
        <v>11.643664413300863</v>
      </c>
      <c r="F142">
        <f t="shared" si="5"/>
        <v>2.1232286823520984E-3</v>
      </c>
    </row>
    <row r="143" spans="1:6" x14ac:dyDescent="0.2">
      <c r="A143" s="1">
        <v>40452</v>
      </c>
      <c r="B143">
        <v>446978000000</v>
      </c>
      <c r="C143">
        <v>2.9</v>
      </c>
      <c r="D143">
        <v>2.488687782805421E-2</v>
      </c>
      <c r="E143">
        <f t="shared" si="4"/>
        <v>11.639610215269693</v>
      </c>
      <c r="F143">
        <f t="shared" si="5"/>
        <v>1.7394420986929172E-3</v>
      </c>
    </row>
    <row r="144" spans="1:6" x14ac:dyDescent="0.2">
      <c r="A144" s="1">
        <v>40483</v>
      </c>
      <c r="B144">
        <v>439495000000</v>
      </c>
      <c r="C144">
        <v>2.9</v>
      </c>
      <c r="D144">
        <v>2.5959367945824097E-2</v>
      </c>
      <c r="E144">
        <f t="shared" si="4"/>
        <v>11.63182377726768</v>
      </c>
      <c r="F144">
        <f t="shared" si="5"/>
        <v>1.285213427516109E-3</v>
      </c>
    </row>
    <row r="145" spans="1:6" x14ac:dyDescent="0.2">
      <c r="A145" s="1">
        <v>40513</v>
      </c>
      <c r="B145">
        <v>434289000000</v>
      </c>
      <c r="C145">
        <v>2.9</v>
      </c>
      <c r="D145">
        <v>3.1496062992125928E-2</v>
      </c>
      <c r="E145">
        <f t="shared" si="4"/>
        <v>11.62431125466288</v>
      </c>
      <c r="F145">
        <f t="shared" si="5"/>
        <v>-1.0521999373744762E-3</v>
      </c>
    </row>
    <row r="146" spans="1:6" x14ac:dyDescent="0.2">
      <c r="A146" s="1">
        <v>40544</v>
      </c>
      <c r="B146">
        <v>424288000000</v>
      </c>
      <c r="C146">
        <v>2.91</v>
      </c>
      <c r="D146">
        <v>3.3783783783783772E-2</v>
      </c>
      <c r="E146">
        <f t="shared" si="4"/>
        <v>11.613231033507585</v>
      </c>
      <c r="F146">
        <f t="shared" si="5"/>
        <v>-1.9721372218678415E-3</v>
      </c>
    </row>
    <row r="147" spans="1:6" x14ac:dyDescent="0.2">
      <c r="A147" s="1">
        <v>40575</v>
      </c>
      <c r="B147">
        <v>425071000000</v>
      </c>
      <c r="C147">
        <v>2.9</v>
      </c>
      <c r="D147">
        <v>3.7078651685393149E-2</v>
      </c>
      <c r="E147">
        <f t="shared" si="4"/>
        <v>11.612649782334913</v>
      </c>
      <c r="F147">
        <f t="shared" si="5"/>
        <v>-3.3963196185663133E-3</v>
      </c>
    </row>
    <row r="148" spans="1:6" x14ac:dyDescent="0.2">
      <c r="A148" s="1">
        <v>40603</v>
      </c>
      <c r="B148">
        <v>423307000000</v>
      </c>
      <c r="C148">
        <v>2.92</v>
      </c>
      <c r="D148">
        <v>3.5794183445190031E-2</v>
      </c>
      <c r="E148">
        <f t="shared" si="4"/>
        <v>11.611381982341449</v>
      </c>
      <c r="F148">
        <f t="shared" si="5"/>
        <v>-2.7736903477076765E-3</v>
      </c>
    </row>
    <row r="149" spans="1:6" x14ac:dyDescent="0.2">
      <c r="A149" s="1">
        <v>40634</v>
      </c>
      <c r="B149">
        <v>419966000000</v>
      </c>
      <c r="C149">
        <v>2.93</v>
      </c>
      <c r="D149">
        <v>3.7819799777530472E-2</v>
      </c>
      <c r="E149">
        <f t="shared" si="4"/>
        <v>11.607092179789179</v>
      </c>
      <c r="F149">
        <f t="shared" si="5"/>
        <v>-3.5799792374353032E-3</v>
      </c>
    </row>
    <row r="150" spans="1:6" x14ac:dyDescent="0.2">
      <c r="A150" s="1">
        <v>40664</v>
      </c>
      <c r="B150">
        <v>420438000000</v>
      </c>
      <c r="C150">
        <v>2.92</v>
      </c>
      <c r="D150">
        <v>3.7735849056603765E-2</v>
      </c>
      <c r="E150">
        <f t="shared" si="4"/>
        <v>11.607615141612357</v>
      </c>
      <c r="F150">
        <f t="shared" si="5"/>
        <v>-3.5870423551458705E-3</v>
      </c>
    </row>
    <row r="151" spans="1:6" x14ac:dyDescent="0.2">
      <c r="A151" s="1">
        <v>40695</v>
      </c>
      <c r="B151">
        <v>416005000000</v>
      </c>
      <c r="C151">
        <v>2.97</v>
      </c>
      <c r="D151">
        <v>3.6585365853658569E-2</v>
      </c>
      <c r="E151">
        <f t="shared" si="4"/>
        <v>11.603493477150398</v>
      </c>
      <c r="F151">
        <f t="shared" si="5"/>
        <v>-2.8943605887890851E-3</v>
      </c>
    </row>
    <row r="152" spans="1:6" x14ac:dyDescent="0.2">
      <c r="A152" s="1">
        <v>40725</v>
      </c>
      <c r="B152">
        <v>411594000000</v>
      </c>
      <c r="C152">
        <v>2.96</v>
      </c>
      <c r="D152">
        <v>3.8888888888888973E-2</v>
      </c>
      <c r="E152">
        <f t="shared" si="4"/>
        <v>11.597899933787708</v>
      </c>
      <c r="F152">
        <f t="shared" si="5"/>
        <v>-3.900567536862627E-3</v>
      </c>
    </row>
    <row r="153" spans="1:6" x14ac:dyDescent="0.2">
      <c r="A153" s="1">
        <v>40756</v>
      </c>
      <c r="B153">
        <v>412417000000</v>
      </c>
      <c r="C153">
        <v>2.98</v>
      </c>
      <c r="D153">
        <v>3.8716814159291957E-2</v>
      </c>
      <c r="E153">
        <f t="shared" si="4"/>
        <v>11.598839396988589</v>
      </c>
      <c r="F153">
        <f t="shared" si="5"/>
        <v>-3.7442742995316813E-3</v>
      </c>
    </row>
    <row r="154" spans="1:6" x14ac:dyDescent="0.2">
      <c r="A154" s="1">
        <v>40787</v>
      </c>
      <c r="B154">
        <v>411201000000</v>
      </c>
      <c r="C154">
        <v>3.01</v>
      </c>
      <c r="D154">
        <v>4.5353982300884832E-2</v>
      </c>
      <c r="E154">
        <f t="shared" si="4"/>
        <v>11.594790784115659</v>
      </c>
      <c r="F154">
        <f t="shared" si="5"/>
        <v>-6.3839908626097926E-3</v>
      </c>
    </row>
    <row r="155" spans="1:6" x14ac:dyDescent="0.2">
      <c r="A155" s="1">
        <v>40817</v>
      </c>
      <c r="B155">
        <v>411807000000</v>
      </c>
      <c r="C155">
        <v>3</v>
      </c>
      <c r="D155">
        <v>4.3046357615894149E-2</v>
      </c>
      <c r="E155">
        <f t="shared" si="4"/>
        <v>11.596390113760236</v>
      </c>
      <c r="F155">
        <f t="shared" si="5"/>
        <v>-5.4663861272777042E-3</v>
      </c>
    </row>
    <row r="156" spans="1:6" x14ac:dyDescent="0.2">
      <c r="A156" s="1">
        <v>40848</v>
      </c>
      <c r="B156">
        <v>407910000000</v>
      </c>
      <c r="C156">
        <v>3.03</v>
      </c>
      <c r="D156">
        <v>4.1804180418041792E-2</v>
      </c>
      <c r="E156">
        <f t="shared" si="4"/>
        <v>11.592778256487454</v>
      </c>
      <c r="F156">
        <f t="shared" si="5"/>
        <v>-4.8223959555282392E-3</v>
      </c>
    </row>
    <row r="157" spans="1:6" x14ac:dyDescent="0.2">
      <c r="A157" s="1">
        <v>40878</v>
      </c>
      <c r="B157">
        <v>408601000000</v>
      </c>
      <c r="C157">
        <v>3.05</v>
      </c>
      <c r="D157">
        <v>3.598691384950925E-2</v>
      </c>
      <c r="E157">
        <f t="shared" si="4"/>
        <v>11.595945155560496</v>
      </c>
      <c r="F157">
        <f t="shared" si="5"/>
        <v>-2.3062735035949858E-3</v>
      </c>
    </row>
    <row r="158" spans="1:6" x14ac:dyDescent="0.2">
      <c r="A158" s="1">
        <v>40909</v>
      </c>
      <c r="B158">
        <v>402594000000</v>
      </c>
      <c r="C158">
        <v>3.07</v>
      </c>
      <c r="D158">
        <v>3.1590413943355156E-2</v>
      </c>
      <c r="E158">
        <f t="shared" si="4"/>
        <v>11.591360000355403</v>
      </c>
      <c r="F158">
        <f t="shared" si="5"/>
        <v>-3.7502175602769717E-4</v>
      </c>
    </row>
    <row r="159" spans="1:6" x14ac:dyDescent="0.2">
      <c r="A159" s="1">
        <v>40940</v>
      </c>
      <c r="B159">
        <v>402405000000</v>
      </c>
      <c r="C159">
        <v>3.22</v>
      </c>
      <c r="D159">
        <v>3.1419284940411796E-2</v>
      </c>
      <c r="E159">
        <f t="shared" si="4"/>
        <v>11.591228120958988</v>
      </c>
      <c r="F159">
        <f t="shared" si="5"/>
        <v>3.2860737537071121E-4</v>
      </c>
    </row>
    <row r="160" spans="1:6" x14ac:dyDescent="0.2">
      <c r="A160" s="1">
        <v>40969</v>
      </c>
      <c r="B160">
        <v>401404000000</v>
      </c>
      <c r="C160">
        <v>3.25</v>
      </c>
      <c r="D160">
        <v>3.0237580993520696E-2</v>
      </c>
      <c r="E160">
        <f t="shared" si="4"/>
        <v>11.59064430790527</v>
      </c>
      <c r="F160">
        <f t="shared" si="5"/>
        <v>9.5267230627776596E-4</v>
      </c>
    </row>
    <row r="161" spans="1:6" x14ac:dyDescent="0.2">
      <c r="A161" s="1">
        <v>41000</v>
      </c>
      <c r="B161">
        <v>400589000000</v>
      </c>
      <c r="C161">
        <v>3.24</v>
      </c>
      <c r="D161">
        <v>2.7867095391211238E-2</v>
      </c>
      <c r="E161">
        <f t="shared" si="4"/>
        <v>11.590762056159228</v>
      </c>
      <c r="F161">
        <f t="shared" si="5"/>
        <v>1.911032447667592E-3</v>
      </c>
    </row>
    <row r="162" spans="1:6" x14ac:dyDescent="0.2">
      <c r="A162" s="1">
        <v>41030</v>
      </c>
      <c r="B162">
        <v>399677000000</v>
      </c>
      <c r="C162">
        <v>3.24</v>
      </c>
      <c r="D162">
        <v>2.5668449197860932E-2</v>
      </c>
      <c r="E162">
        <f t="shared" si="4"/>
        <v>11.590702160567194</v>
      </c>
      <c r="F162">
        <f t="shared" si="5"/>
        <v>2.8409995736854458E-3</v>
      </c>
    </row>
    <row r="163" spans="1:6" x14ac:dyDescent="0.2">
      <c r="A163" s="1">
        <v>41061</v>
      </c>
      <c r="B163">
        <v>400681000000</v>
      </c>
      <c r="C163">
        <v>3.23</v>
      </c>
      <c r="D163">
        <v>2.2459893048128343E-2</v>
      </c>
      <c r="E163">
        <f t="shared" si="4"/>
        <v>11.593152467590647</v>
      </c>
      <c r="F163">
        <f t="shared" si="5"/>
        <v>4.1596459370102767E-3</v>
      </c>
    </row>
    <row r="164" spans="1:6" x14ac:dyDescent="0.2">
      <c r="A164" s="1">
        <v>41091</v>
      </c>
      <c r="B164">
        <v>398897000000</v>
      </c>
      <c r="C164">
        <v>3.24</v>
      </c>
      <c r="D164">
        <v>2.3529411764706021E-2</v>
      </c>
      <c r="E164">
        <f t="shared" si="4"/>
        <v>11.590760443202592</v>
      </c>
      <c r="F164">
        <f t="shared" si="5"/>
        <v>3.7476689675054425E-3</v>
      </c>
    </row>
    <row r="165" spans="1:6" x14ac:dyDescent="0.2">
      <c r="A165" s="1">
        <v>41122</v>
      </c>
      <c r="B165">
        <v>398722000000</v>
      </c>
      <c r="C165">
        <v>3.21</v>
      </c>
      <c r="D165">
        <v>2.3429179978700532E-2</v>
      </c>
      <c r="E165">
        <f t="shared" si="4"/>
        <v>11.590612403678588</v>
      </c>
      <c r="F165">
        <f t="shared" si="5"/>
        <v>3.6639826486286409E-3</v>
      </c>
    </row>
    <row r="166" spans="1:6" x14ac:dyDescent="0.2">
      <c r="A166" s="1">
        <v>41153</v>
      </c>
      <c r="B166">
        <v>396216000000</v>
      </c>
      <c r="C166">
        <v>3.18</v>
      </c>
      <c r="D166">
        <v>2.0105820105820182E-2</v>
      </c>
      <c r="E166">
        <f t="shared" si="4"/>
        <v>11.589286783848857</v>
      </c>
      <c r="F166">
        <f t="shared" si="5"/>
        <v>4.9502981437216731E-3</v>
      </c>
    </row>
    <row r="167" spans="1:6" x14ac:dyDescent="0.2">
      <c r="A167" s="1">
        <v>41183</v>
      </c>
      <c r="B167">
        <v>395142000000</v>
      </c>
      <c r="C167">
        <v>3.15</v>
      </c>
      <c r="D167">
        <v>2.4338624338624326E-2</v>
      </c>
      <c r="E167">
        <f t="shared" si="4"/>
        <v>11.586309644888424</v>
      </c>
      <c r="F167">
        <f t="shared" si="5"/>
        <v>3.0256835100397114E-3</v>
      </c>
    </row>
    <row r="168" spans="1:6" x14ac:dyDescent="0.2">
      <c r="A168" s="1">
        <v>41214</v>
      </c>
      <c r="B168">
        <v>393429000000</v>
      </c>
      <c r="C168">
        <v>3.09</v>
      </c>
      <c r="D168">
        <v>2.428722280887019E-2</v>
      </c>
      <c r="E168">
        <f t="shared" si="4"/>
        <v>11.58444461373109</v>
      </c>
      <c r="F168">
        <f t="shared" si="5"/>
        <v>2.7947843614690771E-3</v>
      </c>
    </row>
    <row r="169" spans="1:6" x14ac:dyDescent="0.2">
      <c r="A169" s="1">
        <v>41244</v>
      </c>
      <c r="B169">
        <v>390267000000</v>
      </c>
      <c r="C169">
        <v>3.09</v>
      </c>
      <c r="D169">
        <v>2.421052631578946E-2</v>
      </c>
      <c r="E169">
        <f t="shared" si="4"/>
        <v>11.580972595000661</v>
      </c>
      <c r="F169">
        <f t="shared" si="5"/>
        <v>2.8273046449364199E-3</v>
      </c>
    </row>
    <row r="170" spans="1:6" x14ac:dyDescent="0.2">
      <c r="A170" s="1">
        <v>41275</v>
      </c>
      <c r="B170">
        <v>386025000000</v>
      </c>
      <c r="C170">
        <v>3.08</v>
      </c>
      <c r="D170">
        <v>2.428722280887019E-2</v>
      </c>
      <c r="E170">
        <f t="shared" si="4"/>
        <v>11.576193676378898</v>
      </c>
      <c r="F170">
        <f t="shared" si="5"/>
        <v>2.7526546158956684E-3</v>
      </c>
    </row>
    <row r="171" spans="1:6" x14ac:dyDescent="0.2">
      <c r="A171" s="1">
        <v>41306</v>
      </c>
      <c r="B171">
        <v>388631000000</v>
      </c>
      <c r="C171">
        <v>3.12</v>
      </c>
      <c r="D171">
        <v>2.4159663865546133E-2</v>
      </c>
      <c r="E171">
        <f t="shared" si="4"/>
        <v>11.579169772778746</v>
      </c>
      <c r="F171">
        <f t="shared" si="5"/>
        <v>2.9752370312841375E-3</v>
      </c>
    </row>
    <row r="172" spans="1:6" x14ac:dyDescent="0.2">
      <c r="A172" s="1">
        <v>41334</v>
      </c>
      <c r="B172">
        <v>386028000000</v>
      </c>
      <c r="C172">
        <v>3.09</v>
      </c>
      <c r="D172">
        <v>2.515723270440251E-2</v>
      </c>
      <c r="E172">
        <f t="shared" si="4"/>
        <v>11.575828326672367</v>
      </c>
      <c r="F172">
        <f t="shared" si="5"/>
        <v>2.4260595409341724E-3</v>
      </c>
    </row>
    <row r="173" spans="1:6" x14ac:dyDescent="0.2">
      <c r="A173" s="1">
        <v>41365</v>
      </c>
      <c r="B173">
        <v>384849000000</v>
      </c>
      <c r="C173">
        <v>3.1</v>
      </c>
      <c r="D173">
        <v>2.1897810218977964E-2</v>
      </c>
      <c r="E173">
        <f t="shared" si="4"/>
        <v>11.575882893894919</v>
      </c>
      <c r="F173">
        <f t="shared" si="5"/>
        <v>3.8511967616853518E-3</v>
      </c>
    </row>
    <row r="174" spans="1:6" x14ac:dyDescent="0.2">
      <c r="A174" s="1">
        <v>41395</v>
      </c>
      <c r="B174">
        <v>376383000000</v>
      </c>
      <c r="C174">
        <v>3.12</v>
      </c>
      <c r="D174">
        <v>2.3983315954118734E-2</v>
      </c>
      <c r="E174">
        <f t="shared" si="4"/>
        <v>11.565337118908001</v>
      </c>
      <c r="F174">
        <f t="shared" si="5"/>
        <v>3.0500237290605179E-3</v>
      </c>
    </row>
    <row r="175" spans="1:6" x14ac:dyDescent="0.2">
      <c r="A175" s="1">
        <v>41426</v>
      </c>
      <c r="B175">
        <v>375086000000</v>
      </c>
      <c r="C175">
        <v>3.11</v>
      </c>
      <c r="D175">
        <v>2.5104602510460206E-2</v>
      </c>
      <c r="E175">
        <f t="shared" si="4"/>
        <v>11.563362671093659</v>
      </c>
      <c r="F175">
        <f t="shared" si="5"/>
        <v>2.5326034404929581E-3</v>
      </c>
    </row>
    <row r="176" spans="1:6" x14ac:dyDescent="0.2">
      <c r="A176" s="1">
        <v>41456</v>
      </c>
      <c r="B176">
        <v>372967000000</v>
      </c>
      <c r="C176">
        <v>3.1</v>
      </c>
      <c r="D176">
        <v>2.4033437826541215E-2</v>
      </c>
      <c r="E176">
        <f t="shared" si="4"/>
        <v>11.561356269357066</v>
      </c>
      <c r="F176">
        <f t="shared" si="5"/>
        <v>2.9445273678652636E-3</v>
      </c>
    </row>
    <row r="177" spans="1:6" x14ac:dyDescent="0.2">
      <c r="A177" s="1">
        <v>41487</v>
      </c>
      <c r="B177">
        <v>372359000000</v>
      </c>
      <c r="C177">
        <v>3.11</v>
      </c>
      <c r="D177">
        <v>2.3933402705515139E-2</v>
      </c>
      <c r="E177">
        <f t="shared" si="4"/>
        <v>11.560690144537849</v>
      </c>
      <c r="F177">
        <f t="shared" si="5"/>
        <v>3.0290760940915032E-3</v>
      </c>
    </row>
    <row r="178" spans="1:6" x14ac:dyDescent="0.2">
      <c r="A178" s="1">
        <v>41518</v>
      </c>
      <c r="B178">
        <v>369648000000</v>
      </c>
      <c r="C178">
        <v>3.12</v>
      </c>
      <c r="D178">
        <v>2.3858921161825641E-2</v>
      </c>
      <c r="E178">
        <f t="shared" si="4"/>
        <v>11.557548241999887</v>
      </c>
      <c r="F178">
        <f t="shared" si="5"/>
        <v>3.1027855785406505E-3</v>
      </c>
    </row>
    <row r="179" spans="1:6" x14ac:dyDescent="0.2">
      <c r="A179" s="1">
        <v>41548</v>
      </c>
      <c r="B179">
        <v>369864000000</v>
      </c>
      <c r="C179">
        <v>3.13</v>
      </c>
      <c r="D179">
        <v>2.0661157024793431E-2</v>
      </c>
      <c r="E179">
        <f t="shared" si="4"/>
        <v>11.559160474876371</v>
      </c>
      <c r="F179">
        <f t="shared" si="5"/>
        <v>4.5034304704509786E-3</v>
      </c>
    </row>
    <row r="180" spans="1:6" x14ac:dyDescent="0.2">
      <c r="A180" s="1">
        <v>41579</v>
      </c>
      <c r="B180">
        <v>369602000000</v>
      </c>
      <c r="C180">
        <v>3.12</v>
      </c>
      <c r="D180">
        <v>1.8556701030927769E-2</v>
      </c>
      <c r="E180">
        <f t="shared" si="4"/>
        <v>11.559749102298692</v>
      </c>
      <c r="F180">
        <f t="shared" si="5"/>
        <v>5.3576940239633049E-3</v>
      </c>
    </row>
    <row r="181" spans="1:6" x14ac:dyDescent="0.2">
      <c r="A181" s="1">
        <v>41609</v>
      </c>
      <c r="B181">
        <v>370993000000</v>
      </c>
      <c r="C181">
        <v>3.12</v>
      </c>
      <c r="D181">
        <v>1.9527235354573458E-2</v>
      </c>
      <c r="E181">
        <f t="shared" si="4"/>
        <v>11.560966883416407</v>
      </c>
      <c r="F181">
        <f t="shared" si="5"/>
        <v>4.9440724595197875E-3</v>
      </c>
    </row>
    <row r="182" spans="1:6" x14ac:dyDescent="0.2">
      <c r="A182" s="1">
        <v>41640</v>
      </c>
      <c r="B182">
        <v>368946000000</v>
      </c>
      <c r="C182">
        <v>3.1</v>
      </c>
      <c r="D182">
        <v>1.7525773195876226E-2</v>
      </c>
      <c r="E182">
        <f t="shared" si="4"/>
        <v>11.559417387814793</v>
      </c>
      <c r="F182">
        <f t="shared" si="5"/>
        <v>5.713246880124645E-3</v>
      </c>
    </row>
    <row r="183" spans="1:6" x14ac:dyDescent="0.2">
      <c r="A183" s="1">
        <v>41671</v>
      </c>
      <c r="B183">
        <v>368169000000</v>
      </c>
      <c r="C183">
        <v>3.11</v>
      </c>
      <c r="D183">
        <v>1.6410256410256396E-2</v>
      </c>
      <c r="E183">
        <f t="shared" si="4"/>
        <v>11.558978179124539</v>
      </c>
      <c r="F183">
        <f t="shared" si="5"/>
        <v>6.231748070149189E-3</v>
      </c>
    </row>
    <row r="184" spans="1:6" x14ac:dyDescent="0.2">
      <c r="A184" s="1">
        <v>41699</v>
      </c>
      <c r="B184">
        <v>368613000000</v>
      </c>
      <c r="C184">
        <v>3.11</v>
      </c>
      <c r="D184">
        <v>1.5337423312883347E-2</v>
      </c>
      <c r="E184">
        <f t="shared" si="4"/>
        <v>11.55996025385652</v>
      </c>
      <c r="F184">
        <f t="shared" si="5"/>
        <v>6.6903931491079909E-3</v>
      </c>
    </row>
    <row r="185" spans="1:6" x14ac:dyDescent="0.2">
      <c r="A185" s="1">
        <v>41730</v>
      </c>
      <c r="B185">
        <v>362476000000</v>
      </c>
      <c r="C185">
        <v>3.1</v>
      </c>
      <c r="D185">
        <v>1.6326530612244872E-2</v>
      </c>
      <c r="E185">
        <f t="shared" si="4"/>
        <v>11.552245993934097</v>
      </c>
      <c r="F185">
        <f t="shared" si="5"/>
        <v>6.2254025523126007E-3</v>
      </c>
    </row>
    <row r="186" spans="1:6" x14ac:dyDescent="0.2">
      <c r="A186" s="1">
        <v>41760</v>
      </c>
      <c r="B186">
        <v>360586000000</v>
      </c>
      <c r="C186">
        <v>3.13</v>
      </c>
      <c r="D186">
        <v>1.4256619144602745E-2</v>
      </c>
      <c r="E186">
        <f t="shared" si="4"/>
        <v>11.550861010294344</v>
      </c>
      <c r="F186">
        <f t="shared" si="5"/>
        <v>7.2371671129363912E-3</v>
      </c>
    </row>
    <row r="187" spans="1:6" x14ac:dyDescent="0.2">
      <c r="A187" s="1">
        <v>41791</v>
      </c>
      <c r="B187">
        <v>361334000000</v>
      </c>
      <c r="C187">
        <v>3.15</v>
      </c>
      <c r="D187">
        <v>1.8367346938775508E-2</v>
      </c>
      <c r="E187">
        <f t="shared" si="4"/>
        <v>11.550004363168423</v>
      </c>
      <c r="F187">
        <f t="shared" si="5"/>
        <v>5.5647667142941677E-3</v>
      </c>
    </row>
    <row r="188" spans="1:6" x14ac:dyDescent="0.2">
      <c r="A188" s="1">
        <v>41821</v>
      </c>
      <c r="B188">
        <v>359903000000</v>
      </c>
      <c r="C188">
        <v>3.13</v>
      </c>
      <c r="D188">
        <v>1.6326530612244872E-2</v>
      </c>
      <c r="E188">
        <f t="shared" si="4"/>
        <v>11.549152204032893</v>
      </c>
      <c r="F188">
        <f t="shared" si="5"/>
        <v>6.351755018481584E-3</v>
      </c>
    </row>
    <row r="189" spans="1:6" x14ac:dyDescent="0.2">
      <c r="A189" s="1">
        <v>41852</v>
      </c>
      <c r="B189">
        <v>360584000000</v>
      </c>
      <c r="C189">
        <v>3.14</v>
      </c>
      <c r="D189">
        <v>1.5243902439024293E-2</v>
      </c>
      <c r="E189">
        <f t="shared" si="4"/>
        <v>11.550436062303683</v>
      </c>
      <c r="F189">
        <f t="shared" si="5"/>
        <v>6.856737276055366E-3</v>
      </c>
    </row>
    <row r="190" spans="1:6" x14ac:dyDescent="0.2">
      <c r="A190" s="1">
        <v>41883</v>
      </c>
      <c r="B190">
        <v>361509000000</v>
      </c>
      <c r="C190">
        <v>3.14</v>
      </c>
      <c r="D190">
        <v>1.3171225937183451E-2</v>
      </c>
      <c r="E190">
        <f t="shared" si="4"/>
        <v>11.552436266476349</v>
      </c>
      <c r="F190">
        <f t="shared" si="5"/>
        <v>7.7442797403328252E-3</v>
      </c>
    </row>
    <row r="191" spans="1:6" x14ac:dyDescent="0.2">
      <c r="A191" s="1">
        <v>41913</v>
      </c>
      <c r="B191">
        <v>358372000000</v>
      </c>
      <c r="C191">
        <v>3.15</v>
      </c>
      <c r="D191">
        <v>1.3157894736842035E-2</v>
      </c>
      <c r="E191">
        <f t="shared" si="4"/>
        <v>11.548656937516569</v>
      </c>
      <c r="F191">
        <f t="shared" si="5"/>
        <v>7.7920994174798825E-3</v>
      </c>
    </row>
    <row r="192" spans="1:6" x14ac:dyDescent="0.2">
      <c r="A192" s="1">
        <v>41944</v>
      </c>
      <c r="B192">
        <v>356488000000</v>
      </c>
      <c r="C192">
        <v>3.15</v>
      </c>
      <c r="D192">
        <v>1.1133603238866474E-2</v>
      </c>
      <c r="E192">
        <f t="shared" si="4"/>
        <v>11.547236371695403</v>
      </c>
      <c r="F192">
        <f t="shared" si="5"/>
        <v>8.6606886708161905E-3</v>
      </c>
    </row>
    <row r="193" spans="1:6" x14ac:dyDescent="0.2">
      <c r="A193" s="1">
        <v>41974</v>
      </c>
      <c r="B193">
        <v>354827000000</v>
      </c>
      <c r="C193">
        <v>3.14</v>
      </c>
      <c r="D193">
        <v>7.0564516129032473E-3</v>
      </c>
      <c r="E193">
        <f t="shared" si="4"/>
        <v>11.546962843297768</v>
      </c>
      <c r="F193">
        <f t="shared" si="5"/>
        <v>1.0373310998892377E-2</v>
      </c>
    </row>
    <row r="194" spans="1:6" x14ac:dyDescent="0.2">
      <c r="A194" s="1">
        <v>42005</v>
      </c>
      <c r="B194">
        <v>349210000000</v>
      </c>
      <c r="C194">
        <v>3.15</v>
      </c>
      <c r="D194">
        <v>5.0658561296859084E-3</v>
      </c>
      <c r="E194">
        <f t="shared" si="4"/>
        <v>11.54089215221175</v>
      </c>
      <c r="F194">
        <f t="shared" si="5"/>
        <v>1.1274712824628511E-2</v>
      </c>
    </row>
    <row r="195" spans="1:6" x14ac:dyDescent="0.2">
      <c r="A195" s="1">
        <v>42036</v>
      </c>
      <c r="B195">
        <v>350423000000</v>
      </c>
      <c r="C195">
        <v>3.16</v>
      </c>
      <c r="D195">
        <v>4.0363269424823489E-3</v>
      </c>
      <c r="E195">
        <f t="shared" si="4"/>
        <v>11.542843177072552</v>
      </c>
      <c r="F195">
        <f t="shared" si="5"/>
        <v>1.1761907205449788E-2</v>
      </c>
    </row>
    <row r="196" spans="1:6" x14ac:dyDescent="0.2">
      <c r="A196" s="1">
        <v>42064</v>
      </c>
      <c r="B196">
        <v>351584000000</v>
      </c>
      <c r="C196">
        <v>3.15</v>
      </c>
      <c r="D196">
        <v>3.0211480362536403E-3</v>
      </c>
      <c r="E196">
        <f t="shared" ref="E196:E259" si="6">LOG(B196/(1+D196))</f>
        <v>11.544719012907375</v>
      </c>
      <c r="F196">
        <f t="shared" ref="F196:F259" si="7">LOG((1+C196/100)/(1+D196))</f>
        <v>1.2159142380852877E-2</v>
      </c>
    </row>
    <row r="197" spans="1:6" x14ac:dyDescent="0.2">
      <c r="A197" s="1">
        <v>42095</v>
      </c>
      <c r="B197">
        <v>352414000000</v>
      </c>
      <c r="C197">
        <v>3.15</v>
      </c>
      <c r="D197">
        <v>3.0120481927711218E-3</v>
      </c>
      <c r="E197">
        <f t="shared" si="6"/>
        <v>11.545747003064786</v>
      </c>
      <c r="F197">
        <f t="shared" si="7"/>
        <v>1.2163082506886856E-2</v>
      </c>
    </row>
    <row r="198" spans="1:6" x14ac:dyDescent="0.2">
      <c r="A198" s="1">
        <v>42125</v>
      </c>
      <c r="B198">
        <v>348565000000</v>
      </c>
      <c r="C198">
        <v>3.13</v>
      </c>
      <c r="D198">
        <v>5.020080321285203E-3</v>
      </c>
      <c r="E198">
        <f t="shared" si="6"/>
        <v>11.540109037665614</v>
      </c>
      <c r="F198">
        <f t="shared" si="7"/>
        <v>1.1210278694065448E-2</v>
      </c>
    </row>
    <row r="199" spans="1:6" x14ac:dyDescent="0.2">
      <c r="A199" s="1">
        <v>42156</v>
      </c>
      <c r="B199">
        <v>348440000000</v>
      </c>
      <c r="C199">
        <v>3.14</v>
      </c>
      <c r="D199">
        <v>3.0060120240480437E-3</v>
      </c>
      <c r="E199">
        <f t="shared" si="6"/>
        <v>11.540824468875368</v>
      </c>
      <c r="F199">
        <f t="shared" si="7"/>
        <v>1.2123590878748612E-2</v>
      </c>
    </row>
    <row r="200" spans="1:6" x14ac:dyDescent="0.2">
      <c r="A200" s="1">
        <v>42186</v>
      </c>
      <c r="B200">
        <v>341678000000</v>
      </c>
      <c r="C200">
        <v>3.14</v>
      </c>
      <c r="D200">
        <v>4.0160642570281624E-3</v>
      </c>
      <c r="E200">
        <f t="shared" si="6"/>
        <v>11.531876354722629</v>
      </c>
      <c r="F200">
        <f t="shared" si="7"/>
        <v>1.1686465494394789E-2</v>
      </c>
    </row>
    <row r="201" spans="1:6" x14ac:dyDescent="0.2">
      <c r="A201" s="1">
        <v>42217</v>
      </c>
      <c r="B201">
        <v>344497000000</v>
      </c>
      <c r="C201">
        <v>3.13</v>
      </c>
      <c r="D201">
        <v>4.0040040040039138E-3</v>
      </c>
      <c r="E201">
        <f t="shared" si="6"/>
        <v>11.535449999477892</v>
      </c>
      <c r="F201">
        <f t="shared" si="7"/>
        <v>1.1649572955249664E-2</v>
      </c>
    </row>
    <row r="202" spans="1:6" x14ac:dyDescent="0.2">
      <c r="A202" s="1">
        <v>42248</v>
      </c>
      <c r="B202">
        <v>345035000000</v>
      </c>
      <c r="C202">
        <v>3.14</v>
      </c>
      <c r="D202">
        <v>2.0000000000000018E-3</v>
      </c>
      <c r="E202">
        <f t="shared" si="6"/>
        <v>11.536995430167812</v>
      </c>
      <c r="F202">
        <f t="shared" si="7"/>
        <v>1.2559405539469132E-2</v>
      </c>
    </row>
    <row r="203" spans="1:6" x14ac:dyDescent="0.2">
      <c r="A203" s="1">
        <v>42278</v>
      </c>
      <c r="B203">
        <v>344278000000</v>
      </c>
      <c r="C203">
        <v>3.12</v>
      </c>
      <c r="D203">
        <v>1.9980019980019303E-3</v>
      </c>
      <c r="E203">
        <f t="shared" si="6"/>
        <v>11.536042415830813</v>
      </c>
      <c r="F203">
        <f t="shared" si="7"/>
        <v>1.2476048804247119E-2</v>
      </c>
    </row>
    <row r="204" spans="1:6" x14ac:dyDescent="0.2">
      <c r="A204" s="1">
        <v>42309</v>
      </c>
      <c r="B204">
        <v>346216000000</v>
      </c>
      <c r="C204">
        <v>3.12</v>
      </c>
      <c r="D204">
        <v>4.0040040040039138E-3</v>
      </c>
      <c r="E204">
        <f t="shared" si="6"/>
        <v>11.537611689661013</v>
      </c>
      <c r="F204">
        <f t="shared" si="7"/>
        <v>1.1607459550910819E-2</v>
      </c>
    </row>
    <row r="205" spans="1:6" x14ac:dyDescent="0.2">
      <c r="A205" s="1">
        <v>42339</v>
      </c>
      <c r="B205">
        <v>346269000000</v>
      </c>
      <c r="C205">
        <v>3.12</v>
      </c>
      <c r="D205">
        <v>5.0050050050050032E-3</v>
      </c>
      <c r="E205">
        <f t="shared" si="6"/>
        <v>11.537245388157405</v>
      </c>
      <c r="F205">
        <f t="shared" si="7"/>
        <v>1.1174679762328363E-2</v>
      </c>
    </row>
    <row r="206" spans="1:6" x14ac:dyDescent="0.2">
      <c r="A206" s="1">
        <v>42370</v>
      </c>
      <c r="B206">
        <v>343603000000</v>
      </c>
      <c r="C206">
        <v>3.13</v>
      </c>
      <c r="D206">
        <v>7.0564516129032473E-3</v>
      </c>
      <c r="E206">
        <f t="shared" si="6"/>
        <v>11.533003130931865</v>
      </c>
      <c r="F206">
        <f t="shared" si="7"/>
        <v>1.0331201677881758E-2</v>
      </c>
    </row>
    <row r="207" spans="1:6" x14ac:dyDescent="0.2">
      <c r="A207" s="1">
        <v>42401</v>
      </c>
      <c r="B207">
        <v>349860000000</v>
      </c>
      <c r="C207">
        <v>3.16</v>
      </c>
      <c r="D207">
        <v>6.0301507537687815E-3</v>
      </c>
      <c r="E207">
        <f t="shared" si="6"/>
        <v>11.541283295071095</v>
      </c>
      <c r="F207">
        <f t="shared" si="7"/>
        <v>1.090033673230678E-2</v>
      </c>
    </row>
    <row r="208" spans="1:6" x14ac:dyDescent="0.2">
      <c r="A208" s="1">
        <v>42430</v>
      </c>
      <c r="B208">
        <v>352556000000</v>
      </c>
      <c r="C208">
        <v>3.15</v>
      </c>
      <c r="D208">
        <v>8.0321285140563248E-3</v>
      </c>
      <c r="E208">
        <f t="shared" si="6"/>
        <v>11.543753735762969</v>
      </c>
      <c r="F208">
        <f t="shared" si="7"/>
        <v>9.9948579238686094E-3</v>
      </c>
    </row>
    <row r="209" spans="1:6" x14ac:dyDescent="0.2">
      <c r="A209" s="1">
        <v>42461</v>
      </c>
      <c r="B209">
        <v>350762000000</v>
      </c>
      <c r="C209">
        <v>3.13</v>
      </c>
      <c r="D209">
        <v>7.0070070070069601E-3</v>
      </c>
      <c r="E209">
        <f t="shared" si="6"/>
        <v>11.541980045209709</v>
      </c>
      <c r="F209">
        <f t="shared" si="7"/>
        <v>1.0352525255759153E-2</v>
      </c>
    </row>
    <row r="210" spans="1:6" x14ac:dyDescent="0.2">
      <c r="A210" s="1">
        <v>42491</v>
      </c>
      <c r="B210">
        <v>349775000000</v>
      </c>
      <c r="C210">
        <v>3.13</v>
      </c>
      <c r="D210">
        <v>6.9930069930070893E-3</v>
      </c>
      <c r="E210">
        <f t="shared" si="6"/>
        <v>11.540762310632394</v>
      </c>
      <c r="F210">
        <f t="shared" si="7"/>
        <v>1.0358563119497574E-2</v>
      </c>
    </row>
    <row r="211" spans="1:6" x14ac:dyDescent="0.2">
      <c r="A211" s="1">
        <v>42522</v>
      </c>
      <c r="B211">
        <v>350455000000</v>
      </c>
      <c r="C211">
        <v>3.13</v>
      </c>
      <c r="D211">
        <v>8.9910089910090196E-3</v>
      </c>
      <c r="E211">
        <f t="shared" si="6"/>
        <v>11.540744964212328</v>
      </c>
      <c r="F211">
        <f t="shared" si="7"/>
        <v>9.497721446361438E-3</v>
      </c>
    </row>
    <row r="212" spans="1:6" x14ac:dyDescent="0.2">
      <c r="A212" s="1">
        <v>42552</v>
      </c>
      <c r="B212">
        <v>351220000000</v>
      </c>
      <c r="C212">
        <v>3.14</v>
      </c>
      <c r="D212">
        <v>9.000000000000119E-3</v>
      </c>
      <c r="E212">
        <f t="shared" si="6"/>
        <v>11.541688072324964</v>
      </c>
      <c r="F212">
        <f t="shared" si="7"/>
        <v>9.5359608337855506E-3</v>
      </c>
    </row>
    <row r="213" spans="1:6" x14ac:dyDescent="0.2">
      <c r="A213" s="1">
        <v>42583</v>
      </c>
      <c r="B213">
        <v>354554000000</v>
      </c>
      <c r="C213">
        <v>3.13</v>
      </c>
      <c r="D213">
        <v>8.9730807577268479E-3</v>
      </c>
      <c r="E213">
        <f t="shared" si="6"/>
        <v>11.545802809869356</v>
      </c>
      <c r="F213">
        <f t="shared" si="7"/>
        <v>9.505438266323182E-3</v>
      </c>
    </row>
    <row r="214" spans="1:6" x14ac:dyDescent="0.2">
      <c r="A214" s="1">
        <v>42614</v>
      </c>
      <c r="B214">
        <v>354990000000</v>
      </c>
      <c r="C214">
        <v>3.03</v>
      </c>
      <c r="D214">
        <v>1.2974051896207595E-2</v>
      </c>
      <c r="E214">
        <f t="shared" si="6"/>
        <v>11.544617798517404</v>
      </c>
      <c r="F214">
        <f t="shared" si="7"/>
        <v>7.365379107772946E-3</v>
      </c>
    </row>
    <row r="215" spans="1:6" x14ac:dyDescent="0.2">
      <c r="A215" s="1">
        <v>42644</v>
      </c>
      <c r="B215">
        <v>353309000000</v>
      </c>
      <c r="C215">
        <v>2.99</v>
      </c>
      <c r="D215">
        <v>1.2961116650049842E-2</v>
      </c>
      <c r="E215">
        <f t="shared" si="6"/>
        <v>11.542561925628091</v>
      </c>
      <c r="F215">
        <f t="shared" si="7"/>
        <v>7.2022832179302687E-3</v>
      </c>
    </row>
    <row r="216" spans="1:6" x14ac:dyDescent="0.2">
      <c r="A216" s="1">
        <v>42675</v>
      </c>
      <c r="B216">
        <v>354015000000</v>
      </c>
      <c r="C216">
        <v>2.96</v>
      </c>
      <c r="D216">
        <v>1.4955134596211339E-2</v>
      </c>
      <c r="E216">
        <f t="shared" si="6"/>
        <v>11.542574818964153</v>
      </c>
      <c r="F216">
        <f t="shared" si="7"/>
        <v>6.2216889160084977E-3</v>
      </c>
    </row>
    <row r="217" spans="1:6" x14ac:dyDescent="0.2">
      <c r="A217" s="1">
        <v>42705</v>
      </c>
      <c r="B217">
        <v>353106000000</v>
      </c>
      <c r="C217">
        <v>2.96</v>
      </c>
      <c r="D217">
        <v>1.7928286852589626E-2</v>
      </c>
      <c r="E217">
        <f t="shared" si="6"/>
        <v>11.540187914196039</v>
      </c>
      <c r="F217">
        <f t="shared" si="7"/>
        <v>4.9513509066368769E-3</v>
      </c>
    </row>
    <row r="218" spans="1:6" x14ac:dyDescent="0.2">
      <c r="A218" s="1">
        <v>42736</v>
      </c>
      <c r="B218">
        <v>350740000000</v>
      </c>
      <c r="C218">
        <v>2.94</v>
      </c>
      <c r="D218">
        <v>1.9019019019018923E-2</v>
      </c>
      <c r="E218">
        <f t="shared" si="6"/>
        <v>11.536803007867965</v>
      </c>
      <c r="F218">
        <f t="shared" si="7"/>
        <v>4.4018741393932045E-3</v>
      </c>
    </row>
    <row r="219" spans="1:6" x14ac:dyDescent="0.2">
      <c r="A219" s="1">
        <v>42767</v>
      </c>
      <c r="B219">
        <v>353423000000</v>
      </c>
      <c r="C219">
        <v>2.93</v>
      </c>
      <c r="D219">
        <v>2.2977022977023198E-2</v>
      </c>
      <c r="E219">
        <f t="shared" si="6"/>
        <v>11.538428929870051</v>
      </c>
      <c r="F219">
        <f t="shared" si="7"/>
        <v>2.6760936153424389E-3</v>
      </c>
    </row>
    <row r="220" spans="1:6" x14ac:dyDescent="0.2">
      <c r="A220" s="1">
        <v>42795</v>
      </c>
      <c r="B220">
        <v>355601000000</v>
      </c>
      <c r="C220">
        <v>2.94</v>
      </c>
      <c r="D220">
        <v>2.2908366533864521E-2</v>
      </c>
      <c r="E220">
        <f t="shared" si="6"/>
        <v>11.541126242808749</v>
      </c>
      <c r="F220">
        <f t="shared" si="7"/>
        <v>2.7474331258731631E-3</v>
      </c>
    </row>
    <row r="221" spans="1:6" x14ac:dyDescent="0.2">
      <c r="A221" s="1">
        <v>42826</v>
      </c>
      <c r="B221">
        <v>358351000000</v>
      </c>
      <c r="C221">
        <v>2.92</v>
      </c>
      <c r="D221">
        <v>2.5844930417495027E-2</v>
      </c>
      <c r="E221">
        <f t="shared" si="6"/>
        <v>11.543226904160816</v>
      </c>
      <c r="F221">
        <f t="shared" si="7"/>
        <v>1.4180609670249391E-3</v>
      </c>
    </row>
    <row r="222" spans="1:6" x14ac:dyDescent="0.2">
      <c r="A222" s="1">
        <v>42856</v>
      </c>
      <c r="B222">
        <v>359611000000</v>
      </c>
      <c r="C222">
        <v>2.9</v>
      </c>
      <c r="D222">
        <v>2.6785714285714413E-2</v>
      </c>
      <c r="E222">
        <f t="shared" si="6"/>
        <v>11.544353150044712</v>
      </c>
      <c r="F222">
        <f t="shared" si="7"/>
        <v>9.355570790027419E-4</v>
      </c>
    </row>
    <row r="223" spans="1:6" x14ac:dyDescent="0.2">
      <c r="A223" s="1">
        <v>42887</v>
      </c>
      <c r="B223">
        <v>361319000000</v>
      </c>
      <c r="C223">
        <v>2.89</v>
      </c>
      <c r="D223">
        <v>2.4752475247524774E-2</v>
      </c>
      <c r="E223">
        <f t="shared" si="6"/>
        <v>11.547271823582076</v>
      </c>
      <c r="F223">
        <f t="shared" si="7"/>
        <v>1.754191212195785E-3</v>
      </c>
    </row>
    <row r="224" spans="1:6" x14ac:dyDescent="0.2">
      <c r="A224" s="1">
        <v>42917</v>
      </c>
      <c r="B224">
        <v>361161000000</v>
      </c>
      <c r="C224">
        <v>2.87</v>
      </c>
      <c r="D224">
        <v>2.5768087215064295E-2</v>
      </c>
      <c r="E224">
        <f t="shared" si="6"/>
        <v>11.546651663292366</v>
      </c>
      <c r="F224">
        <f t="shared" si="7"/>
        <v>1.2395562785806171E-3</v>
      </c>
    </row>
    <row r="225" spans="1:6" x14ac:dyDescent="0.2">
      <c r="A225" s="1">
        <v>42948</v>
      </c>
      <c r="B225">
        <v>329534000000</v>
      </c>
      <c r="C225">
        <v>2.78</v>
      </c>
      <c r="D225">
        <v>2.7667984189723382E-2</v>
      </c>
      <c r="E225">
        <f t="shared" si="6"/>
        <v>11.506047403214268</v>
      </c>
      <c r="F225">
        <f t="shared" si="7"/>
        <v>5.5786554154091888E-5</v>
      </c>
    </row>
    <row r="226" spans="1:6" x14ac:dyDescent="0.2">
      <c r="A226" s="1">
        <v>42979</v>
      </c>
      <c r="B226">
        <v>328954000000</v>
      </c>
      <c r="C226">
        <v>2.79</v>
      </c>
      <c r="D226">
        <v>2.7586206896551779E-2</v>
      </c>
      <c r="E226">
        <f t="shared" si="6"/>
        <v>11.505316905502449</v>
      </c>
      <c r="F226">
        <f t="shared" si="7"/>
        <v>1.3259988209925061E-4</v>
      </c>
    </row>
    <row r="227" spans="1:6" x14ac:dyDescent="0.2">
      <c r="A227" s="1">
        <v>43009</v>
      </c>
      <c r="B227">
        <v>336058000000</v>
      </c>
      <c r="C227">
        <v>2.81</v>
      </c>
      <c r="D227">
        <v>2.7559055118110409E-2</v>
      </c>
      <c r="E227">
        <f t="shared" si="6"/>
        <v>11.514607447701689</v>
      </c>
      <c r="F227">
        <f t="shared" si="7"/>
        <v>2.2856843118642346E-4</v>
      </c>
    </row>
    <row r="228" spans="1:6" x14ac:dyDescent="0.2">
      <c r="A228" s="1">
        <v>43040</v>
      </c>
      <c r="B228">
        <v>335306000000</v>
      </c>
      <c r="C228">
        <v>2.82</v>
      </c>
      <c r="D228">
        <v>2.8487229862475427E-2</v>
      </c>
      <c r="E228">
        <f t="shared" si="6"/>
        <v>11.513242421130309</v>
      </c>
      <c r="F228">
        <f t="shared" si="7"/>
        <v>-1.2130414708729849E-4</v>
      </c>
    </row>
    <row r="229" spans="1:6" x14ac:dyDescent="0.2">
      <c r="A229" s="1">
        <v>43070</v>
      </c>
      <c r="B229">
        <v>335331000000</v>
      </c>
      <c r="C229">
        <v>2.91</v>
      </c>
      <c r="D229">
        <v>2.739726027397249E-2</v>
      </c>
      <c r="E229">
        <f t="shared" si="6"/>
        <v>11.513735300788694</v>
      </c>
      <c r="F229">
        <f t="shared" si="7"/>
        <v>7.1917492952951678E-4</v>
      </c>
    </row>
    <row r="230" spans="1:6" x14ac:dyDescent="0.2">
      <c r="A230" s="1">
        <v>43101</v>
      </c>
      <c r="B230">
        <v>334597000000</v>
      </c>
      <c r="C230">
        <v>2.96</v>
      </c>
      <c r="D230">
        <v>2.6522593320235766E-2</v>
      </c>
      <c r="E230">
        <f t="shared" si="6"/>
        <v>11.513153530308893</v>
      </c>
      <c r="F230">
        <f t="shared" si="7"/>
        <v>1.3000214499973976E-3</v>
      </c>
    </row>
    <row r="231" spans="1:6" x14ac:dyDescent="0.2">
      <c r="A231" s="1">
        <v>43132</v>
      </c>
      <c r="B231">
        <v>335272000000</v>
      </c>
      <c r="C231">
        <v>3.05</v>
      </c>
      <c r="D231">
        <v>2.44140625E-2</v>
      </c>
      <c r="E231">
        <f t="shared" si="6"/>
        <v>11.51492175359814</v>
      </c>
      <c r="F231">
        <f t="shared" si="7"/>
        <v>2.5724645614857585E-3</v>
      </c>
    </row>
    <row r="232" spans="1:6" x14ac:dyDescent="0.2">
      <c r="A232" s="1">
        <v>43160</v>
      </c>
      <c r="B232">
        <v>338347000000</v>
      </c>
      <c r="C232">
        <v>3.06</v>
      </c>
      <c r="D232">
        <v>2.3369036027263812E-2</v>
      </c>
      <c r="E232">
        <f t="shared" si="6"/>
        <v>11.519330057674111</v>
      </c>
      <c r="F232">
        <f t="shared" si="7"/>
        <v>3.0578656940918863E-3</v>
      </c>
    </row>
    <row r="233" spans="1:6" x14ac:dyDescent="0.2">
      <c r="A233" s="1">
        <v>43191</v>
      </c>
      <c r="B233">
        <v>338373000000</v>
      </c>
      <c r="C233">
        <v>3.09</v>
      </c>
      <c r="D233">
        <v>2.2286821705426396E-2</v>
      </c>
      <c r="E233">
        <f t="shared" si="6"/>
        <v>11.519822939486563</v>
      </c>
      <c r="F233">
        <f t="shared" si="7"/>
        <v>3.6437772819215737E-3</v>
      </c>
    </row>
    <row r="234" spans="1:6" x14ac:dyDescent="0.2">
      <c r="A234" s="1">
        <v>43221</v>
      </c>
      <c r="B234">
        <v>372496000000</v>
      </c>
      <c r="C234">
        <v>3.18</v>
      </c>
      <c r="D234">
        <v>2.3188405797101463E-2</v>
      </c>
      <c r="E234">
        <f t="shared" si="6"/>
        <v>11.561166003179817</v>
      </c>
      <c r="F234">
        <f t="shared" si="7"/>
        <v>3.6399132227410459E-3</v>
      </c>
    </row>
    <row r="235" spans="1:6" x14ac:dyDescent="0.2">
      <c r="A235" s="1">
        <v>43252</v>
      </c>
      <c r="B235">
        <v>372569000000</v>
      </c>
      <c r="C235">
        <v>3.19</v>
      </c>
      <c r="D235">
        <v>2.3188405797101463E-2</v>
      </c>
      <c r="E235">
        <f t="shared" si="6"/>
        <v>11.561251105814568</v>
      </c>
      <c r="F235">
        <f t="shared" si="7"/>
        <v>3.6820021389830523E-3</v>
      </c>
    </row>
    <row r="236" spans="1:6" x14ac:dyDescent="0.2">
      <c r="A236" s="1">
        <v>43282</v>
      </c>
      <c r="B236">
        <v>374861000000</v>
      </c>
      <c r="C236">
        <v>3.22</v>
      </c>
      <c r="D236">
        <v>2.3188405797101463E-2</v>
      </c>
      <c r="E236">
        <f t="shared" si="6"/>
        <v>11.563914649083157</v>
      </c>
      <c r="F236">
        <f t="shared" si="7"/>
        <v>3.8082444193845667E-3</v>
      </c>
    </row>
    <row r="237" spans="1:6" x14ac:dyDescent="0.2">
      <c r="A237" s="1">
        <v>43313</v>
      </c>
      <c r="B237">
        <v>376696000000</v>
      </c>
      <c r="C237">
        <v>3.2</v>
      </c>
      <c r="D237">
        <v>2.4038461538461453E-2</v>
      </c>
      <c r="E237">
        <f t="shared" si="6"/>
        <v>11.565674740134112</v>
      </c>
      <c r="F237">
        <f t="shared" si="7"/>
        <v>3.363428815216383E-3</v>
      </c>
    </row>
    <row r="238" spans="1:6" x14ac:dyDescent="0.2">
      <c r="A238" s="1">
        <v>43344</v>
      </c>
      <c r="B238">
        <v>377971000000</v>
      </c>
      <c r="C238">
        <v>3.26</v>
      </c>
      <c r="D238">
        <v>2.2051773729625967E-2</v>
      </c>
      <c r="E238">
        <f t="shared" si="6"/>
        <v>11.567985583406209</v>
      </c>
      <c r="F238">
        <f t="shared" si="7"/>
        <v>4.459224447181288E-3</v>
      </c>
    </row>
    <row r="239" spans="1:6" x14ac:dyDescent="0.2">
      <c r="A239" s="1">
        <v>43374</v>
      </c>
      <c r="B239">
        <v>378851000000</v>
      </c>
      <c r="C239">
        <v>3.3</v>
      </c>
      <c r="D239">
        <v>2.2030651340996243E-2</v>
      </c>
      <c r="E239">
        <f t="shared" si="6"/>
        <v>11.569004517175138</v>
      </c>
      <c r="F239">
        <f t="shared" si="7"/>
        <v>4.636400761393991E-3</v>
      </c>
    </row>
    <row r="240" spans="1:6" x14ac:dyDescent="0.2">
      <c r="A240" s="1">
        <v>43405</v>
      </c>
      <c r="B240">
        <v>379032000000</v>
      </c>
      <c r="C240">
        <v>3.3</v>
      </c>
      <c r="D240">
        <v>2.1012416427889313E-2</v>
      </c>
      <c r="E240">
        <f t="shared" si="6"/>
        <v>11.569644853553585</v>
      </c>
      <c r="F240">
        <f t="shared" si="7"/>
        <v>5.069297989684772E-3</v>
      </c>
    </row>
    <row r="241" spans="1:6" x14ac:dyDescent="0.2">
      <c r="A241" s="1">
        <v>43435</v>
      </c>
      <c r="B241">
        <v>382774000000</v>
      </c>
      <c r="C241">
        <v>3.27</v>
      </c>
      <c r="D241">
        <v>2.0000000000000018E-2</v>
      </c>
      <c r="E241">
        <f t="shared" si="6"/>
        <v>11.574342258805755</v>
      </c>
      <c r="F241">
        <f t="shared" si="7"/>
        <v>5.3740052589984931E-3</v>
      </c>
    </row>
    <row r="242" spans="1:6" x14ac:dyDescent="0.2">
      <c r="A242" s="1">
        <v>43466</v>
      </c>
      <c r="B242">
        <v>381879000000</v>
      </c>
      <c r="C242">
        <v>3.31</v>
      </c>
      <c r="D242">
        <v>1.8181818181818299E-2</v>
      </c>
      <c r="E242">
        <f t="shared" si="6"/>
        <v>11.574100439125617</v>
      </c>
      <c r="F242">
        <f t="shared" si="7"/>
        <v>6.3170240330492162E-3</v>
      </c>
    </row>
    <row r="243" spans="1:6" x14ac:dyDescent="0.2">
      <c r="A243" s="1">
        <v>43497</v>
      </c>
      <c r="B243">
        <v>385271000000</v>
      </c>
      <c r="C243">
        <v>3.35</v>
      </c>
      <c r="D243">
        <v>1.8112488083889433E-2</v>
      </c>
      <c r="E243">
        <f t="shared" si="6"/>
        <v>11.577970555663853</v>
      </c>
      <c r="F243">
        <f t="shared" si="7"/>
        <v>6.5147164643273433E-3</v>
      </c>
    </row>
    <row r="244" spans="1:6" x14ac:dyDescent="0.2">
      <c r="A244" s="1">
        <v>43525</v>
      </c>
      <c r="B244">
        <v>386614000000</v>
      </c>
      <c r="C244">
        <v>3.34</v>
      </c>
      <c r="D244">
        <v>1.8078020932445371E-2</v>
      </c>
      <c r="E244">
        <f t="shared" si="6"/>
        <v>11.579496514917768</v>
      </c>
      <c r="F244">
        <f t="shared" si="7"/>
        <v>6.4873955526755355E-3</v>
      </c>
    </row>
    <row r="245" spans="1:6" x14ac:dyDescent="0.2">
      <c r="A245" s="1">
        <v>43556</v>
      </c>
      <c r="B245">
        <v>387415000000</v>
      </c>
      <c r="C245">
        <v>3.34</v>
      </c>
      <c r="D245">
        <v>1.9905213270142053E-2</v>
      </c>
      <c r="E245">
        <f t="shared" si="6"/>
        <v>11.579616620099737</v>
      </c>
      <c r="F245">
        <f t="shared" si="7"/>
        <v>5.7086455129841483E-3</v>
      </c>
    </row>
    <row r="246" spans="1:6" x14ac:dyDescent="0.2">
      <c r="A246" s="1">
        <v>43586</v>
      </c>
      <c r="B246">
        <v>384153000000</v>
      </c>
      <c r="C246">
        <v>3.34</v>
      </c>
      <c r="D246">
        <v>1.8885741265344702E-2</v>
      </c>
      <c r="E246">
        <f t="shared" si="6"/>
        <v>11.576378744536237</v>
      </c>
      <c r="F246">
        <f t="shared" si="7"/>
        <v>6.1429726342172369E-3</v>
      </c>
    </row>
    <row r="247" spans="1:6" x14ac:dyDescent="0.2">
      <c r="A247" s="1">
        <v>43617</v>
      </c>
      <c r="B247">
        <v>385660000000</v>
      </c>
      <c r="C247">
        <v>3.32</v>
      </c>
      <c r="D247">
        <v>1.8885741265344702E-2</v>
      </c>
      <c r="E247">
        <f t="shared" si="6"/>
        <v>11.578079112340575</v>
      </c>
      <c r="F247">
        <f t="shared" si="7"/>
        <v>6.0589129258538568E-3</v>
      </c>
    </row>
    <row r="248" spans="1:6" x14ac:dyDescent="0.2">
      <c r="A248" s="1">
        <v>43647</v>
      </c>
      <c r="B248">
        <v>388574000000</v>
      </c>
      <c r="C248">
        <v>3.31</v>
      </c>
      <c r="D248">
        <v>1.9830028328611915E-2</v>
      </c>
      <c r="E248">
        <f t="shared" si="6"/>
        <v>11.580945942638568</v>
      </c>
      <c r="F248">
        <f t="shared" si="7"/>
        <v>5.6145661655410779E-3</v>
      </c>
    </row>
    <row r="249" spans="1:6" x14ac:dyDescent="0.2">
      <c r="A249" s="1">
        <v>43678</v>
      </c>
      <c r="B249">
        <v>387727000000</v>
      </c>
      <c r="C249">
        <v>3.3</v>
      </c>
      <c r="D249">
        <v>1.6901408450704203E-2</v>
      </c>
      <c r="E249">
        <f t="shared" si="6"/>
        <v>11.58124719601201</v>
      </c>
      <c r="F249">
        <f t="shared" si="7"/>
        <v>6.8214726690567114E-3</v>
      </c>
    </row>
    <row r="250" spans="1:6" x14ac:dyDescent="0.2">
      <c r="A250" s="1">
        <v>43709</v>
      </c>
      <c r="B250">
        <v>390800000000</v>
      </c>
      <c r="C250">
        <v>3.27</v>
      </c>
      <c r="D250">
        <v>1.6885553470919357E-2</v>
      </c>
      <c r="E250">
        <f t="shared" si="6"/>
        <v>11.584682477534921</v>
      </c>
      <c r="F250">
        <f t="shared" si="7"/>
        <v>6.7020995091013969E-3</v>
      </c>
    </row>
    <row r="251" spans="1:6" x14ac:dyDescent="0.2">
      <c r="A251" s="1">
        <v>43739</v>
      </c>
      <c r="B251">
        <v>392141000000</v>
      </c>
      <c r="C251">
        <v>3.27</v>
      </c>
      <c r="D251">
        <v>1.4995313964386137E-2</v>
      </c>
      <c r="E251">
        <f t="shared" si="6"/>
        <v>11.586978214798094</v>
      </c>
      <c r="F251">
        <f t="shared" si="7"/>
        <v>7.5101398200655674E-3</v>
      </c>
    </row>
    <row r="252" spans="1:6" x14ac:dyDescent="0.2">
      <c r="A252" s="1">
        <v>43770</v>
      </c>
      <c r="B252">
        <v>394285000000</v>
      </c>
      <c r="C252">
        <v>3.26</v>
      </c>
      <c r="D252">
        <v>1.4967259120673537E-2</v>
      </c>
      <c r="E252">
        <f t="shared" si="6"/>
        <v>11.589358222309112</v>
      </c>
      <c r="F252">
        <f t="shared" si="7"/>
        <v>7.4800877354335672E-3</v>
      </c>
    </row>
    <row r="253" spans="1:6" x14ac:dyDescent="0.2">
      <c r="A253" s="1">
        <v>43800</v>
      </c>
      <c r="B253">
        <v>395310000000</v>
      </c>
      <c r="C253">
        <v>3.24</v>
      </c>
      <c r="D253">
        <v>1.3071895424836555E-2</v>
      </c>
      <c r="E253">
        <f t="shared" si="6"/>
        <v>11.591297533304186</v>
      </c>
      <c r="F253">
        <f t="shared" si="7"/>
        <v>8.2077285191386115E-3</v>
      </c>
    </row>
    <row r="254" spans="1:6" x14ac:dyDescent="0.2">
      <c r="A254" s="1">
        <v>43831</v>
      </c>
      <c r="B254">
        <v>390873000000</v>
      </c>
      <c r="C254">
        <v>3.28</v>
      </c>
      <c r="D254">
        <v>1.7857142857142794E-2</v>
      </c>
      <c r="E254">
        <f t="shared" si="6"/>
        <v>11.584348843413451</v>
      </c>
      <c r="F254">
        <f t="shared" si="7"/>
        <v>6.3294005920729104E-3</v>
      </c>
    </row>
    <row r="255" spans="1:6" x14ac:dyDescent="0.2">
      <c r="A255" s="1">
        <v>43862</v>
      </c>
      <c r="B255">
        <v>391925000000</v>
      </c>
      <c r="C255">
        <v>3.29</v>
      </c>
      <c r="D255">
        <v>1.6853932584269593E-2</v>
      </c>
      <c r="E255">
        <f t="shared" si="6"/>
        <v>11.585944394453808</v>
      </c>
      <c r="F255">
        <f t="shared" si="7"/>
        <v>6.7997048640453979E-3</v>
      </c>
    </row>
    <row r="256" spans="1:6" x14ac:dyDescent="0.2">
      <c r="A256" s="1">
        <v>43891</v>
      </c>
      <c r="B256">
        <v>391650000000</v>
      </c>
      <c r="C256">
        <v>3.3</v>
      </c>
      <c r="D256">
        <v>1.495327102803734E-2</v>
      </c>
      <c r="E256">
        <f t="shared" si="6"/>
        <v>11.586452083311007</v>
      </c>
      <c r="F256">
        <f t="shared" si="7"/>
        <v>7.6542739520020168E-3</v>
      </c>
    </row>
    <row r="257" spans="1:6" x14ac:dyDescent="0.2">
      <c r="A257" s="1">
        <v>43922</v>
      </c>
      <c r="B257">
        <v>419203000000</v>
      </c>
      <c r="C257">
        <v>3.21</v>
      </c>
      <c r="D257">
        <v>9.2936802973977439E-3</v>
      </c>
      <c r="E257">
        <f t="shared" si="6"/>
        <v>11.618406828065579</v>
      </c>
      <c r="F257">
        <f t="shared" si="7"/>
        <v>9.7042241286052489E-3</v>
      </c>
    </row>
    <row r="258" spans="1:6" x14ac:dyDescent="0.2">
      <c r="A258" s="1">
        <v>43952</v>
      </c>
      <c r="B258">
        <v>419128000000</v>
      </c>
      <c r="C258">
        <v>2.98</v>
      </c>
      <c r="D258">
        <v>6.487488415199083E-3</v>
      </c>
      <c r="E258">
        <f t="shared" si="6"/>
        <v>11.619538294435484</v>
      </c>
      <c r="F258">
        <f t="shared" si="7"/>
        <v>9.9445069212985258E-3</v>
      </c>
    </row>
    <row r="259" spans="1:6" x14ac:dyDescent="0.2">
      <c r="A259" s="1">
        <v>43983</v>
      </c>
      <c r="B259">
        <v>432035000000</v>
      </c>
      <c r="C259">
        <v>2.86</v>
      </c>
      <c r="D259">
        <v>8.3410565338275511E-3</v>
      </c>
      <c r="E259">
        <f t="shared" si="6"/>
        <v>11.631911480605909</v>
      </c>
      <c r="F259">
        <f t="shared" si="7"/>
        <v>8.6390693058208817E-3</v>
      </c>
    </row>
    <row r="260" spans="1:6" x14ac:dyDescent="0.2">
      <c r="A260" s="1">
        <v>44013</v>
      </c>
      <c r="B260">
        <v>432503000000</v>
      </c>
      <c r="C260">
        <v>2.79</v>
      </c>
      <c r="D260">
        <v>1.1111111111111072E-2</v>
      </c>
      <c r="E260">
        <f t="shared" ref="E260:E297" si="8">LOG(B260/(1+D260))</f>
        <v>11.63119024135589</v>
      </c>
      <c r="F260">
        <f t="shared" ref="F260:F297" si="9">LOG((1+C260/100)/(1+D260))</f>
        <v>7.1519831776297354E-3</v>
      </c>
    </row>
    <row r="261" spans="1:6" x14ac:dyDescent="0.2">
      <c r="A261" s="1">
        <v>44044</v>
      </c>
      <c r="B261">
        <v>432685000000</v>
      </c>
      <c r="C261">
        <v>2.66</v>
      </c>
      <c r="D261">
        <v>4.6168051708217472E-3</v>
      </c>
      <c r="E261">
        <f t="shared" si="8"/>
        <v>11.634171400926535</v>
      </c>
      <c r="F261">
        <f t="shared" si="9"/>
        <v>9.4008211879031255E-3</v>
      </c>
    </row>
    <row r="262" spans="1:6" x14ac:dyDescent="0.2">
      <c r="A262" s="1">
        <v>44075</v>
      </c>
      <c r="B262">
        <v>432234000000</v>
      </c>
      <c r="C262">
        <v>2.5299999999999998</v>
      </c>
      <c r="D262">
        <v>7.3800738007379074E-3</v>
      </c>
      <c r="E262">
        <f t="shared" si="8"/>
        <v>11.63252556980432</v>
      </c>
      <c r="F262">
        <f t="shared" si="9"/>
        <v>7.6576012075725711E-3</v>
      </c>
    </row>
    <row r="263" spans="1:6" x14ac:dyDescent="0.2">
      <c r="A263" s="1">
        <v>44105</v>
      </c>
      <c r="B263">
        <v>429307000000</v>
      </c>
      <c r="C263">
        <v>2.52</v>
      </c>
      <c r="D263">
        <v>8.3102493074793671E-3</v>
      </c>
      <c r="E263">
        <f t="shared" si="8"/>
        <v>11.6291737881164</v>
      </c>
      <c r="F263">
        <f t="shared" si="9"/>
        <v>7.2144157688081873E-3</v>
      </c>
    </row>
    <row r="264" spans="1:6" x14ac:dyDescent="0.2">
      <c r="A264" s="1">
        <v>44136</v>
      </c>
      <c r="B264">
        <v>427389000000</v>
      </c>
      <c r="C264">
        <v>2.46</v>
      </c>
      <c r="D264">
        <v>5.5299539170505785E-3</v>
      </c>
      <c r="E264">
        <f t="shared" si="8"/>
        <v>11.628428327837037</v>
      </c>
      <c r="F264">
        <f t="shared" si="9"/>
        <v>8.1593391365287378E-3</v>
      </c>
    </row>
    <row r="265" spans="1:6" x14ac:dyDescent="0.2">
      <c r="A265" s="1">
        <v>44166</v>
      </c>
      <c r="B265">
        <v>429158000000</v>
      </c>
      <c r="C265">
        <v>2.4500000000000002</v>
      </c>
      <c r="D265">
        <v>8.2949308755759787E-3</v>
      </c>
      <c r="E265">
        <f t="shared" si="8"/>
        <v>11.629029628873484</v>
      </c>
      <c r="F265">
        <f t="shared" si="9"/>
        <v>6.924378924350153E-3</v>
      </c>
    </row>
    <row r="266" spans="1:6" x14ac:dyDescent="0.2">
      <c r="A266" s="1">
        <v>44197</v>
      </c>
      <c r="B266">
        <v>426222000000</v>
      </c>
      <c r="C266">
        <v>2.4500000000000002</v>
      </c>
      <c r="D266">
        <v>9.2336103416434945E-3</v>
      </c>
      <c r="E266">
        <f t="shared" si="8"/>
        <v>11.625644157303952</v>
      </c>
      <c r="F266">
        <f t="shared" si="9"/>
        <v>6.5202574128313913E-3</v>
      </c>
    </row>
    <row r="267" spans="1:6" x14ac:dyDescent="0.2">
      <c r="A267" s="1">
        <v>44228</v>
      </c>
      <c r="B267">
        <v>426731000000</v>
      </c>
      <c r="C267">
        <v>2.41</v>
      </c>
      <c r="D267">
        <v>7.3664825046042548E-3</v>
      </c>
      <c r="E267">
        <f t="shared" si="8"/>
        <v>11.626966696712129</v>
      </c>
      <c r="F267">
        <f t="shared" si="9"/>
        <v>7.1548693949837856E-3</v>
      </c>
    </row>
    <row r="268" spans="1:6" x14ac:dyDescent="0.2">
      <c r="A268" s="1">
        <v>44256</v>
      </c>
      <c r="B268">
        <v>429320000000</v>
      </c>
      <c r="C268">
        <v>2.4300000000000002</v>
      </c>
      <c r="D268">
        <v>1.0128913443830712E-2</v>
      </c>
      <c r="E268">
        <f t="shared" si="8"/>
        <v>11.628404318366542</v>
      </c>
      <c r="F268">
        <f t="shared" si="9"/>
        <v>6.05037039516617E-3</v>
      </c>
    </row>
    <row r="269" spans="1:6" x14ac:dyDescent="0.2">
      <c r="A269" s="1">
        <v>44287</v>
      </c>
      <c r="B269">
        <v>430043000000</v>
      </c>
      <c r="C269">
        <v>2.44</v>
      </c>
      <c r="D269">
        <v>1.6574585635359185E-2</v>
      </c>
      <c r="E269">
        <f t="shared" si="8"/>
        <v>11.626372634716096</v>
      </c>
      <c r="F269">
        <f t="shared" si="9"/>
        <v>3.3303216560401066E-3</v>
      </c>
    </row>
    <row r="270" spans="1:6" x14ac:dyDescent="0.2">
      <c r="A270" s="1">
        <v>44317</v>
      </c>
      <c r="B270">
        <v>425439000000</v>
      </c>
      <c r="C270">
        <v>2.42</v>
      </c>
      <c r="D270">
        <v>2.2099447513812098E-2</v>
      </c>
      <c r="E270">
        <f t="shared" si="8"/>
        <v>11.619344145639936</v>
      </c>
      <c r="F270">
        <f t="shared" si="9"/>
        <v>8.916179645479885E-4</v>
      </c>
    </row>
    <row r="271" spans="1:6" x14ac:dyDescent="0.2">
      <c r="A271" s="1">
        <v>44348</v>
      </c>
      <c r="B271">
        <v>424199000000</v>
      </c>
      <c r="C271">
        <v>2.5</v>
      </c>
      <c r="D271">
        <v>2.3897058823529438E-2</v>
      </c>
      <c r="E271">
        <f t="shared" si="8"/>
        <v>11.617313344907272</v>
      </c>
      <c r="F271">
        <f t="shared" si="9"/>
        <v>4.6756991622404643E-4</v>
      </c>
    </row>
    <row r="272" spans="1:6" x14ac:dyDescent="0.2">
      <c r="A272" s="1">
        <v>44378</v>
      </c>
      <c r="B272">
        <v>429238000000</v>
      </c>
      <c r="C272">
        <v>2.5499999999999998</v>
      </c>
      <c r="D272">
        <v>2.0146520146520075E-2</v>
      </c>
      <c r="E272">
        <f t="shared" si="8"/>
        <v>11.624035610172045</v>
      </c>
      <c r="F272">
        <f t="shared" si="9"/>
        <v>2.273112235393498E-3</v>
      </c>
    </row>
    <row r="273" spans="1:6" x14ac:dyDescent="0.2">
      <c r="A273" s="1">
        <v>44409</v>
      </c>
      <c r="B273">
        <v>428069000000</v>
      </c>
      <c r="C273">
        <v>2.5499999999999998</v>
      </c>
      <c r="D273">
        <v>3.0330882352941124E-2</v>
      </c>
      <c r="E273">
        <f t="shared" si="8"/>
        <v>11.618537060901859</v>
      </c>
      <c r="F273">
        <f t="shared" si="9"/>
        <v>-2.0410525284269218E-3</v>
      </c>
    </row>
    <row r="274" spans="1:6" x14ac:dyDescent="0.2">
      <c r="A274" s="1">
        <v>44440</v>
      </c>
      <c r="B274">
        <v>426831000000</v>
      </c>
      <c r="C274">
        <v>2.65</v>
      </c>
      <c r="D274">
        <v>2.9304029304029422E-2</v>
      </c>
      <c r="E274">
        <f t="shared" si="8"/>
        <v>11.617712281093416</v>
      </c>
      <c r="F274">
        <f t="shared" si="9"/>
        <v>-1.1847191577132525E-3</v>
      </c>
    </row>
    <row r="275" spans="1:6" x14ac:dyDescent="0.2">
      <c r="A275" s="1">
        <v>44470</v>
      </c>
      <c r="B275">
        <v>423174000000</v>
      </c>
      <c r="C275">
        <v>2.65</v>
      </c>
      <c r="D275">
        <v>3.8461538461538547E-2</v>
      </c>
      <c r="E275">
        <f t="shared" si="8"/>
        <v>11.610128560411255</v>
      </c>
      <c r="F275">
        <f t="shared" si="9"/>
        <v>-5.0314624815587022E-3</v>
      </c>
    </row>
    <row r="276" spans="1:6" x14ac:dyDescent="0.2">
      <c r="A276" s="1">
        <v>44501</v>
      </c>
      <c r="B276">
        <v>427270000000</v>
      </c>
      <c r="C276">
        <v>2.66</v>
      </c>
      <c r="D276">
        <v>4.5829514207149424E-2</v>
      </c>
      <c r="E276">
        <f t="shared" si="8"/>
        <v>11.611241506846335</v>
      </c>
      <c r="F276">
        <f t="shared" si="9"/>
        <v>-8.0596339051288643E-3</v>
      </c>
    </row>
    <row r="277" spans="1:6" x14ac:dyDescent="0.2">
      <c r="A277" s="1">
        <v>44531</v>
      </c>
      <c r="B277">
        <v>425240000000</v>
      </c>
      <c r="C277">
        <v>2.7</v>
      </c>
      <c r="D277">
        <v>4.8446069469835429E-2</v>
      </c>
      <c r="E277">
        <f t="shared" si="8"/>
        <v>11.608088013574442</v>
      </c>
      <c r="F277">
        <f t="shared" si="9"/>
        <v>-8.9756523065775435E-3</v>
      </c>
    </row>
    <row r="278" spans="1:6" x14ac:dyDescent="0.2">
      <c r="A278" s="1">
        <v>44562</v>
      </c>
      <c r="B278">
        <v>425183000000</v>
      </c>
      <c r="C278">
        <v>2.75</v>
      </c>
      <c r="D278">
        <v>4.8490393412625732E-2</v>
      </c>
      <c r="E278">
        <f t="shared" si="8"/>
        <v>11.608011436214307</v>
      </c>
      <c r="F278">
        <f t="shared" si="9"/>
        <v>-8.7826251335615148E-3</v>
      </c>
    </row>
    <row r="279" spans="1:6" x14ac:dyDescent="0.2">
      <c r="A279" s="1">
        <v>44593</v>
      </c>
      <c r="B279">
        <v>427834000000</v>
      </c>
      <c r="C279">
        <v>2.81</v>
      </c>
      <c r="D279">
        <v>5.4844606946983454E-2</v>
      </c>
      <c r="E279">
        <f t="shared" si="8"/>
        <v>11.608086808199653</v>
      </c>
      <c r="F279">
        <f t="shared" si="9"/>
        <v>-1.115312767277127E-2</v>
      </c>
    </row>
    <row r="280" spans="1:6" x14ac:dyDescent="0.2">
      <c r="A280" s="1">
        <v>44621</v>
      </c>
      <c r="B280">
        <v>429177000000</v>
      </c>
      <c r="C280">
        <v>2.95</v>
      </c>
      <c r="D280">
        <v>6.1987237921604432E-2</v>
      </c>
      <c r="E280">
        <f t="shared" si="8"/>
        <v>11.606517141879531</v>
      </c>
      <c r="F280">
        <f t="shared" si="9"/>
        <v>-1.3492946833276462E-2</v>
      </c>
    </row>
    <row r="281" spans="1:6" x14ac:dyDescent="0.2">
      <c r="A281" s="1">
        <v>44652</v>
      </c>
      <c r="B281">
        <v>429385000000</v>
      </c>
      <c r="C281">
        <v>3.05</v>
      </c>
      <c r="D281">
        <v>7.7898550724637694E-2</v>
      </c>
      <c r="E281">
        <f t="shared" si="8"/>
        <v>11.60026898085958</v>
      </c>
      <c r="F281">
        <f t="shared" si="9"/>
        <v>-1.952989188411898E-2</v>
      </c>
    </row>
    <row r="282" spans="1:6" x14ac:dyDescent="0.2">
      <c r="A282" s="1">
        <v>44682</v>
      </c>
      <c r="B282">
        <v>430144000000</v>
      </c>
      <c r="C282">
        <v>3.15</v>
      </c>
      <c r="D282">
        <v>7.8378378378378466E-2</v>
      </c>
      <c r="E282">
        <f t="shared" si="8"/>
        <v>11.600842697764913</v>
      </c>
      <c r="F282">
        <f t="shared" si="9"/>
        <v>-1.9301939310582841E-2</v>
      </c>
    </row>
    <row r="283" spans="1:6" x14ac:dyDescent="0.2">
      <c r="A283" s="1">
        <v>44713</v>
      </c>
      <c r="B283">
        <v>429547000000</v>
      </c>
      <c r="C283">
        <v>3.35</v>
      </c>
      <c r="D283">
        <v>8.1687612208258376E-2</v>
      </c>
      <c r="E283">
        <f t="shared" si="8"/>
        <v>11.598908834152061</v>
      </c>
      <c r="F283">
        <f t="shared" si="9"/>
        <v>-1.9791375109869939E-2</v>
      </c>
    </row>
    <row r="284" spans="1:6" x14ac:dyDescent="0.2">
      <c r="A284" s="1">
        <v>44743</v>
      </c>
      <c r="B284">
        <v>427316000000</v>
      </c>
      <c r="C284">
        <v>3.48</v>
      </c>
      <c r="D284">
        <v>8.797127468581678E-2</v>
      </c>
      <c r="E284">
        <f t="shared" si="8"/>
        <v>11.594131725424495</v>
      </c>
      <c r="F284">
        <f t="shared" si="9"/>
        <v>-2.1761008948051479E-2</v>
      </c>
    </row>
    <row r="285" spans="1:6" x14ac:dyDescent="0.2">
      <c r="A285" s="1">
        <v>44774</v>
      </c>
      <c r="B285">
        <v>429276000000</v>
      </c>
      <c r="C285">
        <v>3.56</v>
      </c>
      <c r="D285">
        <v>8.6529884032114257E-2</v>
      </c>
      <c r="E285">
        <f t="shared" si="8"/>
        <v>11.596694932882547</v>
      </c>
      <c r="F285">
        <f t="shared" si="9"/>
        <v>-2.0849633939048963E-2</v>
      </c>
    </row>
    <row r="286" spans="1:6" x14ac:dyDescent="0.2">
      <c r="A286" s="1">
        <v>44805</v>
      </c>
      <c r="B286">
        <v>429738000000</v>
      </c>
      <c r="C286">
        <v>3.87</v>
      </c>
      <c r="D286">
        <v>8.807829181494653E-2</v>
      </c>
      <c r="E286">
        <f t="shared" si="8"/>
        <v>11.596543612490004</v>
      </c>
      <c r="F286">
        <f t="shared" si="9"/>
        <v>-2.0170014182415003E-2</v>
      </c>
    </row>
    <row r="287" spans="1:6" x14ac:dyDescent="0.2">
      <c r="A287" s="1">
        <v>44835</v>
      </c>
      <c r="B287">
        <v>428841000000</v>
      </c>
      <c r="C287">
        <v>4.08</v>
      </c>
      <c r="D287">
        <v>9.6119929453262642E-2</v>
      </c>
      <c r="E287">
        <f t="shared" si="8"/>
        <v>11.592438225973423</v>
      </c>
      <c r="F287">
        <f t="shared" si="9"/>
        <v>-2.2490790531227121E-2</v>
      </c>
    </row>
    <row r="288" spans="1:6" x14ac:dyDescent="0.2">
      <c r="A288" s="1">
        <v>44866</v>
      </c>
      <c r="B288">
        <v>428432000000</v>
      </c>
      <c r="C288">
        <v>4.33</v>
      </c>
      <c r="D288">
        <v>9.3777388255915861E-2</v>
      </c>
      <c r="E288">
        <f t="shared" si="8"/>
        <v>11.592952960317533</v>
      </c>
      <c r="F288">
        <f t="shared" si="9"/>
        <v>-2.0519733546122191E-2</v>
      </c>
    </row>
    <row r="289" spans="1:6" x14ac:dyDescent="0.2">
      <c r="A289" s="1">
        <v>44896</v>
      </c>
      <c r="B289">
        <v>427810000000</v>
      </c>
      <c r="C289">
        <v>4.82</v>
      </c>
      <c r="D289">
        <v>9.2414995640802022E-2</v>
      </c>
      <c r="E289">
        <f t="shared" si="8"/>
        <v>11.592863278835148</v>
      </c>
      <c r="F289">
        <f t="shared" si="9"/>
        <v>-1.7943497726307697E-2</v>
      </c>
    </row>
    <row r="290" spans="1:6" x14ac:dyDescent="0.2">
      <c r="A290" s="1">
        <v>44927</v>
      </c>
      <c r="B290">
        <v>427986000000</v>
      </c>
      <c r="C290">
        <v>5.14</v>
      </c>
      <c r="D290">
        <v>8.9005235602094279E-2</v>
      </c>
      <c r="E290">
        <f t="shared" si="8"/>
        <v>11.594399595171526</v>
      </c>
      <c r="F290">
        <f t="shared" si="9"/>
        <v>-1.5261995032627648E-2</v>
      </c>
    </row>
    <row r="291" spans="1:6" x14ac:dyDescent="0.2">
      <c r="A291" s="1">
        <v>44958</v>
      </c>
      <c r="B291">
        <v>426317000000</v>
      </c>
      <c r="C291">
        <v>5.3</v>
      </c>
      <c r="D291">
        <v>9.1854419410745125E-2</v>
      </c>
      <c r="E291">
        <f t="shared" si="8"/>
        <v>11.591567914808081</v>
      </c>
      <c r="F291">
        <f t="shared" si="9"/>
        <v>-1.5736365112363728E-2</v>
      </c>
    </row>
    <row r="292" spans="1:6" x14ac:dyDescent="0.2">
      <c r="A292" s="1">
        <v>44986</v>
      </c>
      <c r="B292">
        <v>427280000000</v>
      </c>
      <c r="C292">
        <v>5.65</v>
      </c>
      <c r="D292">
        <v>8.8412017167381896E-2</v>
      </c>
      <c r="E292">
        <f t="shared" si="8"/>
        <v>11.593919236777404</v>
      </c>
      <c r="F292">
        <f t="shared" si="9"/>
        <v>-1.2923826795343912E-2</v>
      </c>
    </row>
    <row r="293" spans="1:6" x14ac:dyDescent="0.2">
      <c r="A293" s="1">
        <v>45017</v>
      </c>
      <c r="B293">
        <v>427025000000</v>
      </c>
      <c r="C293">
        <v>5.79</v>
      </c>
      <c r="D293">
        <v>7.8151260504201847E-2</v>
      </c>
      <c r="E293">
        <f t="shared" si="8"/>
        <v>11.597773606375698</v>
      </c>
      <c r="F293">
        <f t="shared" si="9"/>
        <v>-8.2350778510484439E-3</v>
      </c>
    </row>
    <row r="294" spans="1:6" x14ac:dyDescent="0.2">
      <c r="A294" s="1">
        <v>45047</v>
      </c>
      <c r="B294">
        <v>428504000000</v>
      </c>
      <c r="C294">
        <v>5.91</v>
      </c>
      <c r="D294">
        <v>7.8529657477025783E-2</v>
      </c>
      <c r="E294">
        <f t="shared" si="8"/>
        <v>11.599122788471131</v>
      </c>
      <c r="F294">
        <f t="shared" si="9"/>
        <v>-7.8951238225660591E-3</v>
      </c>
    </row>
    <row r="295" spans="1:6" x14ac:dyDescent="0.2">
      <c r="A295" s="1">
        <v>45078</v>
      </c>
      <c r="B295">
        <v>427703000000</v>
      </c>
      <c r="C295">
        <v>6.04</v>
      </c>
      <c r="D295">
        <v>7.3858921161825686E-2</v>
      </c>
      <c r="E295">
        <f t="shared" si="8"/>
        <v>11.60019506707976</v>
      </c>
      <c r="F295">
        <f t="shared" si="9"/>
        <v>-5.4775103607385689E-3</v>
      </c>
    </row>
    <row r="296" spans="1:6" x14ac:dyDescent="0.2">
      <c r="A296" s="1">
        <v>45108</v>
      </c>
      <c r="B296">
        <v>424866000000</v>
      </c>
      <c r="C296">
        <v>6.32</v>
      </c>
      <c r="D296">
        <v>6.4356435643564414E-2</v>
      </c>
      <c r="E296">
        <f t="shared" si="8"/>
        <v>11.601164887494631</v>
      </c>
      <c r="F296">
        <f t="shared" si="9"/>
        <v>-4.721225343060199E-4</v>
      </c>
    </row>
    <row r="297" spans="1:6" x14ac:dyDescent="0.2">
      <c r="A297" s="1">
        <v>45139</v>
      </c>
      <c r="B297">
        <v>427306000000</v>
      </c>
      <c r="C297">
        <v>6.51</v>
      </c>
      <c r="D297">
        <v>6.2397372742200474E-2</v>
      </c>
      <c r="E297">
        <f t="shared" si="8"/>
        <v>11.604452002952673</v>
      </c>
      <c r="F297">
        <f t="shared" si="9"/>
        <v>1.1033966491443351E-3</v>
      </c>
    </row>
  </sheetData>
  <sortState xmlns:xlrd2="http://schemas.microsoft.com/office/spreadsheetml/2017/richdata2" ref="A3:C298">
    <sortCondition ref="A3:A29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F60F-B3C6-EE4D-B226-5EF388646CF2}">
  <dimension ref="A1:C21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15</v>
      </c>
    </row>
    <row r="2" spans="1:3" x14ac:dyDescent="0.2">
      <c r="A2" s="1" t="s">
        <v>1</v>
      </c>
      <c r="B2" t="s">
        <v>14</v>
      </c>
    </row>
    <row r="3" spans="1:3" x14ac:dyDescent="0.2">
      <c r="A3" s="1">
        <v>38352</v>
      </c>
      <c r="B3">
        <v>57490000000</v>
      </c>
    </row>
    <row r="4" spans="1:3" x14ac:dyDescent="0.2">
      <c r="A4" s="1">
        <v>38717</v>
      </c>
      <c r="B4">
        <v>61653000000</v>
      </c>
    </row>
    <row r="5" spans="1:3" x14ac:dyDescent="0.2">
      <c r="A5" s="1">
        <v>39082</v>
      </c>
      <c r="B5">
        <v>66881000000</v>
      </c>
    </row>
    <row r="6" spans="1:3" x14ac:dyDescent="0.2">
      <c r="A6" s="1">
        <v>39447</v>
      </c>
      <c r="B6">
        <v>70953000000</v>
      </c>
    </row>
    <row r="7" spans="1:3" x14ac:dyDescent="0.2">
      <c r="A7" s="1">
        <v>39813</v>
      </c>
      <c r="B7">
        <v>76347000000</v>
      </c>
    </row>
    <row r="8" spans="1:3" x14ac:dyDescent="0.2">
      <c r="A8" s="1">
        <v>40178</v>
      </c>
      <c r="B8">
        <v>75749000000</v>
      </c>
    </row>
    <row r="9" spans="1:3" x14ac:dyDescent="0.2">
      <c r="A9" s="1">
        <v>40543</v>
      </c>
      <c r="B9">
        <v>80360000000</v>
      </c>
    </row>
    <row r="10" spans="1:3" x14ac:dyDescent="0.2">
      <c r="A10" s="1">
        <v>40908</v>
      </c>
      <c r="B10">
        <v>85410000000</v>
      </c>
    </row>
    <row r="11" spans="1:3" x14ac:dyDescent="0.2">
      <c r="A11" s="1">
        <v>41274</v>
      </c>
      <c r="B11">
        <v>83681000000</v>
      </c>
    </row>
    <row r="12" spans="1:3" x14ac:dyDescent="0.2">
      <c r="A12" s="1">
        <v>41639</v>
      </c>
      <c r="B12">
        <v>83750000000</v>
      </c>
    </row>
    <row r="13" spans="1:3" x14ac:dyDescent="0.2">
      <c r="A13" s="1">
        <v>42004</v>
      </c>
      <c r="B13">
        <v>84809000000</v>
      </c>
    </row>
    <row r="14" spans="1:3" x14ac:dyDescent="0.2">
      <c r="A14" s="1">
        <v>42369</v>
      </c>
      <c r="B14">
        <v>85616000000</v>
      </c>
    </row>
    <row r="15" spans="1:3" x14ac:dyDescent="0.2">
      <c r="A15" s="1">
        <v>42735</v>
      </c>
      <c r="B15">
        <v>93375000000</v>
      </c>
    </row>
    <row r="16" spans="1:3" x14ac:dyDescent="0.2">
      <c r="A16" s="1">
        <v>43100</v>
      </c>
      <c r="B16">
        <v>93908000000</v>
      </c>
    </row>
    <row r="17" spans="1:2" x14ac:dyDescent="0.2">
      <c r="A17" s="1">
        <v>43465</v>
      </c>
      <c r="B17">
        <v>89578000000</v>
      </c>
    </row>
    <row r="18" spans="1:2" x14ac:dyDescent="0.2">
      <c r="A18" s="1">
        <v>43830</v>
      </c>
      <c r="B18">
        <v>90076000000</v>
      </c>
    </row>
    <row r="19" spans="1:2" x14ac:dyDescent="0.2">
      <c r="A19" s="1">
        <v>44196</v>
      </c>
      <c r="B19">
        <v>88726000000</v>
      </c>
    </row>
    <row r="20" spans="1:2" x14ac:dyDescent="0.2">
      <c r="A20" s="1">
        <v>44561</v>
      </c>
      <c r="B20">
        <v>87931000000</v>
      </c>
    </row>
    <row r="21" spans="1:2" x14ac:dyDescent="0.2">
      <c r="A21" s="1">
        <v>44926</v>
      </c>
      <c r="B21">
        <v>93506000000</v>
      </c>
    </row>
  </sheetData>
  <sortState xmlns:xlrd2="http://schemas.microsoft.com/office/spreadsheetml/2017/richdata2" ref="A3:B21">
    <sortCondition ref="A1:A21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A50BB-86E4-8B45-A70E-2D4371B9172C}">
  <dimension ref="A1:B25"/>
  <sheetViews>
    <sheetView workbookViewId="0">
      <selection activeCell="B2" sqref="B2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1</v>
      </c>
      <c r="B1" t="s">
        <v>14</v>
      </c>
    </row>
    <row r="2" spans="1:2" x14ac:dyDescent="0.2">
      <c r="A2" s="1">
        <v>36525</v>
      </c>
      <c r="B2">
        <v>207000000</v>
      </c>
    </row>
    <row r="3" spans="1:2" x14ac:dyDescent="0.2">
      <c r="A3" s="1">
        <f>EDATE(A2,12)</f>
        <v>36891</v>
      </c>
      <c r="B3">
        <v>212000000</v>
      </c>
    </row>
    <row r="4" spans="1:2" x14ac:dyDescent="0.2">
      <c r="A4" s="1">
        <f t="shared" ref="A4:A25" si="0">EDATE(A3,12)</f>
        <v>37256</v>
      </c>
      <c r="B4">
        <v>210000000</v>
      </c>
    </row>
    <row r="5" spans="1:2" x14ac:dyDescent="0.2">
      <c r="A5" s="1">
        <f t="shared" si="0"/>
        <v>37621</v>
      </c>
      <c r="B5">
        <v>210000000</v>
      </c>
    </row>
    <row r="6" spans="1:2" x14ac:dyDescent="0.2">
      <c r="A6" s="1">
        <f t="shared" si="0"/>
        <v>37986</v>
      </c>
      <c r="B6">
        <v>221000000</v>
      </c>
    </row>
    <row r="7" spans="1:2" x14ac:dyDescent="0.2">
      <c r="A7" s="1">
        <f t="shared" si="0"/>
        <v>38352</v>
      </c>
      <c r="B7">
        <v>245000000</v>
      </c>
    </row>
    <row r="8" spans="1:2" x14ac:dyDescent="0.2">
      <c r="A8" s="1">
        <f t="shared" si="0"/>
        <v>38717</v>
      </c>
      <c r="B8">
        <v>242000000</v>
      </c>
    </row>
    <row r="9" spans="1:2" x14ac:dyDescent="0.2">
      <c r="A9" s="1">
        <f t="shared" si="0"/>
        <v>39082</v>
      </c>
      <c r="B9">
        <v>239000000</v>
      </c>
    </row>
    <row r="10" spans="1:2" x14ac:dyDescent="0.2">
      <c r="A10" s="1">
        <f t="shared" si="0"/>
        <v>39447</v>
      </c>
      <c r="B10">
        <v>236000000</v>
      </c>
    </row>
    <row r="11" spans="1:2" x14ac:dyDescent="0.2">
      <c r="A11" s="1">
        <f t="shared" si="0"/>
        <v>39813</v>
      </c>
      <c r="B11">
        <v>243000000</v>
      </c>
    </row>
    <row r="12" spans="1:2" x14ac:dyDescent="0.2">
      <c r="A12" s="1">
        <f t="shared" si="0"/>
        <v>40178</v>
      </c>
      <c r="B12">
        <v>271000000</v>
      </c>
    </row>
    <row r="13" spans="1:2" x14ac:dyDescent="0.2">
      <c r="A13" s="1">
        <f t="shared" si="0"/>
        <v>40543</v>
      </c>
      <c r="B13">
        <v>272000000</v>
      </c>
    </row>
    <row r="14" spans="1:2" x14ac:dyDescent="0.2">
      <c r="A14" s="1">
        <f t="shared" si="0"/>
        <v>40908</v>
      </c>
      <c r="B14">
        <v>263000000</v>
      </c>
    </row>
    <row r="15" spans="1:2" x14ac:dyDescent="0.2">
      <c r="A15" s="1">
        <f t="shared" si="0"/>
        <v>41274</v>
      </c>
      <c r="B15">
        <v>263000000</v>
      </c>
    </row>
    <row r="16" spans="1:2" x14ac:dyDescent="0.2">
      <c r="A16" s="1">
        <f t="shared" si="0"/>
        <v>41639</v>
      </c>
      <c r="B16">
        <v>280000000</v>
      </c>
    </row>
    <row r="17" spans="1:2" x14ac:dyDescent="0.2">
      <c r="A17" s="1">
        <f t="shared" si="0"/>
        <v>42004</v>
      </c>
      <c r="B17">
        <v>469000000</v>
      </c>
    </row>
    <row r="18" spans="1:2" x14ac:dyDescent="0.2">
      <c r="A18" s="1">
        <f t="shared" si="0"/>
        <v>42369</v>
      </c>
      <c r="B18">
        <v>510000000</v>
      </c>
    </row>
    <row r="19" spans="1:2" x14ac:dyDescent="0.2">
      <c r="A19" s="1">
        <f t="shared" si="0"/>
        <v>42735</v>
      </c>
      <c r="B19">
        <v>549000000</v>
      </c>
    </row>
    <row r="20" spans="1:2" x14ac:dyDescent="0.2">
      <c r="A20" s="1">
        <f t="shared" si="0"/>
        <v>43100</v>
      </c>
      <c r="B20">
        <v>568000000</v>
      </c>
    </row>
    <row r="21" spans="1:2" x14ac:dyDescent="0.2">
      <c r="A21" s="1">
        <f t="shared" si="0"/>
        <v>43465</v>
      </c>
      <c r="B21">
        <v>647000000</v>
      </c>
    </row>
    <row r="22" spans="1:2" x14ac:dyDescent="0.2">
      <c r="A22" s="1">
        <f t="shared" si="0"/>
        <v>43830</v>
      </c>
      <c r="B22">
        <v>646000000</v>
      </c>
    </row>
    <row r="23" spans="1:2" x14ac:dyDescent="0.2">
      <c r="A23" s="1">
        <f t="shared" si="0"/>
        <v>44196</v>
      </c>
      <c r="B23">
        <v>639000000</v>
      </c>
    </row>
    <row r="24" spans="1:2" x14ac:dyDescent="0.2">
      <c r="A24" s="1">
        <f t="shared" si="0"/>
        <v>44561</v>
      </c>
      <c r="B24">
        <v>703000000</v>
      </c>
    </row>
    <row r="25" spans="1:2" x14ac:dyDescent="0.2">
      <c r="A25" s="1">
        <f t="shared" si="0"/>
        <v>44926</v>
      </c>
      <c r="B25">
        <v>740000000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7B6014-FD77-214C-BA0F-DB99B4D7DEB3}">
  <dimension ref="A1:C167"/>
  <sheetViews>
    <sheetView tabSelected="1" workbookViewId="0">
      <selection activeCell="N18" sqref="N18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43</v>
      </c>
    </row>
    <row r="2" spans="1:3" x14ac:dyDescent="0.2">
      <c r="A2" s="5" t="s">
        <v>1</v>
      </c>
      <c r="B2" s="4" t="s">
        <v>44</v>
      </c>
    </row>
    <row r="3" spans="1:3" x14ac:dyDescent="0.2">
      <c r="A3" s="1">
        <v>40210</v>
      </c>
      <c r="B3">
        <v>3472581000000</v>
      </c>
    </row>
    <row r="4" spans="1:3" x14ac:dyDescent="0.2">
      <c r="A4" s="1">
        <v>40238</v>
      </c>
      <c r="B4">
        <v>3447659000000</v>
      </c>
    </row>
    <row r="5" spans="1:3" x14ac:dyDescent="0.2">
      <c r="A5" s="1">
        <v>40269</v>
      </c>
      <c r="B5">
        <v>3431725000000</v>
      </c>
    </row>
    <row r="6" spans="1:3" x14ac:dyDescent="0.2">
      <c r="A6" s="1">
        <v>40299</v>
      </c>
      <c r="B6">
        <v>3388323000000</v>
      </c>
    </row>
    <row r="7" spans="1:3" x14ac:dyDescent="0.2">
      <c r="A7" s="1">
        <v>40330</v>
      </c>
      <c r="B7">
        <v>3240257000000</v>
      </c>
    </row>
    <row r="8" spans="1:3" x14ac:dyDescent="0.2">
      <c r="A8" s="1">
        <v>40360</v>
      </c>
      <c r="B8">
        <v>3217366000000</v>
      </c>
    </row>
    <row r="9" spans="1:3" x14ac:dyDescent="0.2">
      <c r="A9" s="1">
        <v>40391</v>
      </c>
      <c r="B9">
        <v>3232324000000</v>
      </c>
    </row>
    <row r="10" spans="1:3" x14ac:dyDescent="0.2">
      <c r="A10" s="1">
        <v>40422</v>
      </c>
      <c r="B10">
        <v>3179736000000</v>
      </c>
    </row>
    <row r="11" spans="1:3" x14ac:dyDescent="0.2">
      <c r="A11" s="1">
        <v>40452</v>
      </c>
      <c r="B11">
        <v>3184927000000</v>
      </c>
    </row>
    <row r="12" spans="1:3" x14ac:dyDescent="0.2">
      <c r="A12" s="1">
        <v>40483</v>
      </c>
      <c r="B12">
        <v>3217671000000</v>
      </c>
    </row>
    <row r="13" spans="1:3" x14ac:dyDescent="0.2">
      <c r="A13" s="1">
        <v>40513</v>
      </c>
      <c r="B13">
        <v>3223393000000</v>
      </c>
    </row>
    <row r="14" spans="1:3" x14ac:dyDescent="0.2">
      <c r="A14" s="1">
        <v>40544</v>
      </c>
      <c r="B14">
        <v>3170833000000</v>
      </c>
    </row>
    <row r="15" spans="1:3" x14ac:dyDescent="0.2">
      <c r="A15" s="1">
        <v>40575</v>
      </c>
      <c r="B15">
        <v>3156992000000</v>
      </c>
    </row>
    <row r="16" spans="1:3" x14ac:dyDescent="0.2">
      <c r="A16" s="1">
        <v>40603</v>
      </c>
      <c r="B16">
        <v>3145042000000</v>
      </c>
    </row>
    <row r="17" spans="1:2" x14ac:dyDescent="0.2">
      <c r="A17" s="1">
        <v>40634</v>
      </c>
      <c r="B17">
        <v>3141924000000</v>
      </c>
    </row>
    <row r="18" spans="1:2" x14ac:dyDescent="0.2">
      <c r="A18" s="1">
        <v>40664</v>
      </c>
      <c r="B18">
        <v>3145869000000</v>
      </c>
    </row>
    <row r="19" spans="1:2" x14ac:dyDescent="0.2">
      <c r="A19" s="1">
        <v>40695</v>
      </c>
      <c r="B19">
        <v>3143083000000</v>
      </c>
    </row>
    <row r="20" spans="1:2" x14ac:dyDescent="0.2">
      <c r="A20" s="1">
        <v>40725</v>
      </c>
      <c r="B20">
        <v>3167129000000</v>
      </c>
    </row>
    <row r="21" spans="1:2" x14ac:dyDescent="0.2">
      <c r="A21" s="1">
        <v>40756</v>
      </c>
      <c r="B21">
        <v>3165691000000</v>
      </c>
    </row>
    <row r="22" spans="1:2" x14ac:dyDescent="0.2">
      <c r="A22" s="1">
        <v>40787</v>
      </c>
      <c r="B22">
        <v>3173551000000</v>
      </c>
    </row>
    <row r="23" spans="1:2" x14ac:dyDescent="0.2">
      <c r="A23" s="1">
        <v>40817</v>
      </c>
      <c r="B23">
        <v>3174068000000</v>
      </c>
    </row>
    <row r="24" spans="1:2" x14ac:dyDescent="0.2">
      <c r="A24" s="1">
        <v>40848</v>
      </c>
      <c r="B24">
        <v>3163142000000</v>
      </c>
    </row>
    <row r="25" spans="1:2" x14ac:dyDescent="0.2">
      <c r="A25" s="1">
        <v>40878</v>
      </c>
      <c r="B25">
        <v>3133975000000</v>
      </c>
    </row>
    <row r="26" spans="1:2" x14ac:dyDescent="0.2">
      <c r="A26" s="1">
        <v>40909</v>
      </c>
      <c r="B26">
        <v>3113275000000</v>
      </c>
    </row>
    <row r="27" spans="1:2" x14ac:dyDescent="0.2">
      <c r="A27" s="1">
        <v>40940</v>
      </c>
      <c r="B27">
        <v>3113399000000</v>
      </c>
    </row>
    <row r="28" spans="1:2" x14ac:dyDescent="0.2">
      <c r="A28" s="1">
        <v>40969</v>
      </c>
      <c r="B28">
        <v>3113429000000</v>
      </c>
    </row>
    <row r="29" spans="1:2" x14ac:dyDescent="0.2">
      <c r="A29" s="1">
        <v>41000</v>
      </c>
      <c r="B29">
        <v>3110734000000</v>
      </c>
    </row>
    <row r="30" spans="1:2" x14ac:dyDescent="0.2">
      <c r="A30" s="1">
        <v>41030</v>
      </c>
      <c r="B30">
        <v>3139109000000</v>
      </c>
    </row>
    <row r="31" spans="1:2" x14ac:dyDescent="0.2">
      <c r="A31" s="1">
        <v>41061</v>
      </c>
      <c r="B31">
        <v>3167587000000</v>
      </c>
    </row>
    <row r="32" spans="1:2" x14ac:dyDescent="0.2">
      <c r="A32" s="1">
        <v>41091</v>
      </c>
      <c r="B32">
        <v>3167438000000</v>
      </c>
    </row>
    <row r="33" spans="1:2" x14ac:dyDescent="0.2">
      <c r="A33" s="1">
        <v>41122</v>
      </c>
      <c r="B33">
        <v>3183072000000</v>
      </c>
    </row>
    <row r="34" spans="1:2" x14ac:dyDescent="0.2">
      <c r="A34" s="1">
        <v>41153</v>
      </c>
      <c r="B34">
        <v>3183947000000</v>
      </c>
    </row>
    <row r="35" spans="1:2" x14ac:dyDescent="0.2">
      <c r="A35" s="1">
        <v>41183</v>
      </c>
      <c r="B35">
        <v>3207339000000</v>
      </c>
    </row>
    <row r="36" spans="1:2" x14ac:dyDescent="0.2">
      <c r="A36" s="1">
        <v>41214</v>
      </c>
      <c r="B36">
        <v>3152850000000</v>
      </c>
    </row>
    <row r="37" spans="1:2" x14ac:dyDescent="0.2">
      <c r="A37" s="1">
        <v>41244</v>
      </c>
      <c r="B37">
        <v>3139758000000</v>
      </c>
    </row>
    <row r="38" spans="1:2" x14ac:dyDescent="0.2">
      <c r="A38" s="1">
        <v>41275</v>
      </c>
      <c r="B38">
        <v>3160216000000</v>
      </c>
    </row>
    <row r="39" spans="1:2" x14ac:dyDescent="0.2">
      <c r="A39" s="1">
        <v>41306</v>
      </c>
      <c r="B39">
        <v>3156720000000</v>
      </c>
    </row>
    <row r="40" spans="1:2" x14ac:dyDescent="0.2">
      <c r="A40" s="1">
        <v>41334</v>
      </c>
      <c r="B40">
        <v>3163835000000</v>
      </c>
    </row>
    <row r="41" spans="1:2" x14ac:dyDescent="0.2">
      <c r="A41" s="1">
        <v>41365</v>
      </c>
      <c r="B41">
        <v>3119879000000</v>
      </c>
    </row>
    <row r="42" spans="1:2" x14ac:dyDescent="0.2">
      <c r="A42" s="1">
        <v>41395</v>
      </c>
      <c r="B42">
        <v>3145067000000</v>
      </c>
    </row>
    <row r="43" spans="1:2" x14ac:dyDescent="0.2">
      <c r="A43" s="1">
        <v>41426</v>
      </c>
      <c r="B43">
        <v>3161089000000</v>
      </c>
    </row>
    <row r="44" spans="1:2" x14ac:dyDescent="0.2">
      <c r="A44" s="1">
        <v>41456</v>
      </c>
      <c r="B44">
        <v>3154896000000</v>
      </c>
    </row>
    <row r="45" spans="1:2" x14ac:dyDescent="0.2">
      <c r="A45" s="1">
        <v>41487</v>
      </c>
      <c r="B45">
        <v>3168862000000</v>
      </c>
    </row>
    <row r="46" spans="1:2" x14ac:dyDescent="0.2">
      <c r="A46" s="1">
        <v>41518</v>
      </c>
      <c r="B46">
        <v>3158126000000</v>
      </c>
    </row>
    <row r="47" spans="1:2" x14ac:dyDescent="0.2">
      <c r="A47" s="1">
        <v>41548</v>
      </c>
      <c r="B47">
        <v>3217643000000</v>
      </c>
    </row>
    <row r="48" spans="1:2" x14ac:dyDescent="0.2">
      <c r="A48" s="1">
        <v>41579</v>
      </c>
      <c r="B48">
        <v>3217590000000</v>
      </c>
    </row>
    <row r="49" spans="1:2" x14ac:dyDescent="0.2">
      <c r="A49" s="1">
        <v>41609</v>
      </c>
      <c r="B49">
        <v>3234008000000</v>
      </c>
    </row>
    <row r="50" spans="1:2" x14ac:dyDescent="0.2">
      <c r="A50" s="1">
        <v>41640</v>
      </c>
      <c r="B50">
        <v>3193484000000</v>
      </c>
    </row>
    <row r="51" spans="1:2" x14ac:dyDescent="0.2">
      <c r="A51" s="1">
        <v>41671</v>
      </c>
      <c r="B51">
        <v>2989530000000</v>
      </c>
    </row>
    <row r="52" spans="1:2" x14ac:dyDescent="0.2">
      <c r="A52" s="1">
        <v>41699</v>
      </c>
      <c r="B52">
        <v>2993546000000</v>
      </c>
    </row>
    <row r="53" spans="1:2" x14ac:dyDescent="0.2">
      <c r="A53" s="1">
        <v>41730</v>
      </c>
      <c r="B53">
        <v>2928498000000</v>
      </c>
    </row>
    <row r="54" spans="1:2" x14ac:dyDescent="0.2">
      <c r="A54" s="1">
        <v>41760</v>
      </c>
      <c r="B54">
        <v>2887186000000</v>
      </c>
    </row>
    <row r="55" spans="1:2" x14ac:dyDescent="0.2">
      <c r="A55" s="1">
        <v>41791</v>
      </c>
      <c r="B55">
        <v>2904905000000</v>
      </c>
    </row>
    <row r="56" spans="1:2" x14ac:dyDescent="0.2">
      <c r="A56" s="1">
        <v>41821</v>
      </c>
      <c r="B56">
        <v>2909286000000</v>
      </c>
    </row>
    <row r="57" spans="1:2" x14ac:dyDescent="0.2">
      <c r="A57" s="1">
        <v>41852</v>
      </c>
      <c r="B57">
        <v>2885961000000</v>
      </c>
    </row>
    <row r="58" spans="1:2" x14ac:dyDescent="0.2">
      <c r="A58" s="1">
        <v>41883</v>
      </c>
      <c r="B58">
        <v>2891911000000</v>
      </c>
    </row>
    <row r="59" spans="1:2" x14ac:dyDescent="0.2">
      <c r="A59" s="1">
        <v>41913</v>
      </c>
      <c r="B59">
        <v>2858953000000</v>
      </c>
    </row>
    <row r="60" spans="1:2" x14ac:dyDescent="0.2">
      <c r="A60" s="1">
        <v>41944</v>
      </c>
      <c r="B60">
        <v>2857214000000</v>
      </c>
    </row>
    <row r="61" spans="1:2" x14ac:dyDescent="0.2">
      <c r="A61" s="1">
        <v>41974</v>
      </c>
      <c r="B61">
        <v>2868012000000</v>
      </c>
    </row>
    <row r="62" spans="1:2" x14ac:dyDescent="0.2">
      <c r="A62" s="1">
        <v>42005</v>
      </c>
      <c r="B62">
        <v>2888436000000</v>
      </c>
    </row>
    <row r="63" spans="1:2" x14ac:dyDescent="0.2">
      <c r="A63" s="1">
        <v>42036</v>
      </c>
      <c r="B63">
        <v>2884674000000</v>
      </c>
    </row>
    <row r="64" spans="1:2" x14ac:dyDescent="0.2">
      <c r="A64" s="1">
        <v>42064</v>
      </c>
      <c r="B64">
        <v>2856821000000</v>
      </c>
    </row>
    <row r="65" spans="1:2" x14ac:dyDescent="0.2">
      <c r="A65" s="1">
        <v>42095</v>
      </c>
      <c r="B65">
        <v>2906882000000</v>
      </c>
    </row>
    <row r="66" spans="1:2" x14ac:dyDescent="0.2">
      <c r="A66" s="1">
        <v>42125</v>
      </c>
      <c r="B66">
        <v>2915606000000</v>
      </c>
    </row>
    <row r="67" spans="1:2" x14ac:dyDescent="0.2">
      <c r="A67" s="1">
        <v>42156</v>
      </c>
      <c r="B67">
        <v>2916319000000</v>
      </c>
    </row>
    <row r="68" spans="1:2" x14ac:dyDescent="0.2">
      <c r="A68" s="1">
        <v>42186</v>
      </c>
      <c r="B68">
        <v>2917327000000</v>
      </c>
    </row>
    <row r="69" spans="1:2" x14ac:dyDescent="0.2">
      <c r="A69" s="1">
        <v>42217</v>
      </c>
      <c r="B69">
        <v>2927283000000</v>
      </c>
    </row>
    <row r="70" spans="1:2" x14ac:dyDescent="0.2">
      <c r="A70" s="1">
        <v>42248</v>
      </c>
      <c r="B70">
        <v>2914104000000</v>
      </c>
    </row>
    <row r="71" spans="1:2" x14ac:dyDescent="0.2">
      <c r="A71" s="1">
        <v>42278</v>
      </c>
      <c r="B71">
        <v>2897419000000</v>
      </c>
    </row>
    <row r="72" spans="1:2" x14ac:dyDescent="0.2">
      <c r="A72" s="1">
        <v>42309</v>
      </c>
      <c r="B72">
        <v>2882841000000</v>
      </c>
    </row>
    <row r="73" spans="1:2" x14ac:dyDescent="0.2">
      <c r="A73" s="1">
        <v>42339</v>
      </c>
      <c r="B73">
        <v>2900129000000</v>
      </c>
    </row>
    <row r="74" spans="1:2" x14ac:dyDescent="0.2">
      <c r="A74" s="1">
        <v>42370</v>
      </c>
      <c r="B74">
        <v>2915095000000</v>
      </c>
    </row>
    <row r="75" spans="1:2" x14ac:dyDescent="0.2">
      <c r="A75" s="1">
        <v>42401</v>
      </c>
      <c r="B75">
        <v>2892570000000</v>
      </c>
    </row>
    <row r="76" spans="1:2" x14ac:dyDescent="0.2">
      <c r="A76" s="1">
        <v>42430</v>
      </c>
      <c r="B76">
        <v>2878833000000</v>
      </c>
    </row>
    <row r="77" spans="1:2" x14ac:dyDescent="0.2">
      <c r="A77" s="1">
        <v>42461</v>
      </c>
      <c r="B77">
        <v>2900830000000</v>
      </c>
    </row>
    <row r="78" spans="1:2" x14ac:dyDescent="0.2">
      <c r="A78" s="1">
        <v>42491</v>
      </c>
      <c r="B78">
        <v>2909588000000</v>
      </c>
    </row>
    <row r="79" spans="1:2" x14ac:dyDescent="0.2">
      <c r="A79" s="1">
        <v>42522</v>
      </c>
      <c r="B79">
        <v>2911180000000</v>
      </c>
    </row>
    <row r="80" spans="1:2" x14ac:dyDescent="0.2">
      <c r="A80" s="1">
        <v>42552</v>
      </c>
      <c r="B80">
        <v>2985018000000</v>
      </c>
    </row>
    <row r="81" spans="1:2" x14ac:dyDescent="0.2">
      <c r="A81" s="1">
        <v>42583</v>
      </c>
      <c r="B81">
        <v>3006915000000</v>
      </c>
    </row>
    <row r="82" spans="1:2" x14ac:dyDescent="0.2">
      <c r="A82" s="1">
        <v>42614</v>
      </c>
      <c r="B82">
        <v>3022228000000</v>
      </c>
    </row>
    <row r="83" spans="1:2" x14ac:dyDescent="0.2">
      <c r="A83" s="1">
        <v>42644</v>
      </c>
      <c r="B83">
        <v>3021369000000</v>
      </c>
    </row>
    <row r="84" spans="1:2" x14ac:dyDescent="0.2">
      <c r="A84" s="1">
        <v>42675</v>
      </c>
      <c r="B84">
        <v>3041488000000</v>
      </c>
    </row>
    <row r="85" spans="1:2" x14ac:dyDescent="0.2">
      <c r="A85" s="1">
        <v>42705</v>
      </c>
      <c r="B85">
        <v>3045889000000</v>
      </c>
    </row>
    <row r="86" spans="1:2" x14ac:dyDescent="0.2">
      <c r="A86" s="1">
        <v>42736</v>
      </c>
      <c r="B86">
        <v>3073797000000</v>
      </c>
    </row>
    <row r="87" spans="1:2" x14ac:dyDescent="0.2">
      <c r="A87" s="1">
        <v>42767</v>
      </c>
      <c r="B87">
        <v>3086880000000</v>
      </c>
    </row>
    <row r="88" spans="1:2" x14ac:dyDescent="0.2">
      <c r="A88" s="1">
        <v>42795</v>
      </c>
      <c r="B88">
        <v>3119136000000</v>
      </c>
    </row>
    <row r="89" spans="1:2" x14ac:dyDescent="0.2">
      <c r="A89" s="1">
        <v>42826</v>
      </c>
      <c r="B89">
        <v>3208566000000</v>
      </c>
    </row>
    <row r="90" spans="1:2" x14ac:dyDescent="0.2">
      <c r="A90" s="1">
        <v>42856</v>
      </c>
      <c r="B90">
        <v>3220418000000</v>
      </c>
    </row>
    <row r="91" spans="1:2" x14ac:dyDescent="0.2">
      <c r="A91" s="1">
        <v>42887</v>
      </c>
      <c r="B91">
        <v>3246700000000</v>
      </c>
    </row>
    <row r="92" spans="1:2" x14ac:dyDescent="0.2">
      <c r="A92" s="1">
        <v>42917</v>
      </c>
      <c r="B92">
        <v>3298698000000</v>
      </c>
    </row>
    <row r="93" spans="1:2" x14ac:dyDescent="0.2">
      <c r="A93" s="1">
        <v>42948</v>
      </c>
      <c r="B93">
        <v>3295393000000</v>
      </c>
    </row>
    <row r="94" spans="1:2" x14ac:dyDescent="0.2">
      <c r="A94" s="1">
        <v>42979</v>
      </c>
      <c r="B94">
        <v>3334217000000</v>
      </c>
    </row>
    <row r="95" spans="1:2" x14ac:dyDescent="0.2">
      <c r="A95" s="1">
        <v>43009</v>
      </c>
      <c r="B95">
        <v>3356641000000</v>
      </c>
    </row>
    <row r="96" spans="1:2" x14ac:dyDescent="0.2">
      <c r="A96" s="1">
        <v>43040</v>
      </c>
      <c r="B96">
        <v>3327691000000</v>
      </c>
    </row>
    <row r="97" spans="1:2" x14ac:dyDescent="0.2">
      <c r="A97" s="1">
        <v>43070</v>
      </c>
      <c r="B97">
        <v>3290885000000</v>
      </c>
    </row>
    <row r="98" spans="1:2" x14ac:dyDescent="0.2">
      <c r="A98" s="1">
        <v>43101</v>
      </c>
      <c r="B98">
        <v>3298302000000</v>
      </c>
    </row>
    <row r="99" spans="1:2" x14ac:dyDescent="0.2">
      <c r="A99" s="1">
        <v>43132</v>
      </c>
      <c r="B99">
        <v>3234806000000</v>
      </c>
    </row>
    <row r="100" spans="1:2" x14ac:dyDescent="0.2">
      <c r="A100" s="1">
        <v>43160</v>
      </c>
      <c r="B100">
        <v>3248179000000</v>
      </c>
    </row>
    <row r="101" spans="1:2" x14ac:dyDescent="0.2">
      <c r="A101" s="1">
        <v>43191</v>
      </c>
      <c r="B101">
        <v>3231223000000</v>
      </c>
    </row>
    <row r="102" spans="1:2" x14ac:dyDescent="0.2">
      <c r="A102" s="1">
        <v>43221</v>
      </c>
      <c r="B102">
        <v>3231949000000</v>
      </c>
    </row>
    <row r="103" spans="1:2" x14ac:dyDescent="0.2">
      <c r="A103" s="1">
        <v>43252</v>
      </c>
      <c r="B103">
        <v>3229995000000</v>
      </c>
    </row>
    <row r="104" spans="1:2" x14ac:dyDescent="0.2">
      <c r="A104" s="1">
        <v>43282</v>
      </c>
      <c r="B104">
        <v>3246265000000</v>
      </c>
    </row>
    <row r="105" spans="1:2" x14ac:dyDescent="0.2">
      <c r="A105" s="1">
        <v>43313</v>
      </c>
      <c r="B105">
        <v>3240990000000</v>
      </c>
    </row>
    <row r="106" spans="1:2" x14ac:dyDescent="0.2">
      <c r="A106" s="1">
        <v>43344</v>
      </c>
      <c r="B106">
        <v>3225604000000</v>
      </c>
    </row>
    <row r="107" spans="1:2" x14ac:dyDescent="0.2">
      <c r="A107" s="1">
        <v>43374</v>
      </c>
      <c r="B107">
        <v>3232009000000</v>
      </c>
    </row>
    <row r="108" spans="1:2" x14ac:dyDescent="0.2">
      <c r="A108" s="1">
        <v>43405</v>
      </c>
      <c r="B108">
        <v>3224362000000</v>
      </c>
    </row>
    <row r="109" spans="1:2" x14ac:dyDescent="0.2">
      <c r="A109" s="1">
        <v>43435</v>
      </c>
      <c r="B109">
        <v>3210448000000</v>
      </c>
    </row>
    <row r="110" spans="1:2" x14ac:dyDescent="0.2">
      <c r="A110" s="1">
        <v>43466</v>
      </c>
      <c r="B110">
        <v>3241368000000</v>
      </c>
    </row>
    <row r="111" spans="1:2" x14ac:dyDescent="0.2">
      <c r="A111" s="1">
        <v>43497</v>
      </c>
      <c r="B111">
        <v>3200592000000</v>
      </c>
    </row>
    <row r="112" spans="1:2" x14ac:dyDescent="0.2">
      <c r="A112" s="1">
        <v>43525</v>
      </c>
      <c r="B112">
        <v>3224868000000</v>
      </c>
    </row>
    <row r="113" spans="1:2" x14ac:dyDescent="0.2">
      <c r="A113" s="1">
        <v>43556</v>
      </c>
      <c r="B113">
        <v>3296770000000</v>
      </c>
    </row>
    <row r="114" spans="1:2" x14ac:dyDescent="0.2">
      <c r="A114" s="1">
        <v>43586</v>
      </c>
      <c r="B114">
        <v>3295676000000</v>
      </c>
    </row>
    <row r="115" spans="1:2" x14ac:dyDescent="0.2">
      <c r="A115" s="1">
        <v>43617</v>
      </c>
      <c r="B115">
        <v>3277427000000</v>
      </c>
    </row>
    <row r="116" spans="1:2" x14ac:dyDescent="0.2">
      <c r="A116" s="1">
        <v>43647</v>
      </c>
      <c r="B116">
        <v>3286507000000</v>
      </c>
    </row>
    <row r="117" spans="1:2" x14ac:dyDescent="0.2">
      <c r="A117" s="1">
        <v>43678</v>
      </c>
      <c r="B117">
        <v>3310259000000</v>
      </c>
    </row>
    <row r="118" spans="1:2" x14ac:dyDescent="0.2">
      <c r="A118" s="1">
        <v>43709</v>
      </c>
      <c r="B118">
        <v>3320564000000</v>
      </c>
    </row>
    <row r="119" spans="1:2" x14ac:dyDescent="0.2">
      <c r="A119" s="1">
        <v>43739</v>
      </c>
      <c r="B119">
        <v>3376128000000</v>
      </c>
    </row>
    <row r="120" spans="1:2" x14ac:dyDescent="0.2">
      <c r="A120" s="1">
        <v>43770</v>
      </c>
      <c r="B120">
        <v>3362339000000</v>
      </c>
    </row>
    <row r="121" spans="1:2" x14ac:dyDescent="0.2">
      <c r="A121" s="1">
        <v>43800</v>
      </c>
      <c r="B121">
        <v>3422748000000</v>
      </c>
    </row>
    <row r="122" spans="1:2" x14ac:dyDescent="0.2">
      <c r="A122" s="1">
        <v>43831</v>
      </c>
      <c r="B122">
        <v>3418903000000</v>
      </c>
    </row>
    <row r="123" spans="1:2" x14ac:dyDescent="0.2">
      <c r="A123" s="1">
        <v>43862</v>
      </c>
      <c r="B123">
        <v>3434976000000</v>
      </c>
    </row>
    <row r="124" spans="1:2" x14ac:dyDescent="0.2">
      <c r="A124" s="1">
        <v>43891</v>
      </c>
      <c r="B124">
        <v>3476212000000</v>
      </c>
    </row>
    <row r="125" spans="1:2" x14ac:dyDescent="0.2">
      <c r="A125" s="1">
        <v>43922</v>
      </c>
      <c r="B125">
        <v>3641807000000</v>
      </c>
    </row>
    <row r="126" spans="1:2" x14ac:dyDescent="0.2">
      <c r="A126" s="1">
        <v>43952</v>
      </c>
      <c r="B126">
        <v>3705763000000</v>
      </c>
    </row>
    <row r="127" spans="1:2" x14ac:dyDescent="0.2">
      <c r="A127" s="1">
        <v>43983</v>
      </c>
      <c r="B127">
        <v>3753849000000</v>
      </c>
    </row>
    <row r="128" spans="1:2" x14ac:dyDescent="0.2">
      <c r="A128" s="1">
        <v>44013</v>
      </c>
      <c r="B128">
        <v>3714833000000</v>
      </c>
    </row>
    <row r="129" spans="1:2" x14ac:dyDescent="0.2">
      <c r="A129" s="1">
        <v>44044</v>
      </c>
      <c r="B129">
        <v>3713202000000</v>
      </c>
    </row>
    <row r="130" spans="1:2" x14ac:dyDescent="0.2">
      <c r="A130" s="1">
        <v>44075</v>
      </c>
      <c r="B130">
        <v>3698287000000</v>
      </c>
    </row>
    <row r="131" spans="1:2" x14ac:dyDescent="0.2">
      <c r="A131" s="1">
        <v>44105</v>
      </c>
      <c r="B131">
        <v>3720478000000</v>
      </c>
    </row>
    <row r="132" spans="1:2" x14ac:dyDescent="0.2">
      <c r="A132" s="1">
        <v>44136</v>
      </c>
      <c r="B132">
        <v>3710869000000</v>
      </c>
    </row>
    <row r="133" spans="1:2" x14ac:dyDescent="0.2">
      <c r="A133" s="1">
        <v>44166</v>
      </c>
      <c r="B133">
        <v>3708843000000</v>
      </c>
    </row>
    <row r="134" spans="1:2" x14ac:dyDescent="0.2">
      <c r="A134" s="1">
        <v>44197</v>
      </c>
      <c r="B134">
        <v>3695057000000</v>
      </c>
    </row>
    <row r="135" spans="1:2" x14ac:dyDescent="0.2">
      <c r="A135" s="1">
        <v>44228</v>
      </c>
      <c r="B135">
        <v>3662587000000</v>
      </c>
    </row>
    <row r="136" spans="1:2" x14ac:dyDescent="0.2">
      <c r="A136" s="1">
        <v>44256</v>
      </c>
      <c r="B136">
        <v>3684762000000</v>
      </c>
    </row>
    <row r="137" spans="1:2" x14ac:dyDescent="0.2">
      <c r="A137" s="1">
        <v>44287</v>
      </c>
      <c r="B137">
        <v>3716583000000</v>
      </c>
    </row>
    <row r="138" spans="1:2" x14ac:dyDescent="0.2">
      <c r="A138" s="1">
        <v>44317</v>
      </c>
      <c r="B138">
        <v>3702390000000</v>
      </c>
    </row>
    <row r="139" spans="1:2" x14ac:dyDescent="0.2">
      <c r="A139" s="1">
        <v>44348</v>
      </c>
      <c r="B139">
        <v>3700997000000</v>
      </c>
    </row>
    <row r="140" spans="1:2" x14ac:dyDescent="0.2">
      <c r="A140" s="1">
        <v>44378</v>
      </c>
      <c r="B140">
        <v>3754426000000</v>
      </c>
    </row>
    <row r="141" spans="1:2" x14ac:dyDescent="0.2">
      <c r="A141" s="1">
        <v>44409</v>
      </c>
      <c r="B141">
        <v>3760950000000</v>
      </c>
    </row>
    <row r="142" spans="1:2" x14ac:dyDescent="0.2">
      <c r="A142" s="1">
        <v>44440</v>
      </c>
      <c r="B142">
        <v>3787393000000</v>
      </c>
    </row>
    <row r="143" spans="1:2" x14ac:dyDescent="0.2">
      <c r="A143" s="1">
        <v>44470</v>
      </c>
      <c r="B143">
        <v>3830489000000</v>
      </c>
    </row>
    <row r="144" spans="1:2" x14ac:dyDescent="0.2">
      <c r="A144" s="1">
        <v>44501</v>
      </c>
      <c r="B144">
        <v>3898015000000</v>
      </c>
    </row>
    <row r="145" spans="1:2" x14ac:dyDescent="0.2">
      <c r="A145" s="1">
        <v>44531</v>
      </c>
      <c r="B145">
        <v>3937959000000</v>
      </c>
    </row>
    <row r="146" spans="1:2" x14ac:dyDescent="0.2">
      <c r="A146" s="1">
        <v>44562</v>
      </c>
      <c r="B146">
        <v>3958984000000</v>
      </c>
    </row>
    <row r="147" spans="1:2" x14ac:dyDescent="0.2">
      <c r="A147" s="1">
        <v>44593</v>
      </c>
      <c r="B147">
        <v>3938700000000</v>
      </c>
    </row>
    <row r="148" spans="1:2" x14ac:dyDescent="0.2">
      <c r="A148" s="1">
        <v>44621</v>
      </c>
      <c r="B148">
        <v>3980095000000</v>
      </c>
    </row>
    <row r="149" spans="1:2" x14ac:dyDescent="0.2">
      <c r="A149" s="1">
        <v>44652</v>
      </c>
      <c r="B149">
        <v>3978521000000</v>
      </c>
    </row>
    <row r="150" spans="1:2" x14ac:dyDescent="0.2">
      <c r="A150" s="1">
        <v>44682</v>
      </c>
      <c r="B150">
        <v>3980033000000</v>
      </c>
    </row>
    <row r="151" spans="1:2" x14ac:dyDescent="0.2">
      <c r="A151" s="1">
        <v>44713</v>
      </c>
      <c r="B151">
        <v>4011803000000</v>
      </c>
    </row>
    <row r="152" spans="1:2" x14ac:dyDescent="0.2">
      <c r="A152" s="1">
        <v>44743</v>
      </c>
      <c r="B152">
        <v>3995534000000</v>
      </c>
    </row>
    <row r="153" spans="1:2" x14ac:dyDescent="0.2">
      <c r="A153" s="1">
        <v>44774</v>
      </c>
      <c r="B153">
        <v>3995747000000</v>
      </c>
    </row>
    <row r="154" spans="1:2" x14ac:dyDescent="0.2">
      <c r="A154" s="1">
        <v>44805</v>
      </c>
      <c r="B154">
        <v>3979069000000</v>
      </c>
    </row>
    <row r="155" spans="1:2" x14ac:dyDescent="0.2">
      <c r="A155" s="1">
        <v>44835</v>
      </c>
      <c r="B155">
        <v>4054409000000</v>
      </c>
    </row>
    <row r="156" spans="1:2" x14ac:dyDescent="0.2">
      <c r="A156" s="1">
        <v>44866</v>
      </c>
      <c r="B156">
        <v>4060256000000</v>
      </c>
    </row>
    <row r="157" spans="1:2" x14ac:dyDescent="0.2">
      <c r="A157" s="1">
        <v>44896</v>
      </c>
      <c r="B157">
        <v>3999258000000</v>
      </c>
    </row>
    <row r="158" spans="1:2" x14ac:dyDescent="0.2">
      <c r="A158" s="1">
        <v>44927</v>
      </c>
      <c r="B158">
        <v>3988611000000</v>
      </c>
    </row>
    <row r="159" spans="1:2" x14ac:dyDescent="0.2">
      <c r="A159" s="1">
        <v>44958</v>
      </c>
      <c r="B159">
        <v>3961805000000</v>
      </c>
    </row>
    <row r="160" spans="1:2" x14ac:dyDescent="0.2">
      <c r="A160" s="1">
        <v>44986</v>
      </c>
      <c r="B160">
        <v>3948894000000</v>
      </c>
    </row>
    <row r="161" spans="1:2" x14ac:dyDescent="0.2">
      <c r="A161" s="1">
        <v>45017</v>
      </c>
      <c r="B161">
        <v>3926974000000</v>
      </c>
    </row>
    <row r="162" spans="1:2" x14ac:dyDescent="0.2">
      <c r="A162" s="1">
        <v>45047</v>
      </c>
      <c r="B162">
        <v>3924101000000</v>
      </c>
    </row>
    <row r="163" spans="1:2" x14ac:dyDescent="0.2">
      <c r="A163" s="1">
        <v>45078</v>
      </c>
      <c r="B163">
        <v>3909491000000</v>
      </c>
    </row>
    <row r="164" spans="1:2" x14ac:dyDescent="0.2">
      <c r="A164" s="1">
        <v>45108</v>
      </c>
      <c r="B164">
        <v>3899754000000</v>
      </c>
    </row>
    <row r="165" spans="1:2" x14ac:dyDescent="0.2">
      <c r="A165" s="1">
        <v>45139</v>
      </c>
      <c r="B165">
        <v>3876424000000</v>
      </c>
    </row>
    <row r="166" spans="1:2" x14ac:dyDescent="0.2">
      <c r="A166" s="1">
        <v>45170</v>
      </c>
      <c r="B166">
        <v>3897254000000</v>
      </c>
    </row>
    <row r="167" spans="1:2" x14ac:dyDescent="0.2">
      <c r="A167" s="1">
        <v>45200</v>
      </c>
      <c r="B167">
        <v>3885768000000</v>
      </c>
    </row>
  </sheetData>
  <sortState xmlns:xlrd2="http://schemas.microsoft.com/office/spreadsheetml/2017/richdata2" ref="A3:B167">
    <sortCondition ref="A3:A167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644A4-0B95-5445-B9E6-628D30DDD6DE}">
  <dimension ref="A1:C166"/>
  <sheetViews>
    <sheetView workbookViewId="0">
      <selection activeCell="A3" sqref="A3:B166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23</v>
      </c>
    </row>
    <row r="2" spans="1:3" x14ac:dyDescent="0.2">
      <c r="A2" s="1" t="s">
        <v>1</v>
      </c>
      <c r="B2" t="s">
        <v>22</v>
      </c>
    </row>
    <row r="3" spans="1:3" x14ac:dyDescent="0.2">
      <c r="A3" s="1">
        <v>40210</v>
      </c>
      <c r="B3">
        <v>4060273000000</v>
      </c>
    </row>
    <row r="4" spans="1:3" x14ac:dyDescent="0.2">
      <c r="A4" s="1">
        <v>40238</v>
      </c>
      <c r="B4">
        <v>4032959000000</v>
      </c>
    </row>
    <row r="5" spans="1:3" x14ac:dyDescent="0.2">
      <c r="A5" s="1">
        <v>40269</v>
      </c>
      <c r="B5">
        <v>4014506000000</v>
      </c>
    </row>
    <row r="6" spans="1:3" x14ac:dyDescent="0.2">
      <c r="A6" s="1">
        <v>40299</v>
      </c>
      <c r="B6">
        <v>3958407000000</v>
      </c>
    </row>
    <row r="7" spans="1:3" x14ac:dyDescent="0.2">
      <c r="A7" s="1">
        <v>40330</v>
      </c>
      <c r="B7">
        <v>3802811000000</v>
      </c>
    </row>
    <row r="8" spans="1:3" x14ac:dyDescent="0.2">
      <c r="A8" s="1">
        <v>40360</v>
      </c>
      <c r="B8">
        <v>3785138000000</v>
      </c>
    </row>
    <row r="9" spans="1:3" x14ac:dyDescent="0.2">
      <c r="A9" s="1">
        <v>40391</v>
      </c>
      <c r="B9">
        <v>3801468000000</v>
      </c>
    </row>
    <row r="10" spans="1:3" x14ac:dyDescent="0.2">
      <c r="A10" s="1">
        <v>40422</v>
      </c>
      <c r="B10">
        <v>3714174000000</v>
      </c>
    </row>
    <row r="11" spans="1:3" x14ac:dyDescent="0.2">
      <c r="A11" s="1">
        <v>40452</v>
      </c>
      <c r="B11">
        <v>3713119000000</v>
      </c>
    </row>
    <row r="12" spans="1:3" x14ac:dyDescent="0.2">
      <c r="A12" s="1">
        <v>40483</v>
      </c>
      <c r="B12">
        <v>3750589000000</v>
      </c>
    </row>
    <row r="13" spans="1:3" x14ac:dyDescent="0.2">
      <c r="A13" s="1">
        <v>40513</v>
      </c>
      <c r="B13">
        <v>3753319000000</v>
      </c>
    </row>
    <row r="14" spans="1:3" x14ac:dyDescent="0.2">
      <c r="A14" s="1">
        <v>40544</v>
      </c>
      <c r="B14">
        <v>3664512000000</v>
      </c>
    </row>
    <row r="15" spans="1:3" x14ac:dyDescent="0.2">
      <c r="A15" s="1">
        <v>40575</v>
      </c>
      <c r="B15">
        <v>3668938000000</v>
      </c>
    </row>
    <row r="16" spans="1:3" x14ac:dyDescent="0.2">
      <c r="A16" s="1">
        <v>40603</v>
      </c>
      <c r="B16">
        <v>3678487000000</v>
      </c>
    </row>
    <row r="17" spans="1:2" x14ac:dyDescent="0.2">
      <c r="A17" s="1">
        <v>40634</v>
      </c>
      <c r="B17">
        <v>3670612000000</v>
      </c>
    </row>
    <row r="18" spans="1:2" x14ac:dyDescent="0.2">
      <c r="A18" s="1">
        <v>40664</v>
      </c>
      <c r="B18">
        <v>3677160000000</v>
      </c>
    </row>
    <row r="19" spans="1:2" x14ac:dyDescent="0.2">
      <c r="A19" s="1">
        <v>40695</v>
      </c>
      <c r="B19">
        <v>3668535000000</v>
      </c>
    </row>
    <row r="20" spans="1:2" x14ac:dyDescent="0.2">
      <c r="A20" s="1">
        <v>40725</v>
      </c>
      <c r="B20">
        <v>3708638000000</v>
      </c>
    </row>
    <row r="21" spans="1:2" x14ac:dyDescent="0.2">
      <c r="A21" s="1">
        <v>40756</v>
      </c>
      <c r="B21">
        <v>3724259000000</v>
      </c>
    </row>
    <row r="22" spans="1:2" x14ac:dyDescent="0.2">
      <c r="A22" s="1">
        <v>40787</v>
      </c>
      <c r="B22">
        <v>3729155000000</v>
      </c>
    </row>
    <row r="23" spans="1:2" x14ac:dyDescent="0.2">
      <c r="A23" s="1">
        <v>40817</v>
      </c>
      <c r="B23">
        <v>3742909000000</v>
      </c>
    </row>
    <row r="24" spans="1:2" x14ac:dyDescent="0.2">
      <c r="A24" s="1">
        <v>40848</v>
      </c>
      <c r="B24">
        <v>3734472000000</v>
      </c>
    </row>
    <row r="25" spans="1:2" x14ac:dyDescent="0.2">
      <c r="A25" s="1">
        <v>40878</v>
      </c>
      <c r="B25">
        <v>3715094000000</v>
      </c>
    </row>
    <row r="26" spans="1:2" x14ac:dyDescent="0.2">
      <c r="A26" s="1">
        <v>40909</v>
      </c>
      <c r="B26">
        <v>3665434000000</v>
      </c>
    </row>
    <row r="27" spans="1:2" x14ac:dyDescent="0.2">
      <c r="A27" s="1">
        <v>40940</v>
      </c>
      <c r="B27">
        <v>3691592000000</v>
      </c>
    </row>
    <row r="28" spans="1:2" x14ac:dyDescent="0.2">
      <c r="A28" s="1">
        <v>40969</v>
      </c>
      <c r="B28">
        <v>3682614000000</v>
      </c>
    </row>
    <row r="29" spans="1:2" x14ac:dyDescent="0.2">
      <c r="A29" s="1">
        <v>41000</v>
      </c>
      <c r="B29">
        <v>3684257000000</v>
      </c>
    </row>
    <row r="30" spans="1:2" x14ac:dyDescent="0.2">
      <c r="A30" s="1">
        <v>41030</v>
      </c>
      <c r="B30">
        <v>3712922000000</v>
      </c>
    </row>
    <row r="31" spans="1:2" x14ac:dyDescent="0.2">
      <c r="A31" s="1">
        <v>41061</v>
      </c>
      <c r="B31">
        <v>3722360000000</v>
      </c>
    </row>
    <row r="32" spans="1:2" x14ac:dyDescent="0.2">
      <c r="A32" s="1">
        <v>41091</v>
      </c>
      <c r="B32">
        <v>3723764000000</v>
      </c>
    </row>
    <row r="33" spans="1:2" x14ac:dyDescent="0.2">
      <c r="A33" s="1">
        <v>41122</v>
      </c>
      <c r="B33">
        <v>3715162000000</v>
      </c>
    </row>
    <row r="34" spans="1:2" x14ac:dyDescent="0.2">
      <c r="A34" s="1">
        <v>41153</v>
      </c>
      <c r="B34">
        <v>3718186000000</v>
      </c>
    </row>
    <row r="35" spans="1:2" x14ac:dyDescent="0.2">
      <c r="A35" s="1">
        <v>41183</v>
      </c>
      <c r="B35">
        <v>3756679000000</v>
      </c>
    </row>
    <row r="36" spans="1:2" x14ac:dyDescent="0.2">
      <c r="A36" s="1">
        <v>41214</v>
      </c>
      <c r="B36">
        <v>3692753000000</v>
      </c>
    </row>
    <row r="37" spans="1:2" x14ac:dyDescent="0.2">
      <c r="A37" s="1">
        <v>41244</v>
      </c>
      <c r="B37">
        <v>3701507000000</v>
      </c>
    </row>
    <row r="38" spans="1:2" x14ac:dyDescent="0.2">
      <c r="A38" s="1">
        <v>41275</v>
      </c>
      <c r="B38">
        <v>3694518000000</v>
      </c>
    </row>
    <row r="39" spans="1:2" x14ac:dyDescent="0.2">
      <c r="A39" s="1">
        <v>41306</v>
      </c>
      <c r="B39">
        <v>3716645000000</v>
      </c>
    </row>
    <row r="40" spans="1:2" x14ac:dyDescent="0.2">
      <c r="A40" s="1">
        <v>41334</v>
      </c>
      <c r="B40">
        <v>3710246000000</v>
      </c>
    </row>
    <row r="41" spans="1:2" x14ac:dyDescent="0.2">
      <c r="A41" s="1">
        <v>41365</v>
      </c>
      <c r="B41">
        <v>3676928000000</v>
      </c>
    </row>
    <row r="42" spans="1:2" x14ac:dyDescent="0.2">
      <c r="A42" s="1">
        <v>41395</v>
      </c>
      <c r="B42">
        <v>3679492000000</v>
      </c>
    </row>
    <row r="43" spans="1:2" x14ac:dyDescent="0.2">
      <c r="A43" s="1">
        <v>41426</v>
      </c>
      <c r="B43">
        <v>3694664000000</v>
      </c>
    </row>
    <row r="44" spans="1:2" x14ac:dyDescent="0.2">
      <c r="A44" s="1">
        <v>41456</v>
      </c>
      <c r="B44">
        <v>3693527000000</v>
      </c>
    </row>
    <row r="45" spans="1:2" x14ac:dyDescent="0.2">
      <c r="A45" s="1">
        <v>41487</v>
      </c>
      <c r="B45">
        <v>3690887000000</v>
      </c>
    </row>
    <row r="46" spans="1:2" x14ac:dyDescent="0.2">
      <c r="A46" s="1">
        <v>41518</v>
      </c>
      <c r="B46">
        <v>3695762000000</v>
      </c>
    </row>
    <row r="47" spans="1:2" x14ac:dyDescent="0.2">
      <c r="A47" s="1">
        <v>41548</v>
      </c>
      <c r="B47">
        <v>3747705000000</v>
      </c>
    </row>
    <row r="48" spans="1:2" x14ac:dyDescent="0.2">
      <c r="A48" s="1">
        <v>41579</v>
      </c>
      <c r="B48">
        <v>3765157000000</v>
      </c>
    </row>
    <row r="49" spans="1:2" x14ac:dyDescent="0.2">
      <c r="A49" s="1">
        <v>41609</v>
      </c>
      <c r="B49">
        <v>3776376000000</v>
      </c>
    </row>
    <row r="50" spans="1:2" x14ac:dyDescent="0.2">
      <c r="A50" s="1">
        <v>41640</v>
      </c>
      <c r="B50">
        <v>3708375000000</v>
      </c>
    </row>
    <row r="51" spans="1:2" x14ac:dyDescent="0.2">
      <c r="A51" s="1">
        <v>41671</v>
      </c>
      <c r="B51">
        <v>3535239000000</v>
      </c>
    </row>
    <row r="52" spans="1:2" x14ac:dyDescent="0.2">
      <c r="A52" s="1">
        <v>41699</v>
      </c>
      <c r="B52">
        <v>3540196000000</v>
      </c>
    </row>
    <row r="53" spans="1:2" x14ac:dyDescent="0.2">
      <c r="A53" s="1">
        <v>41730</v>
      </c>
      <c r="B53">
        <v>3445586000000</v>
      </c>
    </row>
    <row r="54" spans="1:2" x14ac:dyDescent="0.2">
      <c r="A54" s="1">
        <v>41760</v>
      </c>
      <c r="B54">
        <v>3397432000000</v>
      </c>
    </row>
    <row r="55" spans="1:2" x14ac:dyDescent="0.2">
      <c r="A55" s="1">
        <v>41791</v>
      </c>
      <c r="B55">
        <v>3415559000000</v>
      </c>
    </row>
    <row r="56" spans="1:2" x14ac:dyDescent="0.2">
      <c r="A56" s="1">
        <v>41821</v>
      </c>
      <c r="B56">
        <v>3417056000000</v>
      </c>
    </row>
    <row r="57" spans="1:2" x14ac:dyDescent="0.2">
      <c r="A57" s="1">
        <v>41852</v>
      </c>
      <c r="B57">
        <v>3344394000000</v>
      </c>
    </row>
    <row r="58" spans="1:2" x14ac:dyDescent="0.2">
      <c r="A58" s="1">
        <v>41883</v>
      </c>
      <c r="B58">
        <v>3375369000000</v>
      </c>
    </row>
    <row r="59" spans="1:2" x14ac:dyDescent="0.2">
      <c r="A59" s="1">
        <v>41913</v>
      </c>
      <c r="B59">
        <v>3342179000000</v>
      </c>
    </row>
    <row r="60" spans="1:2" x14ac:dyDescent="0.2">
      <c r="A60" s="1">
        <v>41944</v>
      </c>
      <c r="B60">
        <v>3344635000000</v>
      </c>
    </row>
    <row r="61" spans="1:2" x14ac:dyDescent="0.2">
      <c r="A61" s="1">
        <v>41974</v>
      </c>
      <c r="B61">
        <v>3365952000000</v>
      </c>
    </row>
    <row r="62" spans="1:2" x14ac:dyDescent="0.2">
      <c r="A62" s="1">
        <v>42005</v>
      </c>
      <c r="B62">
        <v>3347185000000</v>
      </c>
    </row>
    <row r="63" spans="1:2" x14ac:dyDescent="0.2">
      <c r="A63" s="1">
        <v>42036</v>
      </c>
      <c r="B63">
        <v>3386738000000</v>
      </c>
    </row>
    <row r="64" spans="1:2" x14ac:dyDescent="0.2">
      <c r="A64" s="1">
        <v>42064</v>
      </c>
      <c r="B64">
        <v>3365566000000</v>
      </c>
    </row>
    <row r="65" spans="1:2" x14ac:dyDescent="0.2">
      <c r="A65" s="1">
        <v>42095</v>
      </c>
      <c r="B65">
        <v>3380595000000</v>
      </c>
    </row>
    <row r="66" spans="1:2" x14ac:dyDescent="0.2">
      <c r="A66" s="1">
        <v>42125</v>
      </c>
      <c r="B66">
        <v>3380088000000</v>
      </c>
    </row>
    <row r="67" spans="1:2" x14ac:dyDescent="0.2">
      <c r="A67" s="1">
        <v>42156</v>
      </c>
      <c r="B67">
        <v>3387400000000</v>
      </c>
    </row>
    <row r="68" spans="1:2" x14ac:dyDescent="0.2">
      <c r="A68" s="1">
        <v>42186</v>
      </c>
      <c r="B68">
        <v>3376701000000</v>
      </c>
    </row>
    <row r="69" spans="1:2" x14ac:dyDescent="0.2">
      <c r="A69" s="1">
        <v>42217</v>
      </c>
      <c r="B69">
        <v>3401937000000</v>
      </c>
    </row>
    <row r="70" spans="1:2" x14ac:dyDescent="0.2">
      <c r="A70" s="1">
        <v>42248</v>
      </c>
      <c r="B70">
        <v>3396160000000</v>
      </c>
    </row>
    <row r="71" spans="1:2" x14ac:dyDescent="0.2">
      <c r="A71" s="1">
        <v>42278</v>
      </c>
      <c r="B71">
        <v>3371536000000</v>
      </c>
    </row>
    <row r="72" spans="1:2" x14ac:dyDescent="0.2">
      <c r="A72" s="1">
        <v>42309</v>
      </c>
      <c r="B72">
        <v>3366177000000</v>
      </c>
    </row>
    <row r="73" spans="1:2" x14ac:dyDescent="0.2">
      <c r="A73" s="1">
        <v>42339</v>
      </c>
      <c r="B73">
        <v>3383039000000</v>
      </c>
    </row>
    <row r="74" spans="1:2" x14ac:dyDescent="0.2">
      <c r="A74" s="1">
        <v>42370</v>
      </c>
      <c r="B74">
        <v>3360227000000</v>
      </c>
    </row>
    <row r="75" spans="1:2" x14ac:dyDescent="0.2">
      <c r="A75" s="1">
        <v>42401</v>
      </c>
      <c r="B75">
        <v>3389805000000</v>
      </c>
    </row>
    <row r="76" spans="1:2" x14ac:dyDescent="0.2">
      <c r="A76" s="1">
        <v>42430</v>
      </c>
      <c r="B76">
        <v>3386472000000</v>
      </c>
    </row>
    <row r="77" spans="1:2" x14ac:dyDescent="0.2">
      <c r="A77" s="1">
        <v>42461</v>
      </c>
      <c r="B77">
        <v>3393425000000</v>
      </c>
    </row>
    <row r="78" spans="1:2" x14ac:dyDescent="0.2">
      <c r="A78" s="1">
        <v>42491</v>
      </c>
      <c r="B78">
        <v>3405634000000</v>
      </c>
    </row>
    <row r="79" spans="1:2" x14ac:dyDescent="0.2">
      <c r="A79" s="1">
        <v>42522</v>
      </c>
      <c r="B79">
        <v>3419126000000</v>
      </c>
    </row>
    <row r="80" spans="1:2" x14ac:dyDescent="0.2">
      <c r="A80" s="1">
        <v>42552</v>
      </c>
      <c r="B80">
        <v>3468966000000</v>
      </c>
    </row>
    <row r="81" spans="1:2" x14ac:dyDescent="0.2">
      <c r="A81" s="1">
        <v>42583</v>
      </c>
      <c r="B81">
        <v>3498700000000</v>
      </c>
    </row>
    <row r="82" spans="1:2" x14ac:dyDescent="0.2">
      <c r="A82" s="1">
        <v>42614</v>
      </c>
      <c r="B82">
        <v>3513797000000</v>
      </c>
    </row>
    <row r="83" spans="1:2" x14ac:dyDescent="0.2">
      <c r="A83" s="1">
        <v>42644</v>
      </c>
      <c r="B83">
        <v>3534547000000</v>
      </c>
    </row>
    <row r="84" spans="1:2" x14ac:dyDescent="0.2">
      <c r="A84" s="1">
        <v>42675</v>
      </c>
      <c r="B84">
        <v>3528309000000</v>
      </c>
    </row>
    <row r="85" spans="1:2" x14ac:dyDescent="0.2">
      <c r="A85" s="1">
        <v>42705</v>
      </c>
      <c r="B85">
        <v>3546544000000</v>
      </c>
    </row>
    <row r="86" spans="1:2" x14ac:dyDescent="0.2">
      <c r="A86" s="1">
        <v>42736</v>
      </c>
      <c r="B86">
        <v>3574017000000</v>
      </c>
    </row>
    <row r="87" spans="1:2" x14ac:dyDescent="0.2">
      <c r="A87" s="1">
        <v>42767</v>
      </c>
      <c r="B87">
        <v>3631761000000</v>
      </c>
    </row>
    <row r="88" spans="1:2" x14ac:dyDescent="0.2">
      <c r="A88" s="1">
        <v>42795</v>
      </c>
      <c r="B88">
        <v>3667539000000</v>
      </c>
    </row>
    <row r="89" spans="1:2" x14ac:dyDescent="0.2">
      <c r="A89" s="1">
        <v>42826</v>
      </c>
      <c r="B89">
        <v>3749034000000</v>
      </c>
    </row>
    <row r="90" spans="1:2" x14ac:dyDescent="0.2">
      <c r="A90" s="1">
        <v>42856</v>
      </c>
      <c r="B90">
        <v>3765152000000</v>
      </c>
    </row>
    <row r="91" spans="1:2" x14ac:dyDescent="0.2">
      <c r="A91" s="1">
        <v>42887</v>
      </c>
      <c r="B91">
        <v>3786476000000</v>
      </c>
    </row>
    <row r="92" spans="1:2" x14ac:dyDescent="0.2">
      <c r="A92" s="1">
        <v>42917</v>
      </c>
      <c r="B92">
        <v>3860035000000</v>
      </c>
    </row>
    <row r="93" spans="1:2" x14ac:dyDescent="0.2">
      <c r="A93" s="1">
        <v>42948</v>
      </c>
      <c r="B93">
        <v>3857257000000</v>
      </c>
    </row>
    <row r="94" spans="1:2" x14ac:dyDescent="0.2">
      <c r="A94" s="1">
        <v>42979</v>
      </c>
      <c r="B94">
        <v>3870471000000</v>
      </c>
    </row>
    <row r="95" spans="1:2" x14ac:dyDescent="0.2">
      <c r="A95" s="1">
        <v>43009</v>
      </c>
      <c r="B95">
        <v>3903129000000</v>
      </c>
    </row>
    <row r="96" spans="1:2" x14ac:dyDescent="0.2">
      <c r="A96" s="1">
        <v>43040</v>
      </c>
      <c r="B96">
        <v>3870525000000</v>
      </c>
    </row>
    <row r="97" spans="1:2" x14ac:dyDescent="0.2">
      <c r="A97" s="1">
        <v>43070</v>
      </c>
      <c r="B97">
        <v>3840557000000</v>
      </c>
    </row>
    <row r="98" spans="1:2" x14ac:dyDescent="0.2">
      <c r="A98" s="1">
        <v>43101</v>
      </c>
      <c r="B98">
        <v>3813092000000</v>
      </c>
    </row>
    <row r="99" spans="1:2" x14ac:dyDescent="0.2">
      <c r="A99" s="1">
        <v>43132</v>
      </c>
      <c r="B99">
        <v>3771870000000</v>
      </c>
    </row>
    <row r="100" spans="1:2" x14ac:dyDescent="0.2">
      <c r="A100" s="1">
        <v>43160</v>
      </c>
      <c r="B100">
        <v>3788525000000</v>
      </c>
    </row>
    <row r="101" spans="1:2" x14ac:dyDescent="0.2">
      <c r="A101" s="1">
        <v>43191</v>
      </c>
      <c r="B101">
        <v>3769502000000</v>
      </c>
    </row>
    <row r="102" spans="1:2" x14ac:dyDescent="0.2">
      <c r="A102" s="1">
        <v>43221</v>
      </c>
      <c r="B102">
        <v>3780684000000</v>
      </c>
    </row>
    <row r="103" spans="1:2" x14ac:dyDescent="0.2">
      <c r="A103" s="1">
        <v>43252</v>
      </c>
      <c r="B103">
        <v>3762983000000</v>
      </c>
    </row>
    <row r="104" spans="1:2" x14ac:dyDescent="0.2">
      <c r="A104" s="1">
        <v>43282</v>
      </c>
      <c r="B104">
        <v>3800621000000</v>
      </c>
    </row>
    <row r="105" spans="1:2" x14ac:dyDescent="0.2">
      <c r="A105" s="1">
        <v>43313</v>
      </c>
      <c r="B105">
        <v>3761185000000</v>
      </c>
    </row>
    <row r="106" spans="1:2" x14ac:dyDescent="0.2">
      <c r="A106" s="1">
        <v>43344</v>
      </c>
      <c r="B106">
        <v>3748677000000</v>
      </c>
    </row>
    <row r="107" spans="1:2" x14ac:dyDescent="0.2">
      <c r="A107" s="1">
        <v>43374</v>
      </c>
      <c r="B107">
        <v>3783048000000</v>
      </c>
    </row>
    <row r="108" spans="1:2" x14ac:dyDescent="0.2">
      <c r="A108" s="1">
        <v>43405</v>
      </c>
      <c r="B108">
        <v>3763557000000</v>
      </c>
    </row>
    <row r="109" spans="1:2" x14ac:dyDescent="0.2">
      <c r="A109" s="1">
        <v>43435</v>
      </c>
      <c r="B109">
        <v>3774058000000</v>
      </c>
    </row>
    <row r="110" spans="1:2" x14ac:dyDescent="0.2">
      <c r="A110" s="1">
        <v>43466</v>
      </c>
      <c r="B110">
        <v>3784499000000</v>
      </c>
    </row>
    <row r="111" spans="1:2" x14ac:dyDescent="0.2">
      <c r="A111" s="1">
        <v>43497</v>
      </c>
      <c r="B111">
        <v>3781761000000</v>
      </c>
    </row>
    <row r="112" spans="1:2" x14ac:dyDescent="0.2">
      <c r="A112" s="1">
        <v>43525</v>
      </c>
      <c r="B112">
        <v>3793920000000</v>
      </c>
    </row>
    <row r="113" spans="1:2" x14ac:dyDescent="0.2">
      <c r="A113" s="1">
        <v>43556</v>
      </c>
      <c r="B113">
        <v>3879048000000</v>
      </c>
    </row>
    <row r="114" spans="1:2" x14ac:dyDescent="0.2">
      <c r="A114" s="1">
        <v>43586</v>
      </c>
      <c r="B114">
        <v>3857052000000</v>
      </c>
    </row>
    <row r="115" spans="1:2" x14ac:dyDescent="0.2">
      <c r="A115" s="1">
        <v>43617</v>
      </c>
      <c r="B115">
        <v>3851465000000</v>
      </c>
    </row>
    <row r="116" spans="1:2" x14ac:dyDescent="0.2">
      <c r="A116" s="1">
        <v>43647</v>
      </c>
      <c r="B116">
        <v>3878310000000</v>
      </c>
    </row>
    <row r="117" spans="1:2" x14ac:dyDescent="0.2">
      <c r="A117" s="1">
        <v>43678</v>
      </c>
      <c r="B117">
        <v>3897441000000</v>
      </c>
    </row>
    <row r="118" spans="1:2" x14ac:dyDescent="0.2">
      <c r="A118" s="1">
        <v>43709</v>
      </c>
      <c r="B118">
        <v>3909635000000</v>
      </c>
    </row>
    <row r="119" spans="1:2" x14ac:dyDescent="0.2">
      <c r="A119" s="1">
        <v>43739</v>
      </c>
      <c r="B119">
        <v>3964135000000</v>
      </c>
    </row>
    <row r="120" spans="1:2" x14ac:dyDescent="0.2">
      <c r="A120" s="1">
        <v>43770</v>
      </c>
      <c r="B120">
        <v>3950167000000</v>
      </c>
    </row>
    <row r="121" spans="1:2" x14ac:dyDescent="0.2">
      <c r="A121" s="1">
        <v>43800</v>
      </c>
      <c r="B121">
        <v>4009242000000</v>
      </c>
    </row>
    <row r="122" spans="1:2" x14ac:dyDescent="0.2">
      <c r="A122" s="1">
        <v>43831</v>
      </c>
      <c r="B122">
        <v>3983165000000</v>
      </c>
    </row>
    <row r="123" spans="1:2" x14ac:dyDescent="0.2">
      <c r="A123" s="1">
        <v>43862</v>
      </c>
      <c r="B123">
        <v>4020489000000</v>
      </c>
    </row>
    <row r="124" spans="1:2" x14ac:dyDescent="0.2">
      <c r="A124" s="1">
        <v>43891</v>
      </c>
      <c r="B124">
        <v>4068951000000</v>
      </c>
    </row>
    <row r="125" spans="1:2" x14ac:dyDescent="0.2">
      <c r="A125" s="1">
        <v>43922</v>
      </c>
      <c r="B125">
        <v>4208577000000</v>
      </c>
    </row>
    <row r="126" spans="1:2" x14ac:dyDescent="0.2">
      <c r="A126" s="1">
        <v>43952</v>
      </c>
      <c r="B126">
        <v>4272221000000</v>
      </c>
    </row>
    <row r="127" spans="1:2" x14ac:dyDescent="0.2">
      <c r="A127" s="1">
        <v>43983</v>
      </c>
      <c r="B127">
        <v>4315434000000</v>
      </c>
    </row>
    <row r="128" spans="1:2" x14ac:dyDescent="0.2">
      <c r="A128" s="1">
        <v>44013</v>
      </c>
      <c r="B128">
        <v>4284671000000</v>
      </c>
    </row>
    <row r="129" spans="1:2" x14ac:dyDescent="0.2">
      <c r="A129" s="1">
        <v>44044</v>
      </c>
      <c r="B129">
        <v>4268274000000</v>
      </c>
    </row>
    <row r="130" spans="1:2" x14ac:dyDescent="0.2">
      <c r="A130" s="1">
        <v>44075</v>
      </c>
      <c r="B130">
        <v>4260474000000</v>
      </c>
    </row>
    <row r="131" spans="1:2" x14ac:dyDescent="0.2">
      <c r="A131" s="1">
        <v>44105</v>
      </c>
      <c r="B131">
        <v>4295468000000</v>
      </c>
    </row>
    <row r="132" spans="1:2" x14ac:dyDescent="0.2">
      <c r="A132" s="1">
        <v>44136</v>
      </c>
      <c r="B132">
        <v>4257709000000</v>
      </c>
    </row>
    <row r="133" spans="1:2" x14ac:dyDescent="0.2">
      <c r="A133" s="1">
        <v>44166</v>
      </c>
      <c r="B133">
        <v>4281978000000</v>
      </c>
    </row>
    <row r="134" spans="1:2" x14ac:dyDescent="0.2">
      <c r="A134" s="1">
        <v>44197</v>
      </c>
      <c r="B134">
        <v>4237468000000</v>
      </c>
    </row>
    <row r="135" spans="1:2" x14ac:dyDescent="0.2">
      <c r="A135" s="1">
        <v>44228</v>
      </c>
      <c r="B135">
        <v>4243929000000</v>
      </c>
    </row>
    <row r="136" spans="1:2" x14ac:dyDescent="0.2">
      <c r="A136" s="1">
        <v>44256</v>
      </c>
      <c r="B136">
        <v>4258270000000</v>
      </c>
    </row>
    <row r="137" spans="1:2" x14ac:dyDescent="0.2">
      <c r="A137" s="1">
        <v>44287</v>
      </c>
      <c r="B137">
        <v>4248946000000</v>
      </c>
    </row>
    <row r="138" spans="1:2" x14ac:dyDescent="0.2">
      <c r="A138" s="1">
        <v>44317</v>
      </c>
      <c r="B138">
        <v>4252582000000</v>
      </c>
    </row>
    <row r="139" spans="1:2" x14ac:dyDescent="0.2">
      <c r="A139" s="1">
        <v>44348</v>
      </c>
      <c r="B139">
        <v>4280560000000</v>
      </c>
    </row>
    <row r="140" spans="1:2" x14ac:dyDescent="0.2">
      <c r="A140" s="1">
        <v>44378</v>
      </c>
      <c r="B140">
        <v>4309355000000</v>
      </c>
    </row>
    <row r="141" spans="1:2" x14ac:dyDescent="0.2">
      <c r="A141" s="1">
        <v>44409</v>
      </c>
      <c r="B141">
        <v>4304510000000</v>
      </c>
    </row>
    <row r="142" spans="1:2" x14ac:dyDescent="0.2">
      <c r="A142" s="1">
        <v>44440</v>
      </c>
      <c r="B142">
        <v>4335562000000</v>
      </c>
    </row>
    <row r="143" spans="1:2" x14ac:dyDescent="0.2">
      <c r="A143" s="1">
        <v>44470</v>
      </c>
      <c r="B143">
        <v>4366103000000</v>
      </c>
    </row>
    <row r="144" spans="1:2" x14ac:dyDescent="0.2">
      <c r="A144" s="1">
        <v>44501</v>
      </c>
      <c r="B144">
        <v>4435790000000</v>
      </c>
    </row>
    <row r="145" spans="1:2" x14ac:dyDescent="0.2">
      <c r="A145" s="1">
        <v>44531</v>
      </c>
      <c r="B145">
        <v>4495309000000</v>
      </c>
    </row>
    <row r="146" spans="1:2" x14ac:dyDescent="0.2">
      <c r="A146" s="1">
        <v>44562</v>
      </c>
      <c r="B146">
        <v>4485757000000</v>
      </c>
    </row>
    <row r="147" spans="1:2" x14ac:dyDescent="0.2">
      <c r="A147" s="1">
        <v>44593</v>
      </c>
      <c r="B147">
        <v>4477400000000</v>
      </c>
    </row>
    <row r="148" spans="1:2" x14ac:dyDescent="0.2">
      <c r="A148" s="1">
        <v>44621</v>
      </c>
      <c r="B148">
        <v>4527727000000</v>
      </c>
    </row>
    <row r="149" spans="1:2" x14ac:dyDescent="0.2">
      <c r="A149" s="1">
        <v>44652</v>
      </c>
      <c r="B149">
        <v>4519967000000</v>
      </c>
    </row>
    <row r="150" spans="1:2" x14ac:dyDescent="0.2">
      <c r="A150" s="1">
        <v>44682</v>
      </c>
      <c r="B150">
        <v>4519665000000</v>
      </c>
    </row>
    <row r="151" spans="1:2" x14ac:dyDescent="0.2">
      <c r="A151" s="1">
        <v>44713</v>
      </c>
      <c r="B151">
        <v>4550346000000</v>
      </c>
    </row>
    <row r="152" spans="1:2" x14ac:dyDescent="0.2">
      <c r="A152" s="1">
        <v>44743</v>
      </c>
      <c r="B152">
        <v>4520281000000</v>
      </c>
    </row>
    <row r="153" spans="1:2" x14ac:dyDescent="0.2">
      <c r="A153" s="1">
        <v>44774</v>
      </c>
      <c r="B153">
        <v>4523823000000</v>
      </c>
    </row>
    <row r="154" spans="1:2" x14ac:dyDescent="0.2">
      <c r="A154" s="1">
        <v>44805</v>
      </c>
      <c r="B154">
        <v>4515742000000</v>
      </c>
    </row>
    <row r="155" spans="1:2" x14ac:dyDescent="0.2">
      <c r="A155" s="1">
        <v>44835</v>
      </c>
      <c r="B155">
        <v>4531793000000</v>
      </c>
    </row>
    <row r="156" spans="1:2" x14ac:dyDescent="0.2">
      <c r="A156" s="1">
        <v>44866</v>
      </c>
      <c r="B156">
        <v>4525462000000</v>
      </c>
    </row>
    <row r="157" spans="1:2" x14ac:dyDescent="0.2">
      <c r="A157" s="1">
        <v>44896</v>
      </c>
      <c r="B157">
        <v>4490718000000</v>
      </c>
    </row>
    <row r="158" spans="1:2" x14ac:dyDescent="0.2">
      <c r="A158" s="1">
        <v>44927</v>
      </c>
      <c r="B158">
        <v>4482820000000</v>
      </c>
    </row>
    <row r="159" spans="1:2" x14ac:dyDescent="0.2">
      <c r="A159" s="1">
        <v>44958</v>
      </c>
      <c r="B159">
        <v>4443840000000</v>
      </c>
    </row>
    <row r="160" spans="1:2" x14ac:dyDescent="0.2">
      <c r="A160" s="1">
        <v>44986</v>
      </c>
      <c r="B160">
        <v>4426985000000</v>
      </c>
    </row>
    <row r="161" spans="1:2" x14ac:dyDescent="0.2">
      <c r="A161" s="1">
        <v>45017</v>
      </c>
      <c r="B161">
        <v>4434571000000</v>
      </c>
    </row>
    <row r="162" spans="1:2" x14ac:dyDescent="0.2">
      <c r="A162" s="1">
        <v>45047</v>
      </c>
      <c r="B162">
        <v>4404079000000</v>
      </c>
    </row>
    <row r="163" spans="1:2" x14ac:dyDescent="0.2">
      <c r="A163" s="1">
        <v>45078</v>
      </c>
      <c r="B163">
        <v>4405886000000</v>
      </c>
    </row>
    <row r="164" spans="1:2" x14ac:dyDescent="0.2">
      <c r="A164" s="1">
        <v>45108</v>
      </c>
      <c r="B164">
        <v>4385158000000</v>
      </c>
    </row>
    <row r="165" spans="1:2" x14ac:dyDescent="0.2">
      <c r="A165" s="1">
        <v>45139</v>
      </c>
      <c r="B165">
        <v>4352750000000</v>
      </c>
    </row>
    <row r="166" spans="1:2" x14ac:dyDescent="0.2">
      <c r="A166" s="1">
        <v>45170</v>
      </c>
      <c r="B166">
        <v>4372589000000</v>
      </c>
    </row>
  </sheetData>
  <sortState xmlns:xlrd2="http://schemas.microsoft.com/office/spreadsheetml/2017/richdata2" ref="A3:B166">
    <sortCondition ref="A3:A166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607C7-6B12-CA4D-82F9-5EE1AB219330}">
  <dimension ref="A1:I11"/>
  <sheetViews>
    <sheetView zoomScale="156" workbookViewId="0">
      <selection activeCell="B11" sqref="B11"/>
    </sheetView>
  </sheetViews>
  <sheetFormatPr baseColWidth="10" defaultRowHeight="16" x14ac:dyDescent="0.2"/>
  <cols>
    <col min="1" max="1" width="18" bestFit="1" customWidth="1"/>
    <col min="6" max="6" width="13" bestFit="1" customWidth="1"/>
    <col min="9" max="9" width="14.33203125" bestFit="1" customWidth="1"/>
  </cols>
  <sheetData>
    <row r="1" spans="1:9" x14ac:dyDescent="0.2">
      <c r="B1" t="s">
        <v>31</v>
      </c>
      <c r="C1" t="s">
        <v>32</v>
      </c>
      <c r="D1" t="s">
        <v>34</v>
      </c>
      <c r="E1" t="s">
        <v>33</v>
      </c>
      <c r="F1" t="s">
        <v>35</v>
      </c>
      <c r="G1" t="s">
        <v>36</v>
      </c>
      <c r="I1" t="s">
        <v>38</v>
      </c>
    </row>
    <row r="2" spans="1:9" x14ac:dyDescent="0.2">
      <c r="A2" t="s">
        <v>24</v>
      </c>
      <c r="B2">
        <v>64</v>
      </c>
      <c r="C2">
        <v>3</v>
      </c>
      <c r="D2">
        <v>2</v>
      </c>
      <c r="E2">
        <v>11</v>
      </c>
      <c r="F2">
        <v>15</v>
      </c>
      <c r="G2">
        <v>5</v>
      </c>
      <c r="I2">
        <v>69</v>
      </c>
    </row>
    <row r="3" spans="1:9" x14ac:dyDescent="0.2">
      <c r="A3" t="s">
        <v>25</v>
      </c>
      <c r="B3">
        <v>30</v>
      </c>
      <c r="C3">
        <v>39</v>
      </c>
      <c r="D3">
        <v>4</v>
      </c>
      <c r="E3">
        <v>20</v>
      </c>
      <c r="F3">
        <v>37</v>
      </c>
      <c r="G3">
        <v>31</v>
      </c>
    </row>
    <row r="4" spans="1:9" x14ac:dyDescent="0.2">
      <c r="A4" t="s">
        <v>26</v>
      </c>
      <c r="B4">
        <v>56</v>
      </c>
      <c r="C4">
        <v>27</v>
      </c>
      <c r="D4">
        <v>31</v>
      </c>
      <c r="E4">
        <v>64</v>
      </c>
      <c r="F4">
        <v>51</v>
      </c>
      <c r="G4">
        <v>49</v>
      </c>
    </row>
    <row r="5" spans="1:9" x14ac:dyDescent="0.2">
      <c r="A5" t="s">
        <v>27</v>
      </c>
      <c r="B5">
        <v>11</v>
      </c>
      <c r="C5">
        <v>4</v>
      </c>
      <c r="D5">
        <v>2</v>
      </c>
      <c r="E5">
        <v>14</v>
      </c>
      <c r="F5">
        <v>10</v>
      </c>
      <c r="G5">
        <v>8</v>
      </c>
    </row>
    <row r="6" spans="1:9" x14ac:dyDescent="0.2">
      <c r="A6" t="s">
        <v>28</v>
      </c>
      <c r="B6">
        <v>0</v>
      </c>
      <c r="C6">
        <v>25</v>
      </c>
      <c r="D6">
        <v>59</v>
      </c>
      <c r="E6">
        <v>0</v>
      </c>
      <c r="F6">
        <v>0</v>
      </c>
      <c r="G6">
        <v>8</v>
      </c>
    </row>
    <row r="7" spans="1:9" x14ac:dyDescent="0.2">
      <c r="A7" t="s">
        <v>29</v>
      </c>
      <c r="B7">
        <v>0</v>
      </c>
      <c r="C7">
        <v>3</v>
      </c>
      <c r="D7">
        <v>0</v>
      </c>
      <c r="E7">
        <v>0</v>
      </c>
      <c r="F7">
        <v>0</v>
      </c>
      <c r="G7">
        <v>0</v>
      </c>
    </row>
    <row r="8" spans="1:9" x14ac:dyDescent="0.2">
      <c r="A8" t="s">
        <v>30</v>
      </c>
      <c r="B8">
        <v>2</v>
      </c>
      <c r="C8">
        <v>3</v>
      </c>
      <c r="D8">
        <v>5</v>
      </c>
      <c r="E8">
        <v>1</v>
      </c>
      <c r="F8">
        <v>2</v>
      </c>
      <c r="G8">
        <v>4</v>
      </c>
    </row>
    <row r="9" spans="1:9" x14ac:dyDescent="0.2">
      <c r="A9" t="s">
        <v>37</v>
      </c>
      <c r="B9">
        <f>B4+B6+B5</f>
        <v>67</v>
      </c>
      <c r="C9">
        <f t="shared" ref="C9:G9" si="0">C4+C6+C5</f>
        <v>56</v>
      </c>
      <c r="D9">
        <f t="shared" si="0"/>
        <v>92</v>
      </c>
      <c r="E9">
        <f t="shared" si="0"/>
        <v>78</v>
      </c>
      <c r="F9">
        <f t="shared" si="0"/>
        <v>61</v>
      </c>
      <c r="G9">
        <f t="shared" si="0"/>
        <v>65</v>
      </c>
    </row>
    <row r="10" spans="1:9" x14ac:dyDescent="0.2">
      <c r="A10" t="s">
        <v>39</v>
      </c>
      <c r="B10">
        <f>$I$2-B9</f>
        <v>2</v>
      </c>
      <c r="C10">
        <f t="shared" ref="C10:G10" si="1">$I$2-C9</f>
        <v>13</v>
      </c>
      <c r="D10">
        <f t="shared" si="1"/>
        <v>-23</v>
      </c>
      <c r="E10">
        <f t="shared" si="1"/>
        <v>-9</v>
      </c>
      <c r="F10">
        <f t="shared" si="1"/>
        <v>8</v>
      </c>
      <c r="G10">
        <f t="shared" si="1"/>
        <v>4</v>
      </c>
    </row>
    <row r="11" spans="1:9" x14ac:dyDescent="0.2">
      <c r="A11" t="s">
        <v>40</v>
      </c>
      <c r="B11">
        <f>B10*B2/100</f>
        <v>1.28</v>
      </c>
      <c r="C11">
        <f t="shared" ref="C11:G11" si="2">C10*C2/100</f>
        <v>0.39</v>
      </c>
      <c r="D11">
        <f t="shared" si="2"/>
        <v>-0.46</v>
      </c>
      <c r="E11">
        <f t="shared" si="2"/>
        <v>-0.99</v>
      </c>
      <c r="F11">
        <f t="shared" si="2"/>
        <v>1.2</v>
      </c>
      <c r="G11">
        <f t="shared" si="2"/>
        <v>0.2</v>
      </c>
      <c r="H11" s="3">
        <f>SUM(B11:G11)</f>
        <v>1.6199999999999999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CB77A3-16AD-254A-A422-90ECF4B56380}">
  <dimension ref="A1:D204"/>
  <sheetViews>
    <sheetView workbookViewId="0">
      <selection activeCell="D204" sqref="D204"/>
    </sheetView>
  </sheetViews>
  <sheetFormatPr baseColWidth="10" defaultRowHeight="16" x14ac:dyDescent="0.2"/>
  <cols>
    <col min="1" max="1" width="10.83203125" style="1"/>
  </cols>
  <sheetData>
    <row r="1" spans="1:4" x14ac:dyDescent="0.2">
      <c r="A1" s="1" t="s">
        <v>1</v>
      </c>
      <c r="B1" t="s">
        <v>42</v>
      </c>
      <c r="D1" t="s">
        <v>41</v>
      </c>
    </row>
    <row r="2" spans="1:4" x14ac:dyDescent="0.2">
      <c r="A2" s="1">
        <v>39022</v>
      </c>
      <c r="B2">
        <v>2.8</v>
      </c>
    </row>
    <row r="3" spans="1:4" x14ac:dyDescent="0.2">
      <c r="A3" s="1">
        <v>39052</v>
      </c>
      <c r="B3">
        <v>2.5</v>
      </c>
    </row>
    <row r="4" spans="1:4" x14ac:dyDescent="0.2">
      <c r="A4" s="1">
        <v>39083</v>
      </c>
      <c r="B4">
        <v>2.7</v>
      </c>
    </row>
    <row r="5" spans="1:4" x14ac:dyDescent="0.2">
      <c r="A5" s="1">
        <v>39114</v>
      </c>
      <c r="B5">
        <v>2.8</v>
      </c>
    </row>
    <row r="6" spans="1:4" x14ac:dyDescent="0.2">
      <c r="A6" s="1">
        <v>39142</v>
      </c>
      <c r="B6">
        <v>2.9</v>
      </c>
    </row>
    <row r="7" spans="1:4" x14ac:dyDescent="0.2">
      <c r="A7" s="1">
        <v>39173</v>
      </c>
      <c r="B7">
        <v>2.9</v>
      </c>
    </row>
    <row r="8" spans="1:4" x14ac:dyDescent="0.2">
      <c r="A8" s="1">
        <v>39203</v>
      </c>
      <c r="B8">
        <v>3.1</v>
      </c>
    </row>
    <row r="9" spans="1:4" x14ac:dyDescent="0.2">
      <c r="A9" s="1">
        <v>39234</v>
      </c>
      <c r="B9">
        <v>3.1</v>
      </c>
    </row>
    <row r="10" spans="1:4" x14ac:dyDescent="0.2">
      <c r="A10" s="1">
        <v>39264</v>
      </c>
      <c r="B10">
        <v>3.3</v>
      </c>
    </row>
    <row r="11" spans="1:4" x14ac:dyDescent="0.2">
      <c r="A11" s="1">
        <v>39295</v>
      </c>
      <c r="B11">
        <v>3.3</v>
      </c>
    </row>
    <row r="12" spans="1:4" x14ac:dyDescent="0.2">
      <c r="A12" s="1">
        <v>39326</v>
      </c>
      <c r="B12">
        <v>3.6</v>
      </c>
    </row>
    <row r="13" spans="1:4" x14ac:dyDescent="0.2">
      <c r="A13" s="1">
        <v>39356</v>
      </c>
      <c r="B13">
        <v>3.8</v>
      </c>
    </row>
    <row r="14" spans="1:4" x14ac:dyDescent="0.2">
      <c r="A14" s="1">
        <v>39387</v>
      </c>
      <c r="B14">
        <v>4.4000000000000004</v>
      </c>
    </row>
    <row r="15" spans="1:4" x14ac:dyDescent="0.2">
      <c r="A15" s="1">
        <v>39417</v>
      </c>
      <c r="B15">
        <v>4.2</v>
      </c>
    </row>
    <row r="16" spans="1:4" x14ac:dyDescent="0.2">
      <c r="A16" s="1">
        <v>39448</v>
      </c>
      <c r="B16">
        <v>4.4000000000000004</v>
      </c>
    </row>
    <row r="17" spans="1:2" x14ac:dyDescent="0.2">
      <c r="A17" s="1">
        <v>39479</v>
      </c>
      <c r="B17">
        <v>4.4000000000000004</v>
      </c>
    </row>
    <row r="18" spans="1:2" x14ac:dyDescent="0.2">
      <c r="A18" s="1">
        <v>39508</v>
      </c>
      <c r="B18">
        <v>4.5</v>
      </c>
    </row>
    <row r="19" spans="1:2" x14ac:dyDescent="0.2">
      <c r="A19" s="1">
        <v>39539</v>
      </c>
      <c r="B19">
        <v>4.5999999999999996</v>
      </c>
    </row>
    <row r="20" spans="1:2" x14ac:dyDescent="0.2">
      <c r="A20" s="1">
        <v>39569</v>
      </c>
      <c r="B20">
        <v>4.4000000000000004</v>
      </c>
    </row>
    <row r="21" spans="1:2" x14ac:dyDescent="0.2">
      <c r="A21" s="1">
        <v>39600</v>
      </c>
      <c r="B21">
        <v>4.7</v>
      </c>
    </row>
    <row r="22" spans="1:2" x14ac:dyDescent="0.2">
      <c r="A22" s="1">
        <v>39630</v>
      </c>
      <c r="B22">
        <v>4.5999999999999996</v>
      </c>
    </row>
    <row r="23" spans="1:2" x14ac:dyDescent="0.2">
      <c r="A23" s="1">
        <v>39661</v>
      </c>
      <c r="B23">
        <v>4.8</v>
      </c>
    </row>
    <row r="24" spans="1:2" x14ac:dyDescent="0.2">
      <c r="A24" s="1">
        <v>39692</v>
      </c>
      <c r="B24">
        <v>5.2</v>
      </c>
    </row>
    <row r="25" spans="1:2" x14ac:dyDescent="0.2">
      <c r="A25" s="1">
        <v>39722</v>
      </c>
      <c r="B25">
        <v>5.3</v>
      </c>
    </row>
    <row r="26" spans="1:2" x14ac:dyDescent="0.2">
      <c r="A26" s="1">
        <v>39753</v>
      </c>
      <c r="B26">
        <v>6</v>
      </c>
    </row>
    <row r="27" spans="1:2" x14ac:dyDescent="0.2">
      <c r="A27" s="1">
        <v>39783</v>
      </c>
      <c r="B27">
        <v>5.8</v>
      </c>
    </row>
    <row r="28" spans="1:2" x14ac:dyDescent="0.2">
      <c r="A28" s="1">
        <v>39814</v>
      </c>
      <c r="B28">
        <v>6</v>
      </c>
    </row>
    <row r="29" spans="1:2" x14ac:dyDescent="0.2">
      <c r="A29" s="1">
        <v>39845</v>
      </c>
      <c r="B29">
        <v>5.9</v>
      </c>
    </row>
    <row r="30" spans="1:2" x14ac:dyDescent="0.2">
      <c r="A30" s="1">
        <v>39873</v>
      </c>
      <c r="B30">
        <v>5.8</v>
      </c>
    </row>
    <row r="31" spans="1:2" x14ac:dyDescent="0.2">
      <c r="A31" s="1">
        <v>39904</v>
      </c>
      <c r="B31">
        <v>5.7</v>
      </c>
    </row>
    <row r="32" spans="1:2" x14ac:dyDescent="0.2">
      <c r="A32" s="1">
        <v>39934</v>
      </c>
      <c r="B32">
        <v>5.7</v>
      </c>
    </row>
    <row r="33" spans="1:2" x14ac:dyDescent="0.2">
      <c r="A33" s="1">
        <v>39965</v>
      </c>
      <c r="B33">
        <v>5.6</v>
      </c>
    </row>
    <row r="34" spans="1:2" x14ac:dyDescent="0.2">
      <c r="A34" s="1">
        <v>39995</v>
      </c>
      <c r="B34">
        <v>5.9</v>
      </c>
    </row>
    <row r="35" spans="1:2" x14ac:dyDescent="0.2">
      <c r="A35" s="1">
        <v>40026</v>
      </c>
      <c r="B35">
        <v>5.9</v>
      </c>
    </row>
    <row r="36" spans="1:2" x14ac:dyDescent="0.2">
      <c r="A36" s="1">
        <v>40057</v>
      </c>
      <c r="B36">
        <v>6.1</v>
      </c>
    </row>
    <row r="37" spans="1:2" x14ac:dyDescent="0.2">
      <c r="A37" s="1">
        <v>40087</v>
      </c>
      <c r="B37">
        <v>6.8</v>
      </c>
    </row>
    <row r="38" spans="1:2" x14ac:dyDescent="0.2">
      <c r="A38" s="1">
        <v>40118</v>
      </c>
      <c r="B38">
        <v>7.9</v>
      </c>
    </row>
    <row r="39" spans="1:2" x14ac:dyDescent="0.2">
      <c r="A39" s="1">
        <v>40148</v>
      </c>
      <c r="B39">
        <v>6.9</v>
      </c>
    </row>
    <row r="40" spans="1:2" x14ac:dyDescent="0.2">
      <c r="A40" s="1">
        <v>40179</v>
      </c>
      <c r="B40">
        <v>7.1</v>
      </c>
    </row>
    <row r="41" spans="1:2" x14ac:dyDescent="0.2">
      <c r="A41" s="1">
        <v>40210</v>
      </c>
      <c r="B41">
        <v>6.8</v>
      </c>
    </row>
    <row r="42" spans="1:2" x14ac:dyDescent="0.2">
      <c r="A42" s="1">
        <v>40238</v>
      </c>
      <c r="B42">
        <v>6.5</v>
      </c>
    </row>
    <row r="43" spans="1:2" x14ac:dyDescent="0.2">
      <c r="A43" s="1">
        <v>40269</v>
      </c>
      <c r="B43">
        <v>6.6</v>
      </c>
    </row>
    <row r="44" spans="1:2" x14ac:dyDescent="0.2">
      <c r="A44" s="1">
        <v>40299</v>
      </c>
      <c r="B44">
        <v>6.6</v>
      </c>
    </row>
    <row r="45" spans="1:2" x14ac:dyDescent="0.2">
      <c r="A45" s="1">
        <v>40330</v>
      </c>
      <c r="B45">
        <v>6.4</v>
      </c>
    </row>
    <row r="46" spans="1:2" x14ac:dyDescent="0.2">
      <c r="A46" s="1">
        <v>40360</v>
      </c>
      <c r="B46">
        <v>6.7</v>
      </c>
    </row>
    <row r="47" spans="1:2" x14ac:dyDescent="0.2">
      <c r="A47" s="1">
        <v>40391</v>
      </c>
      <c r="B47">
        <v>7.1</v>
      </c>
    </row>
    <row r="48" spans="1:2" x14ac:dyDescent="0.2">
      <c r="A48" s="1">
        <v>40422</v>
      </c>
      <c r="B48">
        <v>7.3</v>
      </c>
    </row>
    <row r="49" spans="1:2" x14ac:dyDescent="0.2">
      <c r="A49" s="1">
        <v>40452</v>
      </c>
      <c r="B49">
        <v>7.9</v>
      </c>
    </row>
    <row r="50" spans="1:2" x14ac:dyDescent="0.2">
      <c r="A50" s="1">
        <v>40483</v>
      </c>
      <c r="B50">
        <v>9</v>
      </c>
    </row>
    <row r="51" spans="1:2" x14ac:dyDescent="0.2">
      <c r="A51" s="1">
        <v>40513</v>
      </c>
      <c r="B51">
        <v>8.5</v>
      </c>
    </row>
    <row r="52" spans="1:2" x14ac:dyDescent="0.2">
      <c r="A52" s="1">
        <v>40544</v>
      </c>
      <c r="B52">
        <v>8.6999999999999993</v>
      </c>
    </row>
    <row r="53" spans="1:2" x14ac:dyDescent="0.2">
      <c r="A53" s="1">
        <v>40575</v>
      </c>
      <c r="B53">
        <v>7.9</v>
      </c>
    </row>
    <row r="54" spans="1:2" x14ac:dyDescent="0.2">
      <c r="A54" s="1">
        <v>40603</v>
      </c>
      <c r="B54">
        <v>7.8</v>
      </c>
    </row>
    <row r="55" spans="1:2" x14ac:dyDescent="0.2">
      <c r="A55" s="1">
        <v>40634</v>
      </c>
      <c r="B55">
        <v>7.2</v>
      </c>
    </row>
    <row r="56" spans="1:2" x14ac:dyDescent="0.2">
      <c r="A56" s="1">
        <v>40664</v>
      </c>
      <c r="B56">
        <v>7.5</v>
      </c>
    </row>
    <row r="57" spans="1:2" x14ac:dyDescent="0.2">
      <c r="A57" s="1">
        <v>40695</v>
      </c>
      <c r="B57">
        <v>7.7</v>
      </c>
    </row>
    <row r="58" spans="1:2" x14ac:dyDescent="0.2">
      <c r="A58" s="1">
        <v>40725</v>
      </c>
      <c r="B58">
        <v>7.7</v>
      </c>
    </row>
    <row r="59" spans="1:2" x14ac:dyDescent="0.2">
      <c r="A59" s="1">
        <v>40756</v>
      </c>
      <c r="B59">
        <v>7.8</v>
      </c>
    </row>
    <row r="60" spans="1:2" x14ac:dyDescent="0.2">
      <c r="A60" s="1">
        <v>40787</v>
      </c>
      <c r="B60">
        <v>8.3000000000000007</v>
      </c>
    </row>
    <row r="61" spans="1:2" x14ac:dyDescent="0.2">
      <c r="A61" s="1">
        <v>40817</v>
      </c>
      <c r="B61">
        <v>8.6</v>
      </c>
    </row>
    <row r="62" spans="1:2" x14ac:dyDescent="0.2">
      <c r="A62" s="1">
        <v>40848</v>
      </c>
      <c r="B62">
        <v>10.3</v>
      </c>
    </row>
    <row r="63" spans="1:2" x14ac:dyDescent="0.2">
      <c r="A63" s="1">
        <v>40878</v>
      </c>
      <c r="B63">
        <v>9.4</v>
      </c>
    </row>
    <row r="64" spans="1:2" x14ac:dyDescent="0.2">
      <c r="A64" s="1">
        <v>40909</v>
      </c>
      <c r="B64">
        <v>9.4</v>
      </c>
    </row>
    <row r="65" spans="1:2" x14ac:dyDescent="0.2">
      <c r="A65" s="1">
        <v>40940</v>
      </c>
      <c r="B65">
        <v>9.1</v>
      </c>
    </row>
    <row r="66" spans="1:2" x14ac:dyDescent="0.2">
      <c r="A66" s="1">
        <v>40969</v>
      </c>
      <c r="B66">
        <v>8.8000000000000007</v>
      </c>
    </row>
    <row r="67" spans="1:2" x14ac:dyDescent="0.2">
      <c r="A67" s="1">
        <v>41000</v>
      </c>
      <c r="B67">
        <v>8.9</v>
      </c>
    </row>
    <row r="68" spans="1:2" x14ac:dyDescent="0.2">
      <c r="A68" s="1">
        <v>41030</v>
      </c>
      <c r="B68">
        <v>9.1</v>
      </c>
    </row>
    <row r="69" spans="1:2" x14ac:dyDescent="0.2">
      <c r="A69" s="1">
        <v>41061</v>
      </c>
      <c r="B69">
        <v>8.5</v>
      </c>
    </row>
    <row r="70" spans="1:2" x14ac:dyDescent="0.2">
      <c r="A70" s="1">
        <v>41091</v>
      </c>
      <c r="B70">
        <v>9</v>
      </c>
    </row>
    <row r="71" spans="1:2" x14ac:dyDescent="0.2">
      <c r="A71" s="1">
        <v>41122</v>
      </c>
      <c r="B71">
        <v>8.3000000000000007</v>
      </c>
    </row>
    <row r="72" spans="1:2" x14ac:dyDescent="0.2">
      <c r="A72" s="1">
        <v>41153</v>
      </c>
      <c r="B72">
        <v>8.9</v>
      </c>
    </row>
    <row r="73" spans="1:2" x14ac:dyDescent="0.2">
      <c r="A73" s="1">
        <v>41183</v>
      </c>
      <c r="B73">
        <v>9.4</v>
      </c>
    </row>
    <row r="74" spans="1:2" x14ac:dyDescent="0.2">
      <c r="A74" s="1">
        <v>41214</v>
      </c>
      <c r="B74">
        <v>10.7</v>
      </c>
    </row>
    <row r="75" spans="1:2" x14ac:dyDescent="0.2">
      <c r="A75" s="1">
        <v>41244</v>
      </c>
      <c r="B75">
        <v>10.9</v>
      </c>
    </row>
    <row r="76" spans="1:2" x14ac:dyDescent="0.2">
      <c r="A76" s="1">
        <v>41275</v>
      </c>
      <c r="B76">
        <v>10.5</v>
      </c>
    </row>
    <row r="77" spans="1:2" x14ac:dyDescent="0.2">
      <c r="A77" s="1">
        <v>41306</v>
      </c>
      <c r="B77">
        <v>10</v>
      </c>
    </row>
    <row r="78" spans="1:2" x14ac:dyDescent="0.2">
      <c r="A78" s="1">
        <v>41334</v>
      </c>
      <c r="B78">
        <v>10.3</v>
      </c>
    </row>
    <row r="79" spans="1:2" x14ac:dyDescent="0.2">
      <c r="A79" s="1">
        <v>41365</v>
      </c>
      <c r="B79">
        <v>10.1</v>
      </c>
    </row>
    <row r="80" spans="1:2" x14ac:dyDescent="0.2">
      <c r="A80" s="1">
        <v>41395</v>
      </c>
      <c r="B80">
        <v>9.8000000000000007</v>
      </c>
    </row>
    <row r="81" spans="1:2" x14ac:dyDescent="0.2">
      <c r="A81" s="1">
        <v>41426</v>
      </c>
      <c r="B81">
        <v>9.6999999999999993</v>
      </c>
    </row>
    <row r="82" spans="1:2" x14ac:dyDescent="0.2">
      <c r="A82" s="1">
        <v>41456</v>
      </c>
      <c r="B82">
        <v>9.5</v>
      </c>
    </row>
    <row r="83" spans="1:2" x14ac:dyDescent="0.2">
      <c r="A83" s="1">
        <v>41487</v>
      </c>
      <c r="B83">
        <v>9.6999999999999993</v>
      </c>
    </row>
    <row r="84" spans="1:2" x14ac:dyDescent="0.2">
      <c r="A84" s="1">
        <v>41518</v>
      </c>
      <c r="B84">
        <v>10.1</v>
      </c>
    </row>
    <row r="85" spans="1:2" x14ac:dyDescent="0.2">
      <c r="A85" s="1">
        <v>41548</v>
      </c>
      <c r="B85">
        <v>10.7</v>
      </c>
    </row>
    <row r="86" spans="1:2" x14ac:dyDescent="0.2">
      <c r="A86" s="1">
        <v>41579</v>
      </c>
      <c r="B86">
        <v>12.1</v>
      </c>
    </row>
    <row r="87" spans="1:2" x14ac:dyDescent="0.2">
      <c r="A87" s="1">
        <v>41609</v>
      </c>
      <c r="B87">
        <v>11.8</v>
      </c>
    </row>
    <row r="88" spans="1:2" x14ac:dyDescent="0.2">
      <c r="A88" s="1">
        <v>41640</v>
      </c>
      <c r="B88">
        <v>11.1</v>
      </c>
    </row>
    <row r="89" spans="1:2" x14ac:dyDescent="0.2">
      <c r="A89" s="1">
        <v>41671</v>
      </c>
      <c r="B89">
        <v>10.7</v>
      </c>
    </row>
    <row r="90" spans="1:2" x14ac:dyDescent="0.2">
      <c r="A90" s="1">
        <v>41699</v>
      </c>
      <c r="B90">
        <v>10.8</v>
      </c>
    </row>
    <row r="91" spans="1:2" x14ac:dyDescent="0.2">
      <c r="A91" s="1">
        <v>41730</v>
      </c>
      <c r="B91">
        <v>10.6</v>
      </c>
    </row>
    <row r="92" spans="1:2" x14ac:dyDescent="0.2">
      <c r="A92" s="1">
        <v>41760</v>
      </c>
      <c r="B92">
        <v>10.9</v>
      </c>
    </row>
    <row r="93" spans="1:2" x14ac:dyDescent="0.2">
      <c r="A93" s="1">
        <v>41791</v>
      </c>
      <c r="B93">
        <v>10.7</v>
      </c>
    </row>
    <row r="94" spans="1:2" x14ac:dyDescent="0.2">
      <c r="A94" s="1">
        <v>41821</v>
      </c>
      <c r="B94">
        <v>10.6</v>
      </c>
    </row>
    <row r="95" spans="1:2" x14ac:dyDescent="0.2">
      <c r="A95" s="1">
        <v>41852</v>
      </c>
      <c r="B95">
        <v>10.7</v>
      </c>
    </row>
    <row r="96" spans="1:2" x14ac:dyDescent="0.2">
      <c r="A96" s="1">
        <v>41883</v>
      </c>
      <c r="B96">
        <v>10.9</v>
      </c>
    </row>
    <row r="97" spans="1:2" x14ac:dyDescent="0.2">
      <c r="A97" s="1">
        <v>41913</v>
      </c>
      <c r="B97">
        <v>11.5</v>
      </c>
    </row>
    <row r="98" spans="1:2" x14ac:dyDescent="0.2">
      <c r="A98" s="1">
        <v>41944</v>
      </c>
      <c r="B98">
        <v>13.7</v>
      </c>
    </row>
    <row r="99" spans="1:2" x14ac:dyDescent="0.2">
      <c r="A99" s="1">
        <v>41974</v>
      </c>
      <c r="B99">
        <v>12.8</v>
      </c>
    </row>
    <row r="100" spans="1:2" x14ac:dyDescent="0.2">
      <c r="A100" s="1">
        <v>42005</v>
      </c>
      <c r="B100">
        <v>12.8</v>
      </c>
    </row>
    <row r="101" spans="1:2" x14ac:dyDescent="0.2">
      <c r="A101" s="1">
        <v>42036</v>
      </c>
      <c r="B101">
        <v>11.7</v>
      </c>
    </row>
    <row r="102" spans="1:2" x14ac:dyDescent="0.2">
      <c r="A102" s="1">
        <v>42064</v>
      </c>
      <c r="B102">
        <v>11.7</v>
      </c>
    </row>
    <row r="103" spans="1:2" x14ac:dyDescent="0.2">
      <c r="A103" s="1">
        <v>42095</v>
      </c>
      <c r="B103">
        <v>12.2</v>
      </c>
    </row>
    <row r="104" spans="1:2" x14ac:dyDescent="0.2">
      <c r="A104" s="1">
        <v>42125</v>
      </c>
      <c r="B104">
        <v>11.7</v>
      </c>
    </row>
    <row r="105" spans="1:2" x14ac:dyDescent="0.2">
      <c r="A105" s="1">
        <v>42156</v>
      </c>
      <c r="B105">
        <v>11.9</v>
      </c>
    </row>
    <row r="106" spans="1:2" x14ac:dyDescent="0.2">
      <c r="A106" s="1">
        <v>42186</v>
      </c>
      <c r="B106">
        <v>11.8</v>
      </c>
    </row>
    <row r="107" spans="1:2" x14ac:dyDescent="0.2">
      <c r="A107" s="1">
        <v>42217</v>
      </c>
      <c r="B107">
        <v>11.5</v>
      </c>
    </row>
    <row r="108" spans="1:2" x14ac:dyDescent="0.2">
      <c r="A108" s="1">
        <v>42248</v>
      </c>
      <c r="B108">
        <v>12.1</v>
      </c>
    </row>
    <row r="109" spans="1:2" x14ac:dyDescent="0.2">
      <c r="A109" s="1">
        <v>42278</v>
      </c>
      <c r="B109">
        <v>12.7</v>
      </c>
    </row>
    <row r="110" spans="1:2" x14ac:dyDescent="0.2">
      <c r="A110" s="1">
        <v>42309</v>
      </c>
      <c r="B110">
        <v>15.5</v>
      </c>
    </row>
    <row r="111" spans="1:2" x14ac:dyDescent="0.2">
      <c r="A111" s="1">
        <v>42339</v>
      </c>
      <c r="B111">
        <v>14.1</v>
      </c>
    </row>
    <row r="112" spans="1:2" x14ac:dyDescent="0.2">
      <c r="A112" s="1">
        <v>42370</v>
      </c>
      <c r="B112">
        <v>14.2</v>
      </c>
    </row>
    <row r="113" spans="1:2" x14ac:dyDescent="0.2">
      <c r="A113" s="1">
        <v>42401</v>
      </c>
      <c r="B113">
        <v>12.9</v>
      </c>
    </row>
    <row r="114" spans="1:2" x14ac:dyDescent="0.2">
      <c r="A114" s="1">
        <v>42430</v>
      </c>
      <c r="B114">
        <v>13</v>
      </c>
    </row>
    <row r="115" spans="1:2" x14ac:dyDescent="0.2">
      <c r="A115" s="1">
        <v>42461</v>
      </c>
      <c r="B115">
        <v>13.5</v>
      </c>
    </row>
    <row r="116" spans="1:2" x14ac:dyDescent="0.2">
      <c r="A116" s="1">
        <v>42491</v>
      </c>
      <c r="B116">
        <v>13.6</v>
      </c>
    </row>
    <row r="117" spans="1:2" x14ac:dyDescent="0.2">
      <c r="A117" s="1">
        <v>42522</v>
      </c>
      <c r="B117">
        <v>13.9</v>
      </c>
    </row>
    <row r="118" spans="1:2" x14ac:dyDescent="0.2">
      <c r="A118" s="1">
        <v>42552</v>
      </c>
      <c r="B118">
        <v>13.4</v>
      </c>
    </row>
    <row r="119" spans="1:2" x14ac:dyDescent="0.2">
      <c r="A119" s="1">
        <v>42583</v>
      </c>
      <c r="B119">
        <v>13.7</v>
      </c>
    </row>
    <row r="120" spans="1:2" x14ac:dyDescent="0.2">
      <c r="A120" s="1">
        <v>42614</v>
      </c>
      <c r="B120">
        <v>14.8</v>
      </c>
    </row>
    <row r="121" spans="1:2" x14ac:dyDescent="0.2">
      <c r="A121" s="1">
        <v>42644</v>
      </c>
      <c r="B121">
        <v>15.5</v>
      </c>
    </row>
    <row r="122" spans="1:2" x14ac:dyDescent="0.2">
      <c r="A122" s="1">
        <v>42675</v>
      </c>
      <c r="B122">
        <v>18.8</v>
      </c>
    </row>
    <row r="123" spans="1:2" x14ac:dyDescent="0.2">
      <c r="A123" s="1">
        <v>42705</v>
      </c>
      <c r="B123">
        <v>17.100000000000001</v>
      </c>
    </row>
    <row r="124" spans="1:2" x14ac:dyDescent="0.2">
      <c r="A124" s="1">
        <v>42736</v>
      </c>
      <c r="B124">
        <v>16.2</v>
      </c>
    </row>
    <row r="125" spans="1:2" x14ac:dyDescent="0.2">
      <c r="A125" s="1">
        <v>42767</v>
      </c>
      <c r="B125">
        <v>15.2</v>
      </c>
    </row>
    <row r="126" spans="1:2" x14ac:dyDescent="0.2">
      <c r="A126" s="1">
        <v>42795</v>
      </c>
      <c r="B126">
        <v>15.6</v>
      </c>
    </row>
    <row r="127" spans="1:2" x14ac:dyDescent="0.2">
      <c r="A127" s="1">
        <v>42826</v>
      </c>
      <c r="B127">
        <v>15.2</v>
      </c>
    </row>
    <row r="128" spans="1:2" x14ac:dyDescent="0.2">
      <c r="A128" s="1">
        <v>42856</v>
      </c>
      <c r="B128">
        <v>15.4</v>
      </c>
    </row>
    <row r="129" spans="1:2" x14ac:dyDescent="0.2">
      <c r="A129" s="1">
        <v>42887</v>
      </c>
      <c r="B129">
        <v>15.8</v>
      </c>
    </row>
    <row r="130" spans="1:2" x14ac:dyDescent="0.2">
      <c r="A130" s="1">
        <v>42917</v>
      </c>
      <c r="B130">
        <v>15.5</v>
      </c>
    </row>
    <row r="131" spans="1:2" x14ac:dyDescent="0.2">
      <c r="A131" s="1">
        <v>42948</v>
      </c>
      <c r="B131">
        <v>15.4</v>
      </c>
    </row>
    <row r="132" spans="1:2" x14ac:dyDescent="0.2">
      <c r="A132" s="1">
        <v>42979</v>
      </c>
      <c r="B132">
        <v>16</v>
      </c>
    </row>
    <row r="133" spans="1:2" x14ac:dyDescent="0.2">
      <c r="A133" s="1">
        <v>43009</v>
      </c>
      <c r="B133">
        <v>16.5</v>
      </c>
    </row>
    <row r="134" spans="1:2" x14ac:dyDescent="0.2">
      <c r="A134" s="1">
        <v>43040</v>
      </c>
      <c r="B134">
        <v>19.899999999999999</v>
      </c>
    </row>
    <row r="135" spans="1:2" x14ac:dyDescent="0.2">
      <c r="A135" s="1">
        <v>43070</v>
      </c>
      <c r="B135">
        <v>17.899999999999999</v>
      </c>
    </row>
    <row r="136" spans="1:2" x14ac:dyDescent="0.2">
      <c r="A136" s="1">
        <v>43101</v>
      </c>
      <c r="B136">
        <v>17.7</v>
      </c>
    </row>
    <row r="137" spans="1:2" x14ac:dyDescent="0.2">
      <c r="A137" s="1">
        <v>43132</v>
      </c>
      <c r="B137">
        <v>16.8</v>
      </c>
    </row>
    <row r="138" spans="1:2" x14ac:dyDescent="0.2">
      <c r="A138" s="1">
        <v>43160</v>
      </c>
      <c r="B138">
        <v>17.3</v>
      </c>
    </row>
    <row r="139" spans="1:2" x14ac:dyDescent="0.2">
      <c r="A139" s="1">
        <v>43191</v>
      </c>
      <c r="B139">
        <v>17.2</v>
      </c>
    </row>
    <row r="140" spans="1:2" x14ac:dyDescent="0.2">
      <c r="A140" s="1">
        <v>43221</v>
      </c>
      <c r="B140">
        <v>17.5</v>
      </c>
    </row>
    <row r="141" spans="1:2" x14ac:dyDescent="0.2">
      <c r="A141" s="1">
        <v>43252</v>
      </c>
      <c r="B141">
        <v>17.5</v>
      </c>
    </row>
    <row r="142" spans="1:2" x14ac:dyDescent="0.2">
      <c r="A142" s="1">
        <v>43282</v>
      </c>
      <c r="B142">
        <v>17.100000000000001</v>
      </c>
    </row>
    <row r="143" spans="1:2" x14ac:dyDescent="0.2">
      <c r="A143" s="1">
        <v>43313</v>
      </c>
      <c r="B143">
        <v>16.7</v>
      </c>
    </row>
    <row r="144" spans="1:2" x14ac:dyDescent="0.2">
      <c r="A144" s="1">
        <v>43344</v>
      </c>
      <c r="B144">
        <v>17.2</v>
      </c>
    </row>
    <row r="145" spans="1:2" x14ac:dyDescent="0.2">
      <c r="A145" s="1">
        <v>43374</v>
      </c>
      <c r="B145">
        <v>18.100000000000001</v>
      </c>
    </row>
    <row r="146" spans="1:2" x14ac:dyDescent="0.2">
      <c r="A146" s="1">
        <v>43405</v>
      </c>
      <c r="B146">
        <v>21.6</v>
      </c>
    </row>
    <row r="147" spans="1:2" x14ac:dyDescent="0.2">
      <c r="A147" s="1">
        <v>43435</v>
      </c>
      <c r="B147">
        <v>19.7</v>
      </c>
    </row>
    <row r="148" spans="1:2" x14ac:dyDescent="0.2">
      <c r="A148" s="1">
        <v>43466</v>
      </c>
      <c r="B148">
        <v>19.3</v>
      </c>
    </row>
    <row r="149" spans="1:2" x14ac:dyDescent="0.2">
      <c r="A149" s="1">
        <v>43497</v>
      </c>
      <c r="B149">
        <v>18.3</v>
      </c>
    </row>
    <row r="150" spans="1:2" x14ac:dyDescent="0.2">
      <c r="A150" s="1">
        <v>43525</v>
      </c>
      <c r="B150">
        <v>18.899999999999999</v>
      </c>
    </row>
    <row r="151" spans="1:2" x14ac:dyDescent="0.2">
      <c r="A151" s="1">
        <v>43556</v>
      </c>
      <c r="B151">
        <v>18.399999999999999</v>
      </c>
    </row>
    <row r="152" spans="1:2" x14ac:dyDescent="0.2">
      <c r="A152" s="1">
        <v>43586</v>
      </c>
      <c r="B152">
        <v>18.8</v>
      </c>
    </row>
    <row r="153" spans="1:2" x14ac:dyDescent="0.2">
      <c r="A153" s="1">
        <v>43617</v>
      </c>
      <c r="B153">
        <v>18.3</v>
      </c>
    </row>
    <row r="154" spans="1:2" x14ac:dyDescent="0.2">
      <c r="A154" s="1">
        <v>43647</v>
      </c>
      <c r="B154">
        <v>18.7</v>
      </c>
    </row>
    <row r="155" spans="1:2" x14ac:dyDescent="0.2">
      <c r="A155" s="1">
        <v>43678</v>
      </c>
      <c r="B155">
        <v>18.100000000000001</v>
      </c>
    </row>
    <row r="156" spans="1:2" x14ac:dyDescent="0.2">
      <c r="A156" s="1">
        <v>43709</v>
      </c>
      <c r="B156">
        <v>18.100000000000001</v>
      </c>
    </row>
    <row r="157" spans="1:2" x14ac:dyDescent="0.2">
      <c r="A157" s="1">
        <v>43739</v>
      </c>
      <c r="B157">
        <v>19.100000000000001</v>
      </c>
    </row>
    <row r="158" spans="1:2" x14ac:dyDescent="0.2">
      <c r="A158" s="1">
        <v>43770</v>
      </c>
      <c r="B158">
        <v>21.6</v>
      </c>
    </row>
    <row r="159" spans="1:2" x14ac:dyDescent="0.2">
      <c r="A159" s="1">
        <v>43800</v>
      </c>
      <c r="B159">
        <v>21.4</v>
      </c>
    </row>
    <row r="160" spans="1:2" x14ac:dyDescent="0.2">
      <c r="A160" s="1">
        <v>43831</v>
      </c>
      <c r="B160">
        <v>20.2</v>
      </c>
    </row>
    <row r="161" spans="1:2" x14ac:dyDescent="0.2">
      <c r="A161" s="1">
        <v>43862</v>
      </c>
      <c r="B161">
        <v>19.100000000000001</v>
      </c>
    </row>
    <row r="162" spans="1:2" x14ac:dyDescent="0.2">
      <c r="A162" s="1">
        <v>43891</v>
      </c>
      <c r="B162">
        <v>22.1</v>
      </c>
    </row>
    <row r="163" spans="1:2" x14ac:dyDescent="0.2">
      <c r="A163" s="1">
        <v>43922</v>
      </c>
      <c r="B163">
        <v>30.3</v>
      </c>
    </row>
    <row r="164" spans="1:2" x14ac:dyDescent="0.2">
      <c r="A164" s="1">
        <v>43952</v>
      </c>
      <c r="B164">
        <v>32.799999999999997</v>
      </c>
    </row>
    <row r="165" spans="1:2" x14ac:dyDescent="0.2">
      <c r="A165" s="1">
        <v>43983</v>
      </c>
      <c r="B165">
        <v>31.3</v>
      </c>
    </row>
    <row r="166" spans="1:2" x14ac:dyDescent="0.2">
      <c r="A166" s="1">
        <v>44013</v>
      </c>
      <c r="B166">
        <v>28.3</v>
      </c>
    </row>
    <row r="167" spans="1:2" x14ac:dyDescent="0.2">
      <c r="A167" s="1">
        <v>44044</v>
      </c>
      <c r="B167">
        <v>27</v>
      </c>
    </row>
    <row r="168" spans="1:2" x14ac:dyDescent="0.2">
      <c r="A168" s="1">
        <v>44075</v>
      </c>
      <c r="B168">
        <v>26.7</v>
      </c>
    </row>
    <row r="169" spans="1:2" x14ac:dyDescent="0.2">
      <c r="A169" s="1">
        <v>44105</v>
      </c>
      <c r="B169">
        <v>29</v>
      </c>
    </row>
    <row r="170" spans="1:2" x14ac:dyDescent="0.2">
      <c r="A170" s="1">
        <v>44136</v>
      </c>
      <c r="B170">
        <v>37.200000000000003</v>
      </c>
    </row>
    <row r="171" spans="1:2" x14ac:dyDescent="0.2">
      <c r="A171" s="1">
        <v>44166</v>
      </c>
      <c r="B171">
        <v>31.3</v>
      </c>
    </row>
    <row r="172" spans="1:2" x14ac:dyDescent="0.2">
      <c r="A172" s="1">
        <v>44197</v>
      </c>
      <c r="B172">
        <v>37.799999999999997</v>
      </c>
    </row>
    <row r="173" spans="1:2" x14ac:dyDescent="0.2">
      <c r="A173" s="1">
        <v>44228</v>
      </c>
      <c r="B173">
        <v>36.5</v>
      </c>
    </row>
    <row r="174" spans="1:2" x14ac:dyDescent="0.2">
      <c r="A174" s="1">
        <v>44256</v>
      </c>
      <c r="B174">
        <v>34.4</v>
      </c>
    </row>
    <row r="175" spans="1:2" x14ac:dyDescent="0.2">
      <c r="A175" s="1">
        <v>44287</v>
      </c>
      <c r="B175">
        <v>30.1</v>
      </c>
    </row>
    <row r="176" spans="1:2" x14ac:dyDescent="0.2">
      <c r="A176" s="1">
        <v>44317</v>
      </c>
      <c r="B176">
        <v>28.5</v>
      </c>
    </row>
    <row r="177" spans="1:2" x14ac:dyDescent="0.2">
      <c r="A177" s="1">
        <v>44348</v>
      </c>
      <c r="B177">
        <v>27.9</v>
      </c>
    </row>
    <row r="178" spans="1:2" x14ac:dyDescent="0.2">
      <c r="A178" s="1">
        <v>44378</v>
      </c>
      <c r="B178">
        <v>28</v>
      </c>
    </row>
    <row r="179" spans="1:2" x14ac:dyDescent="0.2">
      <c r="A179" s="1">
        <v>44409</v>
      </c>
      <c r="B179">
        <v>27.7</v>
      </c>
    </row>
    <row r="180" spans="1:2" x14ac:dyDescent="0.2">
      <c r="A180" s="1">
        <v>44440</v>
      </c>
      <c r="B180">
        <v>28.3</v>
      </c>
    </row>
    <row r="181" spans="1:2" x14ac:dyDescent="0.2">
      <c r="A181" s="1">
        <v>44470</v>
      </c>
      <c r="B181">
        <v>28.9</v>
      </c>
    </row>
    <row r="182" spans="1:2" x14ac:dyDescent="0.2">
      <c r="A182" s="1">
        <v>44501</v>
      </c>
      <c r="B182">
        <v>32.799999999999997</v>
      </c>
    </row>
    <row r="183" spans="1:2" x14ac:dyDescent="0.2">
      <c r="A183" s="1">
        <v>44531</v>
      </c>
      <c r="B183">
        <v>30.5</v>
      </c>
    </row>
    <row r="184" spans="1:2" x14ac:dyDescent="0.2">
      <c r="A184" s="1">
        <v>44562</v>
      </c>
      <c r="B184">
        <v>30.1</v>
      </c>
    </row>
    <row r="185" spans="1:2" x14ac:dyDescent="0.2">
      <c r="A185" s="1">
        <v>44593</v>
      </c>
      <c r="B185">
        <v>27.9</v>
      </c>
    </row>
    <row r="186" spans="1:2" x14ac:dyDescent="0.2">
      <c r="A186" s="1">
        <v>44621</v>
      </c>
      <c r="B186">
        <v>26.3</v>
      </c>
    </row>
    <row r="187" spans="1:2" x14ac:dyDescent="0.2">
      <c r="A187" s="1">
        <v>44652</v>
      </c>
      <c r="B187">
        <v>26.5</v>
      </c>
    </row>
    <row r="188" spans="1:2" x14ac:dyDescent="0.2">
      <c r="A188" s="1">
        <v>44682</v>
      </c>
      <c r="B188">
        <v>25.7</v>
      </c>
    </row>
    <row r="189" spans="1:2" x14ac:dyDescent="0.2">
      <c r="A189" s="1">
        <v>44713</v>
      </c>
      <c r="B189">
        <v>25.2</v>
      </c>
    </row>
    <row r="190" spans="1:2" x14ac:dyDescent="0.2">
      <c r="A190" s="1">
        <v>44743</v>
      </c>
      <c r="B190">
        <v>24.9</v>
      </c>
    </row>
    <row r="191" spans="1:2" x14ac:dyDescent="0.2">
      <c r="A191" s="1">
        <v>44774</v>
      </c>
      <c r="B191">
        <v>24.4</v>
      </c>
    </row>
    <row r="192" spans="1:2" x14ac:dyDescent="0.2">
      <c r="A192" s="1">
        <v>44805</v>
      </c>
      <c r="B192">
        <v>25.2</v>
      </c>
    </row>
    <row r="193" spans="1:2" x14ac:dyDescent="0.2">
      <c r="A193" s="1">
        <v>44835</v>
      </c>
      <c r="B193">
        <v>25.8</v>
      </c>
    </row>
    <row r="194" spans="1:2" x14ac:dyDescent="0.2">
      <c r="A194" s="1">
        <v>44866</v>
      </c>
      <c r="B194">
        <v>29.8</v>
      </c>
    </row>
    <row r="195" spans="1:2" x14ac:dyDescent="0.2">
      <c r="A195" s="1">
        <v>44896</v>
      </c>
      <c r="B195">
        <v>27</v>
      </c>
    </row>
    <row r="196" spans="1:2" x14ac:dyDescent="0.2">
      <c r="A196" s="1">
        <v>44927</v>
      </c>
      <c r="B196">
        <v>27.2</v>
      </c>
    </row>
    <row r="197" spans="1:2" x14ac:dyDescent="0.2">
      <c r="A197" s="1">
        <v>44958</v>
      </c>
      <c r="B197">
        <v>25.7</v>
      </c>
    </row>
    <row r="198" spans="1:2" x14ac:dyDescent="0.2">
      <c r="A198" s="1">
        <v>44986</v>
      </c>
      <c r="B198">
        <v>26</v>
      </c>
    </row>
    <row r="199" spans="1:2" x14ac:dyDescent="0.2">
      <c r="A199" s="1">
        <v>45017</v>
      </c>
      <c r="B199">
        <v>25.6</v>
      </c>
    </row>
    <row r="200" spans="1:2" x14ac:dyDescent="0.2">
      <c r="A200" s="1">
        <v>45047</v>
      </c>
      <c r="B200">
        <v>25.6</v>
      </c>
    </row>
    <row r="201" spans="1:2" x14ac:dyDescent="0.2">
      <c r="A201" s="1">
        <v>45078</v>
      </c>
      <c r="B201">
        <v>25.3</v>
      </c>
    </row>
    <row r="202" spans="1:2" x14ac:dyDescent="0.2">
      <c r="A202" s="1">
        <v>45108</v>
      </c>
      <c r="B202">
        <v>26.1</v>
      </c>
    </row>
    <row r="203" spans="1:2" x14ac:dyDescent="0.2">
      <c r="A203" s="1">
        <v>45139</v>
      </c>
      <c r="B203">
        <v>25</v>
      </c>
    </row>
    <row r="204" spans="1:2" x14ac:dyDescent="0.2">
      <c r="A204" s="1">
        <v>45170</v>
      </c>
      <c r="B204">
        <v>25.3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8F3708-F58D-104C-9B3F-C95A0FC244A8}">
  <dimension ref="A1:B321"/>
  <sheetViews>
    <sheetView workbookViewId="0">
      <selection sqref="A1:XFD1"/>
    </sheetView>
  </sheetViews>
  <sheetFormatPr baseColWidth="10" defaultRowHeight="16" x14ac:dyDescent="0.2"/>
  <cols>
    <col min="1" max="1" width="10.83203125" style="1"/>
  </cols>
  <sheetData>
    <row r="1" spans="1:2" x14ac:dyDescent="0.2">
      <c r="A1" s="1" t="s">
        <v>1</v>
      </c>
      <c r="B1" t="s">
        <v>16</v>
      </c>
    </row>
    <row r="2" spans="1:2" x14ac:dyDescent="0.2">
      <c r="A2" s="1">
        <v>35462</v>
      </c>
      <c r="B2">
        <v>5.9821303653138864</v>
      </c>
    </row>
    <row r="3" spans="1:2" x14ac:dyDescent="0.2">
      <c r="A3" s="1">
        <v>35490</v>
      </c>
      <c r="B3">
        <v>6.1765361605936402</v>
      </c>
    </row>
    <row r="4" spans="1:2" x14ac:dyDescent="0.2">
      <c r="A4" s="1">
        <v>35521</v>
      </c>
      <c r="B4">
        <v>6.2669433170038733</v>
      </c>
    </row>
    <row r="5" spans="1:2" x14ac:dyDescent="0.2">
      <c r="A5" s="1">
        <v>35551</v>
      </c>
      <c r="B5">
        <v>6.3496122589340569</v>
      </c>
    </row>
    <row r="6" spans="1:2" x14ac:dyDescent="0.2">
      <c r="A6" s="1">
        <v>35582</v>
      </c>
      <c r="B6">
        <v>6.6748230642267838</v>
      </c>
    </row>
    <row r="7" spans="1:2" x14ac:dyDescent="0.2">
      <c r="A7" s="1">
        <v>35612</v>
      </c>
      <c r="B7">
        <v>6.8531227802362773</v>
      </c>
    </row>
    <row r="8" spans="1:2" x14ac:dyDescent="0.2">
      <c r="A8" s="1">
        <v>35643</v>
      </c>
      <c r="B8">
        <v>6.9745733714766418</v>
      </c>
    </row>
    <row r="9" spans="1:2" x14ac:dyDescent="0.2">
      <c r="A9" s="1">
        <v>35674</v>
      </c>
      <c r="B9">
        <v>6.9652185196098264</v>
      </c>
    </row>
    <row r="10" spans="1:2" x14ac:dyDescent="0.2">
      <c r="A10" s="1">
        <v>35704</v>
      </c>
      <c r="B10">
        <v>6.9254203634124725</v>
      </c>
    </row>
    <row r="11" spans="1:2" x14ac:dyDescent="0.2">
      <c r="A11" s="1">
        <v>35735</v>
      </c>
      <c r="B11">
        <v>7.2638588080821522</v>
      </c>
    </row>
    <row r="12" spans="1:2" x14ac:dyDescent="0.2">
      <c r="A12" s="1">
        <v>35765</v>
      </c>
      <c r="B12">
        <v>7.1487544967781762</v>
      </c>
    </row>
    <row r="13" spans="1:2" x14ac:dyDescent="0.2">
      <c r="A13" s="1">
        <v>35796</v>
      </c>
      <c r="B13">
        <v>7.0027512424114713</v>
      </c>
    </row>
    <row r="14" spans="1:2" x14ac:dyDescent="0.2">
      <c r="A14" s="1">
        <v>35827</v>
      </c>
      <c r="B14">
        <v>7.0363188323299086</v>
      </c>
    </row>
    <row r="15" spans="1:2" x14ac:dyDescent="0.2">
      <c r="A15" s="1">
        <v>35855</v>
      </c>
      <c r="B15">
        <v>6.9673518891318063</v>
      </c>
    </row>
    <row r="16" spans="1:2" x14ac:dyDescent="0.2">
      <c r="A16" s="1">
        <v>35886</v>
      </c>
      <c r="B16">
        <v>6.8147581976945926</v>
      </c>
    </row>
    <row r="17" spans="1:2" x14ac:dyDescent="0.2">
      <c r="A17" s="1">
        <v>35916</v>
      </c>
      <c r="B17">
        <v>6.8723384862404302</v>
      </c>
    </row>
    <row r="18" spans="1:2" x14ac:dyDescent="0.2">
      <c r="A18" s="1">
        <v>35947</v>
      </c>
      <c r="B18">
        <v>7.3671306886332184</v>
      </c>
    </row>
    <row r="19" spans="1:2" x14ac:dyDescent="0.2">
      <c r="A19" s="1">
        <v>35977</v>
      </c>
      <c r="B19">
        <v>7.3023942013101442</v>
      </c>
    </row>
    <row r="20" spans="1:2" x14ac:dyDescent="0.2">
      <c r="A20" s="1">
        <v>36008</v>
      </c>
      <c r="B20">
        <v>6.947185133903611</v>
      </c>
    </row>
    <row r="21" spans="1:2" x14ac:dyDescent="0.2">
      <c r="A21" s="1">
        <v>36039</v>
      </c>
      <c r="B21">
        <v>6.6357586814352469</v>
      </c>
    </row>
    <row r="22" spans="1:2" x14ac:dyDescent="0.2">
      <c r="A22" s="1">
        <v>36069</v>
      </c>
      <c r="B22">
        <v>6.3817374953287622</v>
      </c>
    </row>
    <row r="23" spans="1:2" x14ac:dyDescent="0.2">
      <c r="A23" s="1">
        <v>36100</v>
      </c>
      <c r="B23">
        <v>6.0272121563783045</v>
      </c>
    </row>
    <row r="24" spans="1:2" x14ac:dyDescent="0.2">
      <c r="A24" s="1">
        <v>36130</v>
      </c>
      <c r="B24">
        <v>5.3312749547347593</v>
      </c>
    </row>
    <row r="25" spans="1:2" x14ac:dyDescent="0.2">
      <c r="A25" s="1">
        <v>36161</v>
      </c>
      <c r="B25">
        <v>5.1929424211955695</v>
      </c>
    </row>
    <row r="26" spans="1:2" x14ac:dyDescent="0.2">
      <c r="A26" s="1">
        <v>36192</v>
      </c>
      <c r="B26">
        <v>4.9583472663146289</v>
      </c>
    </row>
    <row r="27" spans="1:2" x14ac:dyDescent="0.2">
      <c r="A27" s="1">
        <v>36220</v>
      </c>
      <c r="B27">
        <v>4.7271375979873334</v>
      </c>
    </row>
    <row r="28" spans="1:2" x14ac:dyDescent="0.2">
      <c r="A28" s="1">
        <v>36251</v>
      </c>
      <c r="B28">
        <v>4.9199330482458752</v>
      </c>
    </row>
    <row r="29" spans="1:2" x14ac:dyDescent="0.2">
      <c r="A29" s="1">
        <v>36281</v>
      </c>
      <c r="B29">
        <v>4.9224611797907576</v>
      </c>
    </row>
    <row r="30" spans="1:2" x14ac:dyDescent="0.2">
      <c r="A30" s="1">
        <v>36312</v>
      </c>
      <c r="B30">
        <v>4.7251031509351122</v>
      </c>
    </row>
    <row r="31" spans="1:2" x14ac:dyDescent="0.2">
      <c r="A31" s="1">
        <v>36342</v>
      </c>
      <c r="B31">
        <v>4.963943571265415</v>
      </c>
    </row>
    <row r="32" spans="1:2" x14ac:dyDescent="0.2">
      <c r="A32" s="1">
        <v>36373</v>
      </c>
      <c r="B32">
        <v>4.9194690780755641</v>
      </c>
    </row>
    <row r="33" spans="1:2" x14ac:dyDescent="0.2">
      <c r="A33" s="1">
        <v>36404</v>
      </c>
      <c r="B33">
        <v>5.415006896522689</v>
      </c>
    </row>
    <row r="34" spans="1:2" x14ac:dyDescent="0.2">
      <c r="A34" s="1">
        <v>36434</v>
      </c>
      <c r="B34">
        <v>5.5035535646400877</v>
      </c>
    </row>
    <row r="35" spans="1:2" x14ac:dyDescent="0.2">
      <c r="A35" s="1">
        <v>36465</v>
      </c>
      <c r="B35">
        <v>5.6892828011658398</v>
      </c>
    </row>
    <row r="36" spans="1:2" x14ac:dyDescent="0.2">
      <c r="A36" s="1">
        <v>36495</v>
      </c>
      <c r="B36">
        <v>5.83942968912109</v>
      </c>
    </row>
    <row r="37" spans="1:2" x14ac:dyDescent="0.2">
      <c r="A37" s="1">
        <v>36526</v>
      </c>
      <c r="B37">
        <v>6.0629413572282003</v>
      </c>
    </row>
    <row r="38" spans="1:2" x14ac:dyDescent="0.2">
      <c r="A38" s="1">
        <v>36557</v>
      </c>
      <c r="B38">
        <v>6.0933952233312629</v>
      </c>
    </row>
    <row r="39" spans="1:2" x14ac:dyDescent="0.2">
      <c r="A39" s="1">
        <v>36586</v>
      </c>
      <c r="B39">
        <v>6.0798540605430711</v>
      </c>
    </row>
    <row r="40" spans="1:2" x14ac:dyDescent="0.2">
      <c r="A40" s="1">
        <v>36617</v>
      </c>
      <c r="B40">
        <v>6.0440985563794243</v>
      </c>
    </row>
    <row r="41" spans="1:2" x14ac:dyDescent="0.2">
      <c r="A41" s="1">
        <v>36647</v>
      </c>
      <c r="B41">
        <v>5.9931774003590128</v>
      </c>
    </row>
    <row r="42" spans="1:2" x14ac:dyDescent="0.2">
      <c r="A42" s="1">
        <v>36678</v>
      </c>
      <c r="B42">
        <v>5.906560360397906</v>
      </c>
    </row>
    <row r="43" spans="1:2" x14ac:dyDescent="0.2">
      <c r="A43" s="1">
        <v>36708</v>
      </c>
      <c r="B43">
        <v>5.9404691991415985</v>
      </c>
    </row>
    <row r="44" spans="1:2" x14ac:dyDescent="0.2">
      <c r="A44" s="1">
        <v>36739</v>
      </c>
      <c r="B44">
        <v>5.9688647646642252</v>
      </c>
    </row>
    <row r="45" spans="1:2" x14ac:dyDescent="0.2">
      <c r="A45" s="1">
        <v>36770</v>
      </c>
      <c r="B45">
        <v>5.818452068053503</v>
      </c>
    </row>
    <row r="46" spans="1:2" x14ac:dyDescent="0.2">
      <c r="A46" s="1">
        <v>36800</v>
      </c>
      <c r="B46">
        <v>5.7385529305349046</v>
      </c>
    </row>
    <row r="47" spans="1:2" x14ac:dyDescent="0.2">
      <c r="A47" s="1">
        <v>36831</v>
      </c>
      <c r="B47">
        <v>5.6159505571747026</v>
      </c>
    </row>
    <row r="48" spans="1:2" x14ac:dyDescent="0.2">
      <c r="A48" s="1">
        <v>36861</v>
      </c>
      <c r="B48">
        <v>5.4032800472098259</v>
      </c>
    </row>
    <row r="49" spans="1:2" x14ac:dyDescent="0.2">
      <c r="A49" s="1">
        <v>36892</v>
      </c>
      <c r="B49">
        <v>5.3159234343136008</v>
      </c>
    </row>
    <row r="50" spans="1:2" x14ac:dyDescent="0.2">
      <c r="A50" s="1">
        <v>36923</v>
      </c>
      <c r="B50">
        <v>5.2241657168073958</v>
      </c>
    </row>
    <row r="51" spans="1:2" x14ac:dyDescent="0.2">
      <c r="A51" s="1">
        <v>36951</v>
      </c>
      <c r="B51">
        <v>5.0372523549158785</v>
      </c>
    </row>
    <row r="52" spans="1:2" x14ac:dyDescent="0.2">
      <c r="A52" s="1">
        <v>36982</v>
      </c>
      <c r="B52">
        <v>4.9768148459929407</v>
      </c>
    </row>
    <row r="53" spans="1:2" x14ac:dyDescent="0.2">
      <c r="A53" s="1">
        <v>37012</v>
      </c>
      <c r="B53">
        <v>4.989293304209184</v>
      </c>
    </row>
    <row r="54" spans="1:2" x14ac:dyDescent="0.2">
      <c r="A54" s="1">
        <v>37043</v>
      </c>
      <c r="B54">
        <v>5.1330859914568219</v>
      </c>
    </row>
    <row r="55" spans="1:2" x14ac:dyDescent="0.2">
      <c r="A55" s="1">
        <v>37073</v>
      </c>
      <c r="B55">
        <v>4.9783062449941546</v>
      </c>
    </row>
    <row r="56" spans="1:2" x14ac:dyDescent="0.2">
      <c r="A56" s="1">
        <v>37104</v>
      </c>
      <c r="B56">
        <v>4.6505755282870327</v>
      </c>
    </row>
    <row r="57" spans="1:2" x14ac:dyDescent="0.2">
      <c r="A57" s="1">
        <v>37135</v>
      </c>
      <c r="B57">
        <v>4.1938123361558981</v>
      </c>
    </row>
    <row r="58" spans="1:2" x14ac:dyDescent="0.2">
      <c r="A58" s="1">
        <v>37165</v>
      </c>
      <c r="B58">
        <v>3.9096072344509709</v>
      </c>
    </row>
    <row r="59" spans="1:2" x14ac:dyDescent="0.2">
      <c r="A59" s="1">
        <v>37196</v>
      </c>
      <c r="B59">
        <v>3.7657420409185871</v>
      </c>
    </row>
    <row r="60" spans="1:2" x14ac:dyDescent="0.2">
      <c r="A60" s="1">
        <v>37226</v>
      </c>
      <c r="B60">
        <v>3.9530870973358647</v>
      </c>
    </row>
    <row r="61" spans="1:2" x14ac:dyDescent="0.2">
      <c r="A61" s="1">
        <v>37257</v>
      </c>
      <c r="B61">
        <v>3.9654435551891707</v>
      </c>
    </row>
    <row r="62" spans="1:2" x14ac:dyDescent="0.2">
      <c r="A62" s="1">
        <v>37288</v>
      </c>
      <c r="B62">
        <v>3.9378886097931618</v>
      </c>
    </row>
    <row r="63" spans="1:2" x14ac:dyDescent="0.2">
      <c r="A63" s="1">
        <v>37316</v>
      </c>
      <c r="B63">
        <v>4.1807873103915965</v>
      </c>
    </row>
    <row r="64" spans="1:2" x14ac:dyDescent="0.2">
      <c r="A64" s="1">
        <v>37347</v>
      </c>
      <c r="B64">
        <v>4.0743589985002568</v>
      </c>
    </row>
    <row r="65" spans="1:2" x14ac:dyDescent="0.2">
      <c r="A65" s="1">
        <v>37377</v>
      </c>
      <c r="B65">
        <v>4.1589724285039438</v>
      </c>
    </row>
    <row r="66" spans="1:2" x14ac:dyDescent="0.2">
      <c r="A66" s="1">
        <v>37408</v>
      </c>
      <c r="B66">
        <v>4.1079948731006954</v>
      </c>
    </row>
    <row r="67" spans="1:2" x14ac:dyDescent="0.2">
      <c r="A67" s="1">
        <v>37438</v>
      </c>
      <c r="B67">
        <v>3.7830300278490796</v>
      </c>
    </row>
    <row r="68" spans="1:2" x14ac:dyDescent="0.2">
      <c r="A68" s="1">
        <v>37469</v>
      </c>
      <c r="B68">
        <v>3.7673874927970608</v>
      </c>
    </row>
    <row r="69" spans="1:2" x14ac:dyDescent="0.2">
      <c r="A69" s="1">
        <v>37500</v>
      </c>
      <c r="B69">
        <v>3.6151777458128835</v>
      </c>
    </row>
    <row r="70" spans="1:2" x14ac:dyDescent="0.2">
      <c r="A70" s="1">
        <v>37530</v>
      </c>
      <c r="B70">
        <v>3.6514975456787799</v>
      </c>
    </row>
    <row r="71" spans="1:2" x14ac:dyDescent="0.2">
      <c r="A71" s="1">
        <v>37561</v>
      </c>
      <c r="B71">
        <v>3.8335051743185709</v>
      </c>
    </row>
    <row r="72" spans="1:2" x14ac:dyDescent="0.2">
      <c r="A72" s="1">
        <v>37591</v>
      </c>
      <c r="B72">
        <v>3.7055696150170112</v>
      </c>
    </row>
    <row r="73" spans="1:2" x14ac:dyDescent="0.2">
      <c r="A73" s="1">
        <v>37622</v>
      </c>
      <c r="B73">
        <v>3.6315642934510861</v>
      </c>
    </row>
    <row r="74" spans="1:2" x14ac:dyDescent="0.2">
      <c r="A74" s="1">
        <v>37653</v>
      </c>
      <c r="B74">
        <v>3.3380840197638553</v>
      </c>
    </row>
    <row r="75" spans="1:2" x14ac:dyDescent="0.2">
      <c r="A75" s="1">
        <v>37681</v>
      </c>
      <c r="B75">
        <v>3.3586926938084996</v>
      </c>
    </row>
    <row r="76" spans="1:2" x14ac:dyDescent="0.2">
      <c r="A76" s="1">
        <v>37712</v>
      </c>
      <c r="B76">
        <v>3.3672207471795139</v>
      </c>
    </row>
    <row r="77" spans="1:2" x14ac:dyDescent="0.2">
      <c r="A77" s="1">
        <v>37742</v>
      </c>
      <c r="B77">
        <v>3.3087500538838244</v>
      </c>
    </row>
    <row r="78" spans="1:2" x14ac:dyDescent="0.2">
      <c r="A78" s="1">
        <v>37773</v>
      </c>
      <c r="B78">
        <v>3.3309994320703264</v>
      </c>
    </row>
    <row r="79" spans="1:2" x14ac:dyDescent="0.2">
      <c r="A79" s="1">
        <v>37803</v>
      </c>
      <c r="B79">
        <v>3.2671428165122682</v>
      </c>
    </row>
    <row r="80" spans="1:2" x14ac:dyDescent="0.2">
      <c r="A80" s="1">
        <v>37834</v>
      </c>
      <c r="B80">
        <v>3.5034947809437575</v>
      </c>
    </row>
    <row r="81" spans="1:2" x14ac:dyDescent="0.2">
      <c r="A81" s="1">
        <v>37865</v>
      </c>
      <c r="B81">
        <v>3.6002889096807129</v>
      </c>
    </row>
    <row r="82" spans="1:2" x14ac:dyDescent="0.2">
      <c r="A82" s="1">
        <v>37895</v>
      </c>
      <c r="B82">
        <v>3.9071878397902347</v>
      </c>
    </row>
    <row r="83" spans="1:2" x14ac:dyDescent="0.2">
      <c r="A83" s="1">
        <v>37926</v>
      </c>
      <c r="B83">
        <v>3.9823765935643749</v>
      </c>
    </row>
    <row r="84" spans="1:2" x14ac:dyDescent="0.2">
      <c r="A84" s="1">
        <v>37956</v>
      </c>
      <c r="B84">
        <v>3.8900815207393515</v>
      </c>
    </row>
    <row r="85" spans="1:2" x14ac:dyDescent="0.2">
      <c r="A85" s="1">
        <v>37987</v>
      </c>
      <c r="B85">
        <v>4.0341045938515077</v>
      </c>
    </row>
    <row r="86" spans="1:2" x14ac:dyDescent="0.2">
      <c r="A86" s="1">
        <v>38018</v>
      </c>
      <c r="B86">
        <v>4.0441456311332491</v>
      </c>
    </row>
    <row r="87" spans="1:2" x14ac:dyDescent="0.2">
      <c r="A87" s="1">
        <v>38047</v>
      </c>
      <c r="B87">
        <v>4.2451387077583016</v>
      </c>
    </row>
    <row r="88" spans="1:2" x14ac:dyDescent="0.2">
      <c r="A88" s="1">
        <v>38078</v>
      </c>
      <c r="B88">
        <v>4.3202814033177059</v>
      </c>
    </row>
    <row r="89" spans="1:2" x14ac:dyDescent="0.2">
      <c r="A89" s="1">
        <v>38108</v>
      </c>
      <c r="B89">
        <v>4.5965391754101956</v>
      </c>
    </row>
    <row r="90" spans="1:2" x14ac:dyDescent="0.2">
      <c r="A90" s="1">
        <v>38139</v>
      </c>
      <c r="B90">
        <v>4.7410233992623771</v>
      </c>
    </row>
    <row r="91" spans="1:2" x14ac:dyDescent="0.2">
      <c r="A91" s="1">
        <v>38169</v>
      </c>
      <c r="B91">
        <v>4.851303905276775</v>
      </c>
    </row>
    <row r="92" spans="1:2" x14ac:dyDescent="0.2">
      <c r="A92" s="1">
        <v>38200</v>
      </c>
      <c r="B92">
        <v>4.7593832198555761</v>
      </c>
    </row>
    <row r="93" spans="1:2" x14ac:dyDescent="0.2">
      <c r="A93" s="1">
        <v>38231</v>
      </c>
      <c r="B93">
        <v>4.6632512564859221</v>
      </c>
    </row>
    <row r="94" spans="1:2" x14ac:dyDescent="0.2">
      <c r="A94" s="1">
        <v>38261</v>
      </c>
      <c r="B94">
        <v>4.6259365363701752</v>
      </c>
    </row>
    <row r="95" spans="1:2" x14ac:dyDescent="0.2">
      <c r="A95" s="1">
        <v>38292</v>
      </c>
      <c r="B95">
        <v>4.5229656192991126</v>
      </c>
    </row>
    <row r="96" spans="1:2" x14ac:dyDescent="0.2">
      <c r="A96" s="1">
        <v>38322</v>
      </c>
      <c r="B96">
        <v>4.5463718317589592</v>
      </c>
    </row>
    <row r="97" spans="1:2" x14ac:dyDescent="0.2">
      <c r="A97" s="1">
        <v>38353</v>
      </c>
      <c r="B97">
        <v>4.6596372785198463</v>
      </c>
    </row>
    <row r="98" spans="1:2" x14ac:dyDescent="0.2">
      <c r="A98" s="1">
        <v>38384</v>
      </c>
      <c r="B98">
        <v>4.7925095391787131</v>
      </c>
    </row>
    <row r="99" spans="1:2" x14ac:dyDescent="0.2">
      <c r="A99" s="1">
        <v>38412</v>
      </c>
      <c r="B99">
        <v>4.7435503749131902</v>
      </c>
    </row>
    <row r="100" spans="1:2" x14ac:dyDescent="0.2">
      <c r="A100" s="1">
        <v>38443</v>
      </c>
      <c r="B100">
        <v>4.6670070284840692</v>
      </c>
    </row>
    <row r="101" spans="1:2" x14ac:dyDescent="0.2">
      <c r="A101" s="1">
        <v>38473</v>
      </c>
      <c r="B101">
        <v>4.5814397168814223</v>
      </c>
    </row>
    <row r="102" spans="1:2" x14ac:dyDescent="0.2">
      <c r="A102" s="1">
        <v>38504</v>
      </c>
      <c r="B102">
        <v>4.4157918028549403</v>
      </c>
    </row>
    <row r="103" spans="1:2" x14ac:dyDescent="0.2">
      <c r="A103" s="1">
        <v>38534</v>
      </c>
      <c r="B103">
        <v>4.3222030835361105</v>
      </c>
    </row>
    <row r="104" spans="1:2" x14ac:dyDescent="0.2">
      <c r="A104" s="1">
        <v>38565</v>
      </c>
      <c r="B104">
        <v>4.3219640854861732</v>
      </c>
    </row>
    <row r="105" spans="1:2" x14ac:dyDescent="0.2">
      <c r="A105" s="1">
        <v>38596</v>
      </c>
      <c r="B105">
        <v>4.3726619196307999</v>
      </c>
    </row>
    <row r="106" spans="1:2" x14ac:dyDescent="0.2">
      <c r="A106" s="1">
        <v>38626</v>
      </c>
      <c r="B106">
        <v>4.4195161968512382</v>
      </c>
    </row>
    <row r="107" spans="1:2" x14ac:dyDescent="0.2">
      <c r="A107" s="1">
        <v>38657</v>
      </c>
      <c r="B107">
        <v>4.4082509658238687</v>
      </c>
    </row>
    <row r="108" spans="1:2" x14ac:dyDescent="0.2">
      <c r="A108" s="1">
        <v>38687</v>
      </c>
      <c r="B108">
        <v>4.3602719555467759</v>
      </c>
    </row>
    <row r="109" spans="1:2" x14ac:dyDescent="0.2">
      <c r="A109" s="1">
        <v>38718</v>
      </c>
      <c r="B109">
        <v>4.402915985936505</v>
      </c>
    </row>
    <row r="110" spans="1:2" x14ac:dyDescent="0.2">
      <c r="A110" s="1">
        <v>38749</v>
      </c>
      <c r="B110">
        <v>4.3831867321917892</v>
      </c>
    </row>
    <row r="111" spans="1:2" x14ac:dyDescent="0.2">
      <c r="A111" s="1">
        <v>38777</v>
      </c>
      <c r="B111">
        <v>4.4304057378323973</v>
      </c>
    </row>
    <row r="112" spans="1:2" x14ac:dyDescent="0.2">
      <c r="A112" s="1">
        <v>38808</v>
      </c>
      <c r="B112">
        <v>4.5024030412437801</v>
      </c>
    </row>
    <row r="113" spans="1:2" x14ac:dyDescent="0.2">
      <c r="A113" s="1">
        <v>38838</v>
      </c>
      <c r="B113">
        <v>4.586525875471497</v>
      </c>
    </row>
    <row r="114" spans="1:2" x14ac:dyDescent="0.2">
      <c r="A114" s="1">
        <v>38869</v>
      </c>
      <c r="B114">
        <v>4.5998942192472585</v>
      </c>
    </row>
    <row r="115" spans="1:2" x14ac:dyDescent="0.2">
      <c r="A115" s="1">
        <v>38899</v>
      </c>
      <c r="B115">
        <v>4.6638952286523701</v>
      </c>
    </row>
    <row r="116" spans="1:2" x14ac:dyDescent="0.2">
      <c r="A116" s="1">
        <v>38930</v>
      </c>
      <c r="B116">
        <v>4.8673558202105136</v>
      </c>
    </row>
    <row r="117" spans="1:2" x14ac:dyDescent="0.2">
      <c r="A117" s="1">
        <v>38961</v>
      </c>
      <c r="B117">
        <v>4.9447936487251782</v>
      </c>
    </row>
    <row r="118" spans="1:2" x14ac:dyDescent="0.2">
      <c r="A118" s="1">
        <v>38991</v>
      </c>
      <c r="B118">
        <v>5.0618690558507273</v>
      </c>
    </row>
    <row r="119" spans="1:2" x14ac:dyDescent="0.2">
      <c r="A119" s="1">
        <v>39022</v>
      </c>
      <c r="B119">
        <v>5.0837704366717373</v>
      </c>
    </row>
    <row r="120" spans="1:2" x14ac:dyDescent="0.2">
      <c r="A120" s="1">
        <v>39052</v>
      </c>
      <c r="B120">
        <v>5.2019573504267642</v>
      </c>
    </row>
    <row r="121" spans="1:2" x14ac:dyDescent="0.2">
      <c r="A121" s="1">
        <v>39083</v>
      </c>
      <c r="B121">
        <v>5.4557860276115369</v>
      </c>
    </row>
    <row r="122" spans="1:2" x14ac:dyDescent="0.2">
      <c r="A122" s="1">
        <v>39114</v>
      </c>
      <c r="B122">
        <v>5.3641825614417611</v>
      </c>
    </row>
    <row r="123" spans="1:2" x14ac:dyDescent="0.2">
      <c r="A123" s="1">
        <v>39142</v>
      </c>
      <c r="B123">
        <v>5.4633780106688308</v>
      </c>
    </row>
    <row r="124" spans="1:2" x14ac:dyDescent="0.2">
      <c r="A124" s="1">
        <v>39173</v>
      </c>
      <c r="B124">
        <v>5.5755244582322536</v>
      </c>
    </row>
    <row r="125" spans="1:2" x14ac:dyDescent="0.2">
      <c r="A125" s="1">
        <v>39203</v>
      </c>
      <c r="B125">
        <v>5.692494002375283</v>
      </c>
    </row>
    <row r="126" spans="1:2" x14ac:dyDescent="0.2">
      <c r="A126" s="1">
        <v>39234</v>
      </c>
      <c r="B126">
        <v>5.8184453527888227</v>
      </c>
    </row>
    <row r="127" spans="1:2" x14ac:dyDescent="0.2">
      <c r="A127" s="1">
        <v>39264</v>
      </c>
      <c r="B127">
        <v>5.8522788002337123</v>
      </c>
    </row>
    <row r="128" spans="1:2" x14ac:dyDescent="0.2">
      <c r="A128" s="1">
        <v>39295</v>
      </c>
      <c r="B128">
        <v>5.7196707043423212</v>
      </c>
    </row>
    <row r="129" spans="1:2" x14ac:dyDescent="0.2">
      <c r="A129" s="1">
        <v>39326</v>
      </c>
      <c r="B129">
        <v>5.4897933949363571</v>
      </c>
    </row>
    <row r="130" spans="1:2" x14ac:dyDescent="0.2">
      <c r="A130" s="1">
        <v>39356</v>
      </c>
      <c r="B130">
        <v>5.5532813388509972</v>
      </c>
    </row>
    <row r="131" spans="1:2" x14ac:dyDescent="0.2">
      <c r="A131" s="1">
        <v>39387</v>
      </c>
      <c r="B131">
        <v>5.3845665067287811</v>
      </c>
    </row>
    <row r="132" spans="1:2" x14ac:dyDescent="0.2">
      <c r="A132" s="1">
        <v>39417</v>
      </c>
      <c r="B132">
        <v>5.2325478326956709</v>
      </c>
    </row>
    <row r="133" spans="1:2" x14ac:dyDescent="0.2">
      <c r="A133" s="1">
        <v>39448</v>
      </c>
      <c r="B133">
        <v>4.9324528244420787</v>
      </c>
    </row>
    <row r="134" spans="1:2" x14ac:dyDescent="0.2">
      <c r="A134" s="1">
        <v>39479</v>
      </c>
      <c r="B134">
        <v>4.93109021588148</v>
      </c>
    </row>
    <row r="135" spans="1:2" x14ac:dyDescent="0.2">
      <c r="A135" s="1">
        <v>39508</v>
      </c>
      <c r="B135">
        <v>4.8439520571734436</v>
      </c>
    </row>
    <row r="136" spans="1:2" x14ac:dyDescent="0.2">
      <c r="A136" s="1">
        <v>39539</v>
      </c>
      <c r="B136">
        <v>4.777345667152157</v>
      </c>
    </row>
    <row r="137" spans="1:2" x14ac:dyDescent="0.2">
      <c r="A137" s="1">
        <v>39569</v>
      </c>
      <c r="B137">
        <v>5.089722184607596</v>
      </c>
    </row>
    <row r="138" spans="1:2" x14ac:dyDescent="0.2">
      <c r="A138" s="1">
        <v>39600</v>
      </c>
      <c r="B138">
        <v>5.2271351893393003</v>
      </c>
    </row>
    <row r="139" spans="1:2" x14ac:dyDescent="0.2">
      <c r="A139" s="1">
        <v>39630</v>
      </c>
      <c r="B139">
        <v>5.1278210750003206</v>
      </c>
    </row>
    <row r="140" spans="1:2" x14ac:dyDescent="0.2">
      <c r="A140" s="1">
        <v>39661</v>
      </c>
      <c r="B140">
        <v>4.9951441618615933</v>
      </c>
    </row>
    <row r="141" spans="1:2" x14ac:dyDescent="0.2">
      <c r="A141" s="1">
        <v>39692</v>
      </c>
      <c r="B141">
        <v>4.2596128609258281</v>
      </c>
    </row>
    <row r="142" spans="1:2" x14ac:dyDescent="0.2">
      <c r="A142" s="1">
        <v>39722</v>
      </c>
      <c r="B142">
        <v>3.1153229416039947</v>
      </c>
    </row>
    <row r="143" spans="1:2" x14ac:dyDescent="0.2">
      <c r="A143" s="1">
        <v>39753</v>
      </c>
      <c r="B143">
        <v>1.5034727051726111</v>
      </c>
    </row>
    <row r="144" spans="1:2" x14ac:dyDescent="0.2">
      <c r="A144" s="1">
        <v>39783</v>
      </c>
      <c r="B144">
        <v>1.023847310793083</v>
      </c>
    </row>
    <row r="145" spans="1:2" x14ac:dyDescent="0.2">
      <c r="A145" s="1">
        <v>39814</v>
      </c>
      <c r="B145">
        <v>0.96818970316444164</v>
      </c>
    </row>
    <row r="146" spans="1:2" x14ac:dyDescent="0.2">
      <c r="A146" s="1">
        <v>39845</v>
      </c>
      <c r="B146">
        <v>0.6832367361762044</v>
      </c>
    </row>
    <row r="147" spans="1:2" x14ac:dyDescent="0.2">
      <c r="A147" s="1">
        <v>39873</v>
      </c>
      <c r="B147">
        <v>0.64315995365984813</v>
      </c>
    </row>
    <row r="148" spans="1:2" x14ac:dyDescent="0.2">
      <c r="A148" s="1">
        <v>39904</v>
      </c>
      <c r="B148">
        <v>0.59371703401360698</v>
      </c>
    </row>
    <row r="149" spans="1:2" x14ac:dyDescent="0.2">
      <c r="A149" s="1">
        <v>39934</v>
      </c>
      <c r="B149">
        <v>0.58819200253609427</v>
      </c>
    </row>
    <row r="150" spans="1:2" x14ac:dyDescent="0.2">
      <c r="A150" s="1">
        <v>39965</v>
      </c>
      <c r="B150">
        <v>0.57175423167316863</v>
      </c>
    </row>
    <row r="151" spans="1:2" x14ac:dyDescent="0.2">
      <c r="A151" s="1">
        <v>39995</v>
      </c>
      <c r="B151">
        <v>0.41823674997464388</v>
      </c>
    </row>
    <row r="152" spans="1:2" x14ac:dyDescent="0.2">
      <c r="A152" s="1">
        <v>40026</v>
      </c>
      <c r="B152">
        <v>0.35608591534636347</v>
      </c>
    </row>
    <row r="153" spans="1:2" x14ac:dyDescent="0.2">
      <c r="A153" s="1">
        <v>40057</v>
      </c>
      <c r="B153">
        <v>0.41583059847854748</v>
      </c>
    </row>
    <row r="154" spans="1:2" x14ac:dyDescent="0.2">
      <c r="A154" s="1">
        <v>40087</v>
      </c>
      <c r="B154">
        <v>0.43383239250636541</v>
      </c>
    </row>
    <row r="155" spans="1:2" x14ac:dyDescent="0.2">
      <c r="A155" s="1">
        <v>40118</v>
      </c>
      <c r="B155">
        <v>0.44195105275049751</v>
      </c>
    </row>
    <row r="156" spans="1:2" x14ac:dyDescent="0.2">
      <c r="A156" s="1">
        <v>40148</v>
      </c>
      <c r="B156">
        <v>0.47058199771674886</v>
      </c>
    </row>
    <row r="157" spans="1:2" x14ac:dyDescent="0.2">
      <c r="A157" s="1">
        <v>40179</v>
      </c>
      <c r="B157">
        <v>0.49105595695009008</v>
      </c>
    </row>
    <row r="158" spans="1:2" x14ac:dyDescent="0.2">
      <c r="A158" s="1">
        <v>40210</v>
      </c>
      <c r="B158">
        <v>0.51769570559024614</v>
      </c>
    </row>
    <row r="159" spans="1:2" x14ac:dyDescent="0.2">
      <c r="A159" s="1">
        <v>40238</v>
      </c>
      <c r="B159">
        <v>0.53243312187660619</v>
      </c>
    </row>
    <row r="160" spans="1:2" x14ac:dyDescent="0.2">
      <c r="A160" s="1">
        <v>40269</v>
      </c>
      <c r="B160">
        <v>0.53036465262071342</v>
      </c>
    </row>
    <row r="161" spans="1:2" x14ac:dyDescent="0.2">
      <c r="A161" s="1">
        <v>40299</v>
      </c>
      <c r="B161">
        <v>0.51370895519691029</v>
      </c>
    </row>
    <row r="162" spans="1:2" x14ac:dyDescent="0.2">
      <c r="A162" s="1">
        <v>40330</v>
      </c>
      <c r="B162">
        <v>0.52294416378993247</v>
      </c>
    </row>
    <row r="163" spans="1:2" x14ac:dyDescent="0.2">
      <c r="A163" s="1">
        <v>40360</v>
      </c>
      <c r="B163">
        <v>0.51198986678247849</v>
      </c>
    </row>
    <row r="164" spans="1:2" x14ac:dyDescent="0.2">
      <c r="A164" s="1">
        <v>40391</v>
      </c>
      <c r="B164">
        <v>0.55241602774246723</v>
      </c>
    </row>
    <row r="165" spans="1:2" x14ac:dyDescent="0.2">
      <c r="A165" s="1">
        <v>40422</v>
      </c>
      <c r="B165">
        <v>0.54981812954066078</v>
      </c>
    </row>
    <row r="166" spans="1:2" x14ac:dyDescent="0.2">
      <c r="A166" s="1">
        <v>40452</v>
      </c>
      <c r="B166">
        <v>0.55643996098776105</v>
      </c>
    </row>
    <row r="167" spans="1:2" x14ac:dyDescent="0.2">
      <c r="A167" s="1">
        <v>40483</v>
      </c>
      <c r="B167">
        <v>0.54539239989652077</v>
      </c>
    </row>
    <row r="168" spans="1:2" x14ac:dyDescent="0.2">
      <c r="A168" s="1">
        <v>40513</v>
      </c>
      <c r="B168">
        <v>0.5635314531621366</v>
      </c>
    </row>
    <row r="169" spans="1:2" x14ac:dyDescent="0.2">
      <c r="A169" s="1">
        <v>40544</v>
      </c>
      <c r="B169">
        <v>0.63900576180272839</v>
      </c>
    </row>
    <row r="170" spans="1:2" x14ac:dyDescent="0.2">
      <c r="A170" s="1">
        <v>40575</v>
      </c>
      <c r="B170">
        <v>0.68495579663199746</v>
      </c>
    </row>
    <row r="171" spans="1:2" x14ac:dyDescent="0.2">
      <c r="A171" s="1">
        <v>40603</v>
      </c>
      <c r="B171">
        <v>0.72066481483531664</v>
      </c>
    </row>
    <row r="172" spans="1:2" x14ac:dyDescent="0.2">
      <c r="A172" s="1">
        <v>40634</v>
      </c>
      <c r="B172">
        <v>0.60648575332500809</v>
      </c>
    </row>
    <row r="173" spans="1:2" x14ac:dyDescent="0.2">
      <c r="A173" s="1">
        <v>40664</v>
      </c>
      <c r="B173">
        <v>0.58389450040067148</v>
      </c>
    </row>
    <row r="174" spans="1:2" x14ac:dyDescent="0.2">
      <c r="A174" s="1">
        <v>40695</v>
      </c>
      <c r="B174">
        <v>0.576572758590011</v>
      </c>
    </row>
    <row r="175" spans="1:2" x14ac:dyDescent="0.2">
      <c r="A175" s="1">
        <v>40725</v>
      </c>
      <c r="B175">
        <v>0.54965171843403415</v>
      </c>
    </row>
    <row r="176" spans="1:2" x14ac:dyDescent="0.2">
      <c r="A176" s="1">
        <v>40756</v>
      </c>
      <c r="B176">
        <v>0.55909396900726771</v>
      </c>
    </row>
    <row r="177" spans="1:2" x14ac:dyDescent="0.2">
      <c r="A177" s="1">
        <v>40787</v>
      </c>
      <c r="B177">
        <v>0.56103926465077136</v>
      </c>
    </row>
    <row r="178" spans="1:2" x14ac:dyDescent="0.2">
      <c r="A178" s="1">
        <v>40817</v>
      </c>
      <c r="B178">
        <v>0.54509479053603216</v>
      </c>
    </row>
    <row r="179" spans="1:2" x14ac:dyDescent="0.2">
      <c r="A179" s="1">
        <v>40848</v>
      </c>
      <c r="B179">
        <v>0.48276919610572078</v>
      </c>
    </row>
    <row r="180" spans="1:2" x14ac:dyDescent="0.2">
      <c r="A180" s="1">
        <v>40878</v>
      </c>
      <c r="B180">
        <v>0.43429894859300699</v>
      </c>
    </row>
    <row r="181" spans="1:2" x14ac:dyDescent="0.2">
      <c r="A181" s="1">
        <v>40909</v>
      </c>
      <c r="B181">
        <v>0.47596163657515689</v>
      </c>
    </row>
    <row r="182" spans="1:2" x14ac:dyDescent="0.2">
      <c r="A182" s="1">
        <v>40940</v>
      </c>
      <c r="B182">
        <v>0.50923659736618521</v>
      </c>
    </row>
    <row r="183" spans="1:2" x14ac:dyDescent="0.2">
      <c r="A183" s="1">
        <v>40969</v>
      </c>
      <c r="B183">
        <v>0.5351790872097365</v>
      </c>
    </row>
    <row r="184" spans="1:2" x14ac:dyDescent="0.2">
      <c r="A184" s="1">
        <v>41000</v>
      </c>
      <c r="B184">
        <v>0.51727814920736437</v>
      </c>
    </row>
    <row r="185" spans="1:2" x14ac:dyDescent="0.2">
      <c r="A185" s="1">
        <v>41030</v>
      </c>
      <c r="B185">
        <v>0.45878244370304966</v>
      </c>
    </row>
    <row r="186" spans="1:2" x14ac:dyDescent="0.2">
      <c r="A186" s="1">
        <v>41061</v>
      </c>
      <c r="B186">
        <v>0.42869222605113777</v>
      </c>
    </row>
    <row r="187" spans="1:2" x14ac:dyDescent="0.2">
      <c r="A187" s="1">
        <v>41091</v>
      </c>
      <c r="B187">
        <v>0.33200137731776663</v>
      </c>
    </row>
    <row r="188" spans="1:2" x14ac:dyDescent="0.2">
      <c r="A188" s="1">
        <v>41122</v>
      </c>
      <c r="B188">
        <v>0.3546430814054084</v>
      </c>
    </row>
    <row r="189" spans="1:2" x14ac:dyDescent="0.2">
      <c r="A189" s="1">
        <v>41153</v>
      </c>
      <c r="B189">
        <v>0.38273970561330273</v>
      </c>
    </row>
    <row r="190" spans="1:2" x14ac:dyDescent="0.2">
      <c r="A190" s="1">
        <v>41183</v>
      </c>
      <c r="B190">
        <v>0.37366037895859711</v>
      </c>
    </row>
    <row r="191" spans="1:2" x14ac:dyDescent="0.2">
      <c r="A191" s="1">
        <v>41214</v>
      </c>
      <c r="B191">
        <v>0.39641458067745122</v>
      </c>
    </row>
    <row r="192" spans="1:2" x14ac:dyDescent="0.2">
      <c r="A192" s="1">
        <v>41244</v>
      </c>
      <c r="B192">
        <v>0.4252492193697367</v>
      </c>
    </row>
    <row r="193" spans="1:2" x14ac:dyDescent="0.2">
      <c r="A193" s="1">
        <v>41275</v>
      </c>
    </row>
    <row r="194" spans="1:2" x14ac:dyDescent="0.2">
      <c r="A194" s="1">
        <v>41306</v>
      </c>
    </row>
    <row r="195" spans="1:2" x14ac:dyDescent="0.2">
      <c r="A195" s="1">
        <v>41334</v>
      </c>
      <c r="B195">
        <v>0.19514631573183469</v>
      </c>
    </row>
    <row r="196" spans="1:2" x14ac:dyDescent="0.2">
      <c r="A196" s="1">
        <v>41365</v>
      </c>
      <c r="B196">
        <v>0.24621971912513302</v>
      </c>
    </row>
    <row r="197" spans="1:2" x14ac:dyDescent="0.2">
      <c r="A197" s="1">
        <v>41395</v>
      </c>
      <c r="B197">
        <v>0.32424198126977022</v>
      </c>
    </row>
    <row r="198" spans="1:2" x14ac:dyDescent="0.2">
      <c r="A198" s="1">
        <v>41426</v>
      </c>
      <c r="B198">
        <v>0.32144078776159696</v>
      </c>
    </row>
    <row r="199" spans="1:2" x14ac:dyDescent="0.2">
      <c r="A199" s="1">
        <v>41456</v>
      </c>
    </row>
    <row r="200" spans="1:2" x14ac:dyDescent="0.2">
      <c r="A200" s="1">
        <v>41487</v>
      </c>
    </row>
    <row r="201" spans="1:2" x14ac:dyDescent="0.2">
      <c r="A201" s="1">
        <v>41518</v>
      </c>
      <c r="B201">
        <v>0.3403694107944053</v>
      </c>
    </row>
    <row r="202" spans="1:2" x14ac:dyDescent="0.2">
      <c r="A202" s="1">
        <v>41548</v>
      </c>
      <c r="B202">
        <v>0.31456947834350252</v>
      </c>
    </row>
    <row r="203" spans="1:2" x14ac:dyDescent="0.2">
      <c r="A203" s="1">
        <v>41579</v>
      </c>
      <c r="B203">
        <v>0.36312402578168007</v>
      </c>
    </row>
    <row r="204" spans="1:2" x14ac:dyDescent="0.2">
      <c r="A204" s="1">
        <v>41609</v>
      </c>
      <c r="B204">
        <v>0.36867077492354872</v>
      </c>
    </row>
    <row r="205" spans="1:2" x14ac:dyDescent="0.2">
      <c r="A205" s="1">
        <v>41640</v>
      </c>
    </row>
    <row r="206" spans="1:2" x14ac:dyDescent="0.2">
      <c r="A206" s="1">
        <v>41671</v>
      </c>
    </row>
    <row r="207" spans="1:2" x14ac:dyDescent="0.2">
      <c r="A207" s="1">
        <v>41699</v>
      </c>
      <c r="B207">
        <v>0.35214067338141458</v>
      </c>
    </row>
    <row r="208" spans="1:2" x14ac:dyDescent="0.2">
      <c r="A208" s="1">
        <v>41730</v>
      </c>
      <c r="B208">
        <v>0.31262778689212395</v>
      </c>
    </row>
    <row r="209" spans="1:2" x14ac:dyDescent="0.2">
      <c r="A209" s="1">
        <v>41760</v>
      </c>
      <c r="B209">
        <v>0.30570435669709584</v>
      </c>
    </row>
    <row r="210" spans="1:2" x14ac:dyDescent="0.2">
      <c r="A210" s="1">
        <v>41791</v>
      </c>
      <c r="B210">
        <v>0.31259872405936157</v>
      </c>
    </row>
    <row r="211" spans="1:2" x14ac:dyDescent="0.2">
      <c r="A211" s="1">
        <v>41821</v>
      </c>
      <c r="B211">
        <v>0.40565402780743282</v>
      </c>
    </row>
    <row r="212" spans="1:2" x14ac:dyDescent="0.2">
      <c r="A212" s="1">
        <v>41852</v>
      </c>
      <c r="B212">
        <v>0.31276843029688695</v>
      </c>
    </row>
    <row r="213" spans="1:2" x14ac:dyDescent="0.2">
      <c r="A213" s="1">
        <v>41883</v>
      </c>
      <c r="B213">
        <v>0.38880838133706758</v>
      </c>
    </row>
    <row r="214" spans="1:2" x14ac:dyDescent="0.2">
      <c r="A214" s="1">
        <v>41913</v>
      </c>
      <c r="B214">
        <v>0.37455075090801848</v>
      </c>
    </row>
    <row r="215" spans="1:2" x14ac:dyDescent="0.2">
      <c r="A215" s="1">
        <v>41944</v>
      </c>
    </row>
    <row r="216" spans="1:2" x14ac:dyDescent="0.2">
      <c r="A216" s="1">
        <v>41974</v>
      </c>
    </row>
    <row r="217" spans="1:2" x14ac:dyDescent="0.2">
      <c r="A217" s="1">
        <v>42005</v>
      </c>
    </row>
    <row r="218" spans="1:2" x14ac:dyDescent="0.2">
      <c r="A218" s="1">
        <v>42036</v>
      </c>
    </row>
    <row r="219" spans="1:2" x14ac:dyDescent="0.2">
      <c r="A219" s="1">
        <v>42064</v>
      </c>
      <c r="B219">
        <v>0.33440137375534212</v>
      </c>
    </row>
    <row r="220" spans="1:2" x14ac:dyDescent="0.2">
      <c r="A220" s="1">
        <v>42095</v>
      </c>
      <c r="B220">
        <v>0.36792895139842852</v>
      </c>
    </row>
    <row r="221" spans="1:2" x14ac:dyDescent="0.2">
      <c r="A221" s="1">
        <v>42125</v>
      </c>
      <c r="B221">
        <v>0.43016793252590507</v>
      </c>
    </row>
    <row r="222" spans="1:2" x14ac:dyDescent="0.2">
      <c r="A222" s="1">
        <v>42156</v>
      </c>
      <c r="B222">
        <v>0.44594680481030463</v>
      </c>
    </row>
    <row r="223" spans="1:2" x14ac:dyDescent="0.2">
      <c r="A223" s="1">
        <v>42186</v>
      </c>
      <c r="B223">
        <v>0.45010838171671319</v>
      </c>
    </row>
    <row r="224" spans="1:2" x14ac:dyDescent="0.2">
      <c r="A224" s="1">
        <v>42217</v>
      </c>
      <c r="B224">
        <v>0.44035228700881335</v>
      </c>
    </row>
    <row r="225" spans="1:2" x14ac:dyDescent="0.2">
      <c r="A225" s="1">
        <v>42248</v>
      </c>
      <c r="B225">
        <v>0.44830530539194963</v>
      </c>
    </row>
    <row r="226" spans="1:2" x14ac:dyDescent="0.2">
      <c r="A226" s="1">
        <v>42278</v>
      </c>
    </row>
    <row r="227" spans="1:2" x14ac:dyDescent="0.2">
      <c r="A227" s="1">
        <v>42309</v>
      </c>
    </row>
    <row r="228" spans="1:2" x14ac:dyDescent="0.2">
      <c r="A228" s="1">
        <v>42339</v>
      </c>
    </row>
    <row r="229" spans="1:2" x14ac:dyDescent="0.2">
      <c r="A229" s="1">
        <v>42370</v>
      </c>
    </row>
    <row r="230" spans="1:2" x14ac:dyDescent="0.2">
      <c r="A230" s="1">
        <v>42401</v>
      </c>
    </row>
    <row r="231" spans="1:2" x14ac:dyDescent="0.2">
      <c r="A231" s="1">
        <v>42430</v>
      </c>
      <c r="B231">
        <v>0.39892380920609793</v>
      </c>
    </row>
    <row r="232" spans="1:2" x14ac:dyDescent="0.2">
      <c r="A232" s="1">
        <v>42461</v>
      </c>
      <c r="B232">
        <v>0.40339606231721309</v>
      </c>
    </row>
    <row r="233" spans="1:2" x14ac:dyDescent="0.2">
      <c r="A233" s="1">
        <v>42491</v>
      </c>
      <c r="B233">
        <v>0.35591457352910583</v>
      </c>
    </row>
    <row r="234" spans="1:2" x14ac:dyDescent="0.2">
      <c r="A234" s="1">
        <v>42522</v>
      </c>
      <c r="B234">
        <v>0.37463548592005819</v>
      </c>
    </row>
    <row r="235" spans="1:2" x14ac:dyDescent="0.2">
      <c r="A235" s="1">
        <v>42552</v>
      </c>
      <c r="B235">
        <v>0.11118055775519284</v>
      </c>
    </row>
    <row r="236" spans="1:2" x14ac:dyDescent="0.2">
      <c r="A236" s="1">
        <v>42583</v>
      </c>
      <c r="B236">
        <v>0.10745976280724236</v>
      </c>
    </row>
    <row r="237" spans="1:2" x14ac:dyDescent="0.2">
      <c r="A237" s="1">
        <v>42614</v>
      </c>
      <c r="B237">
        <v>0.12372298273762247</v>
      </c>
    </row>
    <row r="238" spans="1:2" x14ac:dyDescent="0.2">
      <c r="A238" s="1">
        <v>42644</v>
      </c>
      <c r="B238">
        <v>0.14951080226853511</v>
      </c>
    </row>
    <row r="239" spans="1:2" x14ac:dyDescent="0.2">
      <c r="A239" s="1">
        <v>42675</v>
      </c>
    </row>
    <row r="240" spans="1:2" x14ac:dyDescent="0.2">
      <c r="A240" s="1">
        <v>42705</v>
      </c>
    </row>
    <row r="241" spans="1:2" x14ac:dyDescent="0.2">
      <c r="A241" s="1">
        <v>42736</v>
      </c>
    </row>
    <row r="242" spans="1:2" x14ac:dyDescent="0.2">
      <c r="A242" s="1">
        <v>42767</v>
      </c>
      <c r="B242">
        <v>-2.2693446367536393E-2</v>
      </c>
    </row>
    <row r="243" spans="1:2" x14ac:dyDescent="0.2">
      <c r="A243" s="1">
        <v>42795</v>
      </c>
      <c r="B243">
        <v>2.4158931472875542E-2</v>
      </c>
    </row>
    <row r="244" spans="1:2" x14ac:dyDescent="0.2">
      <c r="A244" s="1">
        <v>42826</v>
      </c>
      <c r="B244">
        <v>3.3728894279334481E-2</v>
      </c>
    </row>
    <row r="245" spans="1:2" x14ac:dyDescent="0.2">
      <c r="A245" s="1">
        <v>42856</v>
      </c>
      <c r="B245">
        <v>0.1293849026079954</v>
      </c>
    </row>
    <row r="246" spans="1:2" x14ac:dyDescent="0.2">
      <c r="A246" s="1">
        <v>42887</v>
      </c>
      <c r="B246">
        <v>0.11021930340107126</v>
      </c>
    </row>
    <row r="247" spans="1:2" x14ac:dyDescent="0.2">
      <c r="A247" s="1">
        <v>42917</v>
      </c>
    </row>
    <row r="248" spans="1:2" x14ac:dyDescent="0.2">
      <c r="A248" s="1">
        <v>42948</v>
      </c>
    </row>
    <row r="249" spans="1:2" x14ac:dyDescent="0.2">
      <c r="A249" s="1">
        <v>42979</v>
      </c>
      <c r="B249">
        <v>0.29268432765647162</v>
      </c>
    </row>
    <row r="250" spans="1:2" x14ac:dyDescent="0.2">
      <c r="A250" s="1">
        <v>43009</v>
      </c>
      <c r="B250">
        <v>0.34978045735562557</v>
      </c>
    </row>
    <row r="251" spans="1:2" x14ac:dyDescent="0.2">
      <c r="A251" s="1">
        <v>43040</v>
      </c>
      <c r="B251">
        <v>0.40694592043921762</v>
      </c>
    </row>
    <row r="252" spans="1:2" x14ac:dyDescent="0.2">
      <c r="A252" s="1">
        <v>43070</v>
      </c>
      <c r="B252">
        <v>0.38045869907030089</v>
      </c>
    </row>
    <row r="253" spans="1:2" x14ac:dyDescent="0.2">
      <c r="A253" s="1">
        <v>43101</v>
      </c>
      <c r="B253">
        <v>0.4225265612092694</v>
      </c>
    </row>
    <row r="254" spans="1:2" x14ac:dyDescent="0.2">
      <c r="A254" s="1">
        <v>43132</v>
      </c>
      <c r="B254">
        <v>0.41664010221332243</v>
      </c>
    </row>
    <row r="255" spans="1:2" x14ac:dyDescent="0.2">
      <c r="A255" s="1">
        <v>43160</v>
      </c>
      <c r="B255">
        <v>0.59846248124403689</v>
      </c>
    </row>
    <row r="256" spans="1:2" x14ac:dyDescent="0.2">
      <c r="A256" s="1">
        <v>43191</v>
      </c>
      <c r="B256">
        <v>0.64422723619185862</v>
      </c>
    </row>
    <row r="257" spans="1:2" x14ac:dyDescent="0.2">
      <c r="A257" s="1">
        <v>43221</v>
      </c>
    </row>
    <row r="258" spans="1:2" x14ac:dyDescent="0.2">
      <c r="A258" s="1">
        <v>43252</v>
      </c>
    </row>
    <row r="259" spans="1:2" x14ac:dyDescent="0.2">
      <c r="A259" s="1">
        <v>43282</v>
      </c>
    </row>
    <row r="260" spans="1:2" x14ac:dyDescent="0.2">
      <c r="A260" s="1">
        <v>43313</v>
      </c>
    </row>
    <row r="261" spans="1:2" x14ac:dyDescent="0.2">
      <c r="A261" s="1">
        <v>43344</v>
      </c>
      <c r="B261">
        <v>0.75218728877686403</v>
      </c>
    </row>
    <row r="262" spans="1:2" x14ac:dyDescent="0.2">
      <c r="A262" s="1">
        <v>43374</v>
      </c>
      <c r="B262">
        <v>0.73747432925101331</v>
      </c>
    </row>
    <row r="263" spans="1:2" x14ac:dyDescent="0.2">
      <c r="A263" s="1">
        <v>43405</v>
      </c>
      <c r="B263">
        <v>0.74971296381231722</v>
      </c>
    </row>
    <row r="264" spans="1:2" x14ac:dyDescent="0.2">
      <c r="A264" s="1">
        <v>43435</v>
      </c>
      <c r="B264">
        <v>0.74329274438273363</v>
      </c>
    </row>
    <row r="265" spans="1:2" x14ac:dyDescent="0.2">
      <c r="A265" s="1">
        <v>43466</v>
      </c>
      <c r="B265">
        <v>0.7503258159352455</v>
      </c>
    </row>
    <row r="266" spans="1:2" x14ac:dyDescent="0.2">
      <c r="A266" s="1">
        <v>43497</v>
      </c>
      <c r="B266">
        <v>0.79426199713156509</v>
      </c>
    </row>
    <row r="267" spans="1:2" x14ac:dyDescent="0.2">
      <c r="A267" s="1">
        <v>43525</v>
      </c>
      <c r="B267">
        <v>0.6963872330053027</v>
      </c>
    </row>
    <row r="268" spans="1:2" x14ac:dyDescent="0.2">
      <c r="A268" s="1">
        <v>43556</v>
      </c>
      <c r="B268">
        <v>0.76098776677955404</v>
      </c>
    </row>
    <row r="269" spans="1:2" x14ac:dyDescent="0.2">
      <c r="A269" s="1">
        <v>43586</v>
      </c>
      <c r="B269">
        <v>0.69034029598854274</v>
      </c>
    </row>
    <row r="270" spans="1:2" x14ac:dyDescent="0.2">
      <c r="A270" s="1">
        <v>43617</v>
      </c>
      <c r="B270">
        <v>0.63708701748939467</v>
      </c>
    </row>
    <row r="271" spans="1:2" x14ac:dyDescent="0.2">
      <c r="A271" s="1">
        <v>43647</v>
      </c>
    </row>
    <row r="272" spans="1:2" x14ac:dyDescent="0.2">
      <c r="A272" s="1">
        <v>43678</v>
      </c>
    </row>
    <row r="273" spans="1:2" x14ac:dyDescent="0.2">
      <c r="A273" s="1">
        <v>43709</v>
      </c>
      <c r="B273">
        <v>0.61007826002324539</v>
      </c>
    </row>
    <row r="274" spans="1:2" x14ac:dyDescent="0.2">
      <c r="A274" s="1">
        <v>43739</v>
      </c>
      <c r="B274">
        <v>0.71614656703277413</v>
      </c>
    </row>
    <row r="275" spans="1:2" x14ac:dyDescent="0.2">
      <c r="A275" s="1">
        <v>43770</v>
      </c>
      <c r="B275">
        <v>0.72574102224234815</v>
      </c>
    </row>
    <row r="276" spans="1:2" x14ac:dyDescent="0.2">
      <c r="A276" s="1">
        <v>43800</v>
      </c>
      <c r="B276">
        <v>0.71564142553158261</v>
      </c>
    </row>
    <row r="277" spans="1:2" x14ac:dyDescent="0.2">
      <c r="A277" s="1">
        <v>43831</v>
      </c>
      <c r="B277">
        <v>0.66087207163688644</v>
      </c>
    </row>
    <row r="278" spans="1:2" x14ac:dyDescent="0.2">
      <c r="A278" s="1">
        <v>43862</v>
      </c>
      <c r="B278">
        <v>0.50892959138805094</v>
      </c>
    </row>
    <row r="279" spans="1:2" x14ac:dyDescent="0.2">
      <c r="A279" s="1">
        <v>43891</v>
      </c>
      <c r="B279">
        <v>9.47304263264519E-2</v>
      </c>
    </row>
    <row r="280" spans="1:2" x14ac:dyDescent="0.2">
      <c r="A280" s="1">
        <v>43922</v>
      </c>
      <c r="B280">
        <v>4.0946164180488819E-2</v>
      </c>
    </row>
    <row r="281" spans="1:2" x14ac:dyDescent="0.2">
      <c r="A281" s="1">
        <v>43952</v>
      </c>
      <c r="B281">
        <v>1.7690313251331333E-2</v>
      </c>
    </row>
    <row r="282" spans="1:2" x14ac:dyDescent="0.2">
      <c r="A282" s="1">
        <v>43983</v>
      </c>
      <c r="B282">
        <v>5.5713427833716835E-2</v>
      </c>
    </row>
    <row r="283" spans="1:2" x14ac:dyDescent="0.2">
      <c r="A283" s="1">
        <v>44013</v>
      </c>
      <c r="B283">
        <v>-1.2005105390794329E-3</v>
      </c>
    </row>
    <row r="284" spans="1:2" x14ac:dyDescent="0.2">
      <c r="A284" s="1">
        <v>44044</v>
      </c>
      <c r="B284">
        <v>-3.3616788062099473E-2</v>
      </c>
    </row>
    <row r="285" spans="1:2" x14ac:dyDescent="0.2">
      <c r="A285" s="1">
        <v>44075</v>
      </c>
      <c r="B285">
        <v>-1.0873550910256831E-2</v>
      </c>
    </row>
    <row r="286" spans="1:2" x14ac:dyDescent="0.2">
      <c r="A286" s="1">
        <v>44105</v>
      </c>
      <c r="B286">
        <v>-7.22888846166133E-3</v>
      </c>
    </row>
    <row r="287" spans="1:2" x14ac:dyDescent="0.2">
      <c r="A287" s="1">
        <v>44136</v>
      </c>
    </row>
    <row r="288" spans="1:2" x14ac:dyDescent="0.2">
      <c r="A288" s="1">
        <v>44166</v>
      </c>
      <c r="B288">
        <v>-0.15540138994978087</v>
      </c>
    </row>
    <row r="289" spans="1:2" x14ac:dyDescent="0.2">
      <c r="A289" s="1">
        <v>44197</v>
      </c>
      <c r="B289">
        <v>-0.13670830866788414</v>
      </c>
    </row>
    <row r="290" spans="1:2" x14ac:dyDescent="0.2">
      <c r="A290" s="1">
        <v>44228</v>
      </c>
      <c r="B290">
        <v>-5.2152582326051231E-2</v>
      </c>
    </row>
    <row r="291" spans="1:2" x14ac:dyDescent="0.2">
      <c r="A291" s="1">
        <v>44256</v>
      </c>
      <c r="B291">
        <v>-3.2776378892629569E-2</v>
      </c>
    </row>
    <row r="292" spans="1:2" x14ac:dyDescent="0.2">
      <c r="A292" s="1">
        <v>44287</v>
      </c>
      <c r="B292">
        <v>2.4757123007502432E-2</v>
      </c>
    </row>
    <row r="293" spans="1:2" x14ac:dyDescent="0.2">
      <c r="A293" s="1">
        <v>44317</v>
      </c>
      <c r="B293">
        <v>1.1954758019214659E-2</v>
      </c>
    </row>
    <row r="294" spans="1:2" x14ac:dyDescent="0.2">
      <c r="A294" s="1">
        <v>44348</v>
      </c>
      <c r="B294">
        <v>1.7443151407530576E-2</v>
      </c>
    </row>
    <row r="295" spans="1:2" x14ac:dyDescent="0.2">
      <c r="A295" s="1">
        <v>44378</v>
      </c>
    </row>
    <row r="296" spans="1:2" x14ac:dyDescent="0.2">
      <c r="A296" s="1">
        <v>44409</v>
      </c>
    </row>
    <row r="297" spans="1:2" x14ac:dyDescent="0.2">
      <c r="A297" s="1">
        <v>44440</v>
      </c>
      <c r="B297">
        <v>4.4537139234638617E-2</v>
      </c>
    </row>
    <row r="298" spans="1:2" x14ac:dyDescent="0.2">
      <c r="A298" s="1">
        <v>44470</v>
      </c>
      <c r="B298">
        <v>0.22490309795773897</v>
      </c>
    </row>
    <row r="299" spans="1:2" x14ac:dyDescent="0.2">
      <c r="A299" s="1">
        <v>44501</v>
      </c>
      <c r="B299">
        <v>4.2217492012127183E-2</v>
      </c>
    </row>
    <row r="300" spans="1:2" x14ac:dyDescent="0.2">
      <c r="A300" s="1">
        <v>44531</v>
      </c>
      <c r="B300">
        <v>4.8463282918888351E-2</v>
      </c>
    </row>
    <row r="301" spans="1:2" x14ac:dyDescent="0.2">
      <c r="A301" s="1">
        <v>44562</v>
      </c>
      <c r="B301">
        <v>0.60498322668352789</v>
      </c>
    </row>
    <row r="302" spans="1:2" x14ac:dyDescent="0.2">
      <c r="A302" s="1">
        <v>44593</v>
      </c>
      <c r="B302">
        <v>0.56012184222212591</v>
      </c>
    </row>
    <row r="303" spans="1:2" x14ac:dyDescent="0.2">
      <c r="A303" s="1">
        <v>44621</v>
      </c>
      <c r="B303">
        <v>0.8113584377334554</v>
      </c>
    </row>
    <row r="304" spans="1:2" x14ac:dyDescent="0.2">
      <c r="A304" s="1">
        <v>44652</v>
      </c>
      <c r="B304">
        <v>1.160785494627371</v>
      </c>
    </row>
    <row r="305" spans="1:2" x14ac:dyDescent="0.2">
      <c r="A305" s="1">
        <v>44682</v>
      </c>
      <c r="B305">
        <v>1.3051480810786507</v>
      </c>
    </row>
    <row r="306" spans="1:2" x14ac:dyDescent="0.2">
      <c r="A306" s="1">
        <v>44713</v>
      </c>
    </row>
    <row r="307" spans="1:2" x14ac:dyDescent="0.2">
      <c r="A307" s="1">
        <v>44743</v>
      </c>
    </row>
    <row r="308" spans="1:2" x14ac:dyDescent="0.2">
      <c r="A308" s="1">
        <v>44774</v>
      </c>
      <c r="B308">
        <v>2.4441585238235981</v>
      </c>
    </row>
    <row r="309" spans="1:2" x14ac:dyDescent="0.2">
      <c r="A309" s="1">
        <v>44805</v>
      </c>
      <c r="B309">
        <v>3.472645550616134</v>
      </c>
    </row>
    <row r="310" spans="1:2" x14ac:dyDescent="0.2">
      <c r="A310" s="1">
        <v>44835</v>
      </c>
      <c r="B310">
        <v>2.8522120703031471</v>
      </c>
    </row>
    <row r="311" spans="1:2" x14ac:dyDescent="0.2">
      <c r="A311" s="1">
        <v>44866</v>
      </c>
    </row>
    <row r="312" spans="1:2" x14ac:dyDescent="0.2">
      <c r="A312" s="1">
        <v>44896</v>
      </c>
    </row>
    <row r="313" spans="1:2" x14ac:dyDescent="0.2">
      <c r="A313" s="1">
        <v>44927</v>
      </c>
      <c r="B313">
        <v>3.3730982866247441</v>
      </c>
    </row>
    <row r="314" spans="1:2" x14ac:dyDescent="0.2">
      <c r="A314" s="1">
        <v>44958</v>
      </c>
      <c r="B314">
        <v>4.0009101319507803</v>
      </c>
    </row>
    <row r="315" spans="1:2" x14ac:dyDescent="0.2">
      <c r="A315" s="1">
        <v>44986</v>
      </c>
      <c r="B315">
        <v>4.0474552953307619</v>
      </c>
    </row>
    <row r="316" spans="1:2" x14ac:dyDescent="0.2">
      <c r="A316" s="1">
        <v>45017</v>
      </c>
      <c r="B316">
        <v>4.241155488462705</v>
      </c>
    </row>
    <row r="317" spans="1:2" x14ac:dyDescent="0.2">
      <c r="A317" s="1">
        <v>45047</v>
      </c>
      <c r="B317">
        <v>4.5401330276059388</v>
      </c>
    </row>
    <row r="318" spans="1:2" x14ac:dyDescent="0.2">
      <c r="A318" s="1">
        <v>45078</v>
      </c>
    </row>
    <row r="319" spans="1:2" x14ac:dyDescent="0.2">
      <c r="A319" s="1">
        <v>45108</v>
      </c>
    </row>
    <row r="320" spans="1:2" x14ac:dyDescent="0.2">
      <c r="A320" s="1">
        <v>45139</v>
      </c>
      <c r="B320">
        <v>4.9561341946330666</v>
      </c>
    </row>
    <row r="321" spans="1:2" x14ac:dyDescent="0.2">
      <c r="A321" s="1">
        <v>45170</v>
      </c>
      <c r="B321">
        <v>5.0052961377265985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119E9-9E80-F74A-AF5B-19BFB2D219D7}">
  <dimension ref="A1:C297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11</v>
      </c>
    </row>
    <row r="2" spans="1:3" x14ac:dyDescent="0.2">
      <c r="A2" s="1" t="s">
        <v>1</v>
      </c>
      <c r="B2" t="s">
        <v>17</v>
      </c>
    </row>
    <row r="3" spans="1:3" x14ac:dyDescent="0.2">
      <c r="A3" s="1">
        <v>36192</v>
      </c>
      <c r="B3">
        <v>8.11</v>
      </c>
    </row>
    <row r="4" spans="1:3" x14ac:dyDescent="0.2">
      <c r="A4" s="1">
        <v>36220</v>
      </c>
      <c r="B4">
        <v>7.69</v>
      </c>
    </row>
    <row r="5" spans="1:3" x14ac:dyDescent="0.2">
      <c r="A5" s="1">
        <v>36251</v>
      </c>
      <c r="B5">
        <v>7.38</v>
      </c>
    </row>
    <row r="6" spans="1:3" x14ac:dyDescent="0.2">
      <c r="A6" s="1">
        <v>36281</v>
      </c>
      <c r="B6">
        <v>7.14</v>
      </c>
    </row>
    <row r="7" spans="1:3" x14ac:dyDescent="0.2">
      <c r="A7" s="1">
        <v>36312</v>
      </c>
      <c r="B7">
        <v>7.12</v>
      </c>
    </row>
    <row r="8" spans="1:3" x14ac:dyDescent="0.2">
      <c r="A8" s="1">
        <v>36342</v>
      </c>
      <c r="B8">
        <v>7.05</v>
      </c>
    </row>
    <row r="9" spans="1:3" x14ac:dyDescent="0.2">
      <c r="A9" s="1">
        <v>36373</v>
      </c>
      <c r="B9">
        <v>7.12</v>
      </c>
    </row>
    <row r="10" spans="1:3" x14ac:dyDescent="0.2">
      <c r="A10" s="1">
        <v>36404</v>
      </c>
      <c r="B10">
        <v>6.98</v>
      </c>
    </row>
    <row r="11" spans="1:3" x14ac:dyDescent="0.2">
      <c r="A11" s="1">
        <v>36434</v>
      </c>
      <c r="B11">
        <v>7.06</v>
      </c>
    </row>
    <row r="12" spans="1:3" x14ac:dyDescent="0.2">
      <c r="A12" s="1">
        <v>36465</v>
      </c>
      <c r="B12">
        <v>7.13</v>
      </c>
    </row>
    <row r="13" spans="1:3" x14ac:dyDescent="0.2">
      <c r="A13" s="1">
        <v>36495</v>
      </c>
      <c r="B13">
        <v>7.2</v>
      </c>
    </row>
    <row r="14" spans="1:3" x14ac:dyDescent="0.2">
      <c r="A14" s="1">
        <v>36526</v>
      </c>
      <c r="B14">
        <v>7.27</v>
      </c>
    </row>
    <row r="15" spans="1:3" x14ac:dyDescent="0.2">
      <c r="A15" s="1">
        <v>36557</v>
      </c>
      <c r="B15">
        <v>7.44</v>
      </c>
    </row>
    <row r="16" spans="1:3" x14ac:dyDescent="0.2">
      <c r="A16" s="1">
        <v>36586</v>
      </c>
      <c r="B16">
        <v>7.64</v>
      </c>
    </row>
    <row r="17" spans="1:2" x14ac:dyDescent="0.2">
      <c r="A17" s="1">
        <v>36617</v>
      </c>
      <c r="B17">
        <v>7.74</v>
      </c>
    </row>
    <row r="18" spans="1:2" x14ac:dyDescent="0.2">
      <c r="A18" s="1">
        <v>36647</v>
      </c>
      <c r="B18">
        <v>7.77</v>
      </c>
    </row>
    <row r="19" spans="1:2" x14ac:dyDescent="0.2">
      <c r="A19" s="1">
        <v>36678</v>
      </c>
      <c r="B19">
        <v>7.77</v>
      </c>
    </row>
    <row r="20" spans="1:2" x14ac:dyDescent="0.2">
      <c r="A20" s="1">
        <v>36708</v>
      </c>
      <c r="B20">
        <v>7.71</v>
      </c>
    </row>
    <row r="21" spans="1:2" x14ac:dyDescent="0.2">
      <c r="A21" s="1">
        <v>36739</v>
      </c>
      <c r="B21">
        <v>7.77</v>
      </c>
    </row>
    <row r="22" spans="1:2" x14ac:dyDescent="0.2">
      <c r="A22" s="1">
        <v>36770</v>
      </c>
      <c r="B22">
        <v>7.77</v>
      </c>
    </row>
    <row r="23" spans="1:2" x14ac:dyDescent="0.2">
      <c r="A23" s="1">
        <v>36800</v>
      </c>
      <c r="B23">
        <v>7.72</v>
      </c>
    </row>
    <row r="24" spans="1:2" x14ac:dyDescent="0.2">
      <c r="A24" s="1">
        <v>36831</v>
      </c>
      <c r="B24">
        <v>7.65</v>
      </c>
    </row>
    <row r="25" spans="1:2" x14ac:dyDescent="0.2">
      <c r="A25" s="1">
        <v>36861</v>
      </c>
      <c r="B25">
        <v>7.66</v>
      </c>
    </row>
    <row r="26" spans="1:2" x14ac:dyDescent="0.2">
      <c r="A26" s="1">
        <v>36892</v>
      </c>
      <c r="B26">
        <v>7.63</v>
      </c>
    </row>
    <row r="27" spans="1:2" x14ac:dyDescent="0.2">
      <c r="A27" s="1">
        <v>36923</v>
      </c>
      <c r="B27">
        <v>7.6</v>
      </c>
    </row>
    <row r="28" spans="1:2" x14ac:dyDescent="0.2">
      <c r="A28" s="1">
        <v>36951</v>
      </c>
      <c r="B28">
        <v>7.47</v>
      </c>
    </row>
    <row r="29" spans="1:2" x14ac:dyDescent="0.2">
      <c r="A29" s="1">
        <v>36982</v>
      </c>
      <c r="B29">
        <v>7.36</v>
      </c>
    </row>
    <row r="30" spans="1:2" x14ac:dyDescent="0.2">
      <c r="A30" s="1">
        <v>37012</v>
      </c>
      <c r="B30">
        <v>7.31</v>
      </c>
    </row>
    <row r="31" spans="1:2" x14ac:dyDescent="0.2">
      <c r="A31" s="1">
        <v>37043</v>
      </c>
      <c r="B31">
        <v>7.14</v>
      </c>
    </row>
    <row r="32" spans="1:2" x14ac:dyDescent="0.2">
      <c r="A32" s="1">
        <v>37073</v>
      </c>
      <c r="B32">
        <v>7.03</v>
      </c>
    </row>
    <row r="33" spans="1:2" x14ac:dyDescent="0.2">
      <c r="A33" s="1">
        <v>37104</v>
      </c>
      <c r="B33">
        <v>7.01</v>
      </c>
    </row>
    <row r="34" spans="1:2" x14ac:dyDescent="0.2">
      <c r="A34" s="1">
        <v>37135</v>
      </c>
      <c r="B34">
        <v>6.86</v>
      </c>
    </row>
    <row r="35" spans="1:2" x14ac:dyDescent="0.2">
      <c r="A35" s="1">
        <v>37165</v>
      </c>
      <c r="B35">
        <v>6.7</v>
      </c>
    </row>
    <row r="36" spans="1:2" x14ac:dyDescent="0.2">
      <c r="A36" s="1">
        <v>37196</v>
      </c>
      <c r="B36">
        <v>6.5</v>
      </c>
    </row>
    <row r="37" spans="1:2" x14ac:dyDescent="0.2">
      <c r="A37" s="1">
        <v>37226</v>
      </c>
      <c r="B37">
        <v>6.16</v>
      </c>
    </row>
    <row r="38" spans="1:2" x14ac:dyDescent="0.2">
      <c r="A38" s="1">
        <v>37257</v>
      </c>
      <c r="B38">
        <v>6</v>
      </c>
    </row>
    <row r="39" spans="1:2" x14ac:dyDescent="0.2">
      <c r="A39" s="1">
        <v>37288</v>
      </c>
      <c r="B39">
        <v>5.91</v>
      </c>
    </row>
    <row r="40" spans="1:2" x14ac:dyDescent="0.2">
      <c r="A40" s="1">
        <v>37316</v>
      </c>
      <c r="B40">
        <v>5.86</v>
      </c>
    </row>
    <row r="41" spans="1:2" x14ac:dyDescent="0.2">
      <c r="A41" s="1">
        <v>37347</v>
      </c>
      <c r="B41">
        <v>5.88</v>
      </c>
    </row>
    <row r="42" spans="1:2" x14ac:dyDescent="0.2">
      <c r="A42" s="1">
        <v>37377</v>
      </c>
      <c r="B42">
        <v>5.88</v>
      </c>
    </row>
    <row r="43" spans="1:2" x14ac:dyDescent="0.2">
      <c r="A43" s="1">
        <v>37408</v>
      </c>
      <c r="B43">
        <v>5.89</v>
      </c>
    </row>
    <row r="44" spans="1:2" x14ac:dyDescent="0.2">
      <c r="A44" s="1">
        <v>37438</v>
      </c>
      <c r="B44">
        <v>5.88</v>
      </c>
    </row>
    <row r="45" spans="1:2" x14ac:dyDescent="0.2">
      <c r="A45" s="1">
        <v>37469</v>
      </c>
      <c r="B45">
        <v>5.85</v>
      </c>
    </row>
    <row r="46" spans="1:2" x14ac:dyDescent="0.2">
      <c r="A46" s="1">
        <v>37500</v>
      </c>
      <c r="B46">
        <v>5.86</v>
      </c>
    </row>
    <row r="47" spans="1:2" x14ac:dyDescent="0.2">
      <c r="A47" s="1">
        <v>37530</v>
      </c>
      <c r="B47">
        <v>5.86</v>
      </c>
    </row>
    <row r="48" spans="1:2" x14ac:dyDescent="0.2">
      <c r="A48" s="1">
        <v>37561</v>
      </c>
      <c r="B48">
        <v>5.86</v>
      </c>
    </row>
    <row r="49" spans="1:2" x14ac:dyDescent="0.2">
      <c r="A49" s="1">
        <v>37591</v>
      </c>
      <c r="B49">
        <v>5.85</v>
      </c>
    </row>
    <row r="50" spans="1:2" x14ac:dyDescent="0.2">
      <c r="A50" s="1">
        <v>37622</v>
      </c>
      <c r="B50">
        <v>5.87</v>
      </c>
    </row>
    <row r="51" spans="1:2" x14ac:dyDescent="0.2">
      <c r="A51" s="1">
        <v>37653</v>
      </c>
      <c r="B51">
        <v>5.83</v>
      </c>
    </row>
    <row r="52" spans="1:2" x14ac:dyDescent="0.2">
      <c r="A52" s="1">
        <v>37681</v>
      </c>
      <c r="B52">
        <v>5.7</v>
      </c>
    </row>
    <row r="53" spans="1:2" x14ac:dyDescent="0.2">
      <c r="A53" s="1">
        <v>37712</v>
      </c>
      <c r="B53">
        <v>5.62</v>
      </c>
    </row>
    <row r="54" spans="1:2" x14ac:dyDescent="0.2">
      <c r="A54" s="1">
        <v>37742</v>
      </c>
      <c r="B54">
        <v>5.65</v>
      </c>
    </row>
    <row r="55" spans="1:2" x14ac:dyDescent="0.2">
      <c r="A55" s="1">
        <v>37773</v>
      </c>
      <c r="B55">
        <v>5.57</v>
      </c>
    </row>
    <row r="56" spans="1:2" x14ac:dyDescent="0.2">
      <c r="A56" s="1">
        <v>37803</v>
      </c>
      <c r="B56">
        <v>5.6</v>
      </c>
    </row>
    <row r="57" spans="1:2" x14ac:dyDescent="0.2">
      <c r="A57" s="1">
        <v>37834</v>
      </c>
      <c r="B57">
        <v>5.52</v>
      </c>
    </row>
    <row r="58" spans="1:2" x14ac:dyDescent="0.2">
      <c r="A58" s="1">
        <v>37865</v>
      </c>
      <c r="B58">
        <v>5.43</v>
      </c>
    </row>
    <row r="59" spans="1:2" x14ac:dyDescent="0.2">
      <c r="A59" s="1">
        <v>37895</v>
      </c>
      <c r="B59">
        <v>5.45</v>
      </c>
    </row>
    <row r="60" spans="1:2" x14ac:dyDescent="0.2">
      <c r="A60" s="1">
        <v>37926</v>
      </c>
      <c r="B60">
        <v>5.48</v>
      </c>
    </row>
    <row r="61" spans="1:2" x14ac:dyDescent="0.2">
      <c r="A61" s="1">
        <v>37956</v>
      </c>
      <c r="B61">
        <v>5.58</v>
      </c>
    </row>
    <row r="62" spans="1:2" x14ac:dyDescent="0.2">
      <c r="A62" s="1">
        <v>37987</v>
      </c>
      <c r="B62">
        <v>5.64</v>
      </c>
    </row>
    <row r="63" spans="1:2" x14ac:dyDescent="0.2">
      <c r="A63" s="1">
        <v>38018</v>
      </c>
      <c r="B63">
        <v>5.44</v>
      </c>
    </row>
    <row r="64" spans="1:2" x14ac:dyDescent="0.2">
      <c r="A64" s="1">
        <v>38047</v>
      </c>
      <c r="B64">
        <v>5.61</v>
      </c>
    </row>
    <row r="65" spans="1:2" x14ac:dyDescent="0.2">
      <c r="A65" s="1">
        <v>38078</v>
      </c>
      <c r="B65">
        <v>5.77</v>
      </c>
    </row>
    <row r="66" spans="1:2" x14ac:dyDescent="0.2">
      <c r="A66" s="1">
        <v>38108</v>
      </c>
      <c r="B66">
        <v>5.78</v>
      </c>
    </row>
    <row r="67" spans="1:2" x14ac:dyDescent="0.2">
      <c r="A67" s="1">
        <v>38139</v>
      </c>
      <c r="B67">
        <v>5.92</v>
      </c>
    </row>
    <row r="68" spans="1:2" x14ac:dyDescent="0.2">
      <c r="A68" s="1">
        <v>38169</v>
      </c>
      <c r="B68">
        <v>5.97</v>
      </c>
    </row>
    <row r="69" spans="1:2" x14ac:dyDescent="0.2">
      <c r="A69" s="1">
        <v>38200</v>
      </c>
      <c r="B69">
        <v>6.22</v>
      </c>
    </row>
    <row r="70" spans="1:2" x14ac:dyDescent="0.2">
      <c r="A70" s="1">
        <v>38231</v>
      </c>
      <c r="B70">
        <v>6.34</v>
      </c>
    </row>
    <row r="71" spans="1:2" x14ac:dyDescent="0.2">
      <c r="A71" s="1">
        <v>38261</v>
      </c>
      <c r="B71">
        <v>6.4</v>
      </c>
    </row>
    <row r="72" spans="1:2" x14ac:dyDescent="0.2">
      <c r="A72" s="1">
        <v>38292</v>
      </c>
      <c r="B72">
        <v>6.25</v>
      </c>
    </row>
    <row r="73" spans="1:2" x14ac:dyDescent="0.2">
      <c r="A73" s="1">
        <v>38322</v>
      </c>
      <c r="B73">
        <v>6.24</v>
      </c>
    </row>
    <row r="74" spans="1:2" x14ac:dyDescent="0.2">
      <c r="A74" s="1">
        <v>38353</v>
      </c>
      <c r="B74">
        <v>6.28</v>
      </c>
    </row>
    <row r="75" spans="1:2" x14ac:dyDescent="0.2">
      <c r="A75" s="1">
        <v>38384</v>
      </c>
      <c r="B75">
        <v>6.26</v>
      </c>
    </row>
    <row r="76" spans="1:2" x14ac:dyDescent="0.2">
      <c r="A76" s="1">
        <v>38412</v>
      </c>
      <c r="B76">
        <v>6.2</v>
      </c>
    </row>
    <row r="77" spans="1:2" x14ac:dyDescent="0.2">
      <c r="A77" s="1">
        <v>38443</v>
      </c>
      <c r="B77">
        <v>6.27</v>
      </c>
    </row>
    <row r="78" spans="1:2" x14ac:dyDescent="0.2">
      <c r="A78" s="1">
        <v>38473</v>
      </c>
      <c r="B78">
        <v>6.29</v>
      </c>
    </row>
    <row r="79" spans="1:2" x14ac:dyDescent="0.2">
      <c r="A79" s="1">
        <v>38504</v>
      </c>
      <c r="B79">
        <v>6.28</v>
      </c>
    </row>
    <row r="80" spans="1:2" x14ac:dyDescent="0.2">
      <c r="A80" s="1">
        <v>38534</v>
      </c>
      <c r="B80">
        <v>6.24</v>
      </c>
    </row>
    <row r="81" spans="1:2" x14ac:dyDescent="0.2">
      <c r="A81" s="1">
        <v>38565</v>
      </c>
      <c r="B81">
        <v>6.18</v>
      </c>
    </row>
    <row r="82" spans="1:2" x14ac:dyDescent="0.2">
      <c r="A82" s="1">
        <v>38596</v>
      </c>
      <c r="B82">
        <v>6.07</v>
      </c>
    </row>
    <row r="83" spans="1:2" x14ac:dyDescent="0.2">
      <c r="A83" s="1">
        <v>38626</v>
      </c>
      <c r="B83">
        <v>6.01</v>
      </c>
    </row>
    <row r="84" spans="1:2" x14ac:dyDescent="0.2">
      <c r="A84" s="1">
        <v>38657</v>
      </c>
      <c r="B84">
        <v>5.96</v>
      </c>
    </row>
    <row r="85" spans="1:2" x14ac:dyDescent="0.2">
      <c r="A85" s="1">
        <v>38687</v>
      </c>
      <c r="B85">
        <v>5.96</v>
      </c>
    </row>
    <row r="86" spans="1:2" x14ac:dyDescent="0.2">
      <c r="A86" s="1">
        <v>38718</v>
      </c>
      <c r="B86">
        <v>6.1</v>
      </c>
    </row>
    <row r="87" spans="1:2" x14ac:dyDescent="0.2">
      <c r="A87" s="1">
        <v>38749</v>
      </c>
      <c r="B87">
        <v>6.11</v>
      </c>
    </row>
    <row r="88" spans="1:2" x14ac:dyDescent="0.2">
      <c r="A88" s="1">
        <v>38777</v>
      </c>
      <c r="B88">
        <v>6.09</v>
      </c>
    </row>
    <row r="89" spans="1:2" x14ac:dyDescent="0.2">
      <c r="A89" s="1">
        <v>38808</v>
      </c>
      <c r="B89">
        <v>6.06</v>
      </c>
    </row>
    <row r="90" spans="1:2" x14ac:dyDescent="0.2">
      <c r="A90" s="1">
        <v>38838</v>
      </c>
      <c r="B90">
        <v>6.08</v>
      </c>
    </row>
    <row r="91" spans="1:2" x14ac:dyDescent="0.2">
      <c r="A91" s="1">
        <v>38869</v>
      </c>
      <c r="B91">
        <v>6.09</v>
      </c>
    </row>
    <row r="92" spans="1:2" x14ac:dyDescent="0.2">
      <c r="A92" s="1">
        <v>38899</v>
      </c>
      <c r="B92">
        <v>6.09</v>
      </c>
    </row>
    <row r="93" spans="1:2" x14ac:dyDescent="0.2">
      <c r="A93" s="1">
        <v>38930</v>
      </c>
      <c r="B93">
        <v>6.14</v>
      </c>
    </row>
    <row r="94" spans="1:2" x14ac:dyDescent="0.2">
      <c r="A94" s="1">
        <v>38961</v>
      </c>
      <c r="B94">
        <v>6.26</v>
      </c>
    </row>
    <row r="95" spans="1:2" x14ac:dyDescent="0.2">
      <c r="A95" s="1">
        <v>38991</v>
      </c>
      <c r="B95">
        <v>6.29</v>
      </c>
    </row>
    <row r="96" spans="1:2" x14ac:dyDescent="0.2">
      <c r="A96" s="1">
        <v>39022</v>
      </c>
      <c r="B96">
        <v>6.35</v>
      </c>
    </row>
    <row r="97" spans="1:2" x14ac:dyDescent="0.2">
      <c r="A97" s="1">
        <v>39052</v>
      </c>
      <c r="B97">
        <v>6.48</v>
      </c>
    </row>
    <row r="98" spans="1:2" x14ac:dyDescent="0.2">
      <c r="A98" s="1">
        <v>39083</v>
      </c>
      <c r="B98">
        <v>6.55</v>
      </c>
    </row>
    <row r="99" spans="1:2" x14ac:dyDescent="0.2">
      <c r="A99" s="1">
        <v>39114</v>
      </c>
      <c r="B99">
        <v>6.6</v>
      </c>
    </row>
    <row r="100" spans="1:2" x14ac:dyDescent="0.2">
      <c r="A100" s="1">
        <v>39142</v>
      </c>
      <c r="B100">
        <v>6.7</v>
      </c>
    </row>
    <row r="101" spans="1:2" x14ac:dyDescent="0.2">
      <c r="A101" s="1">
        <v>39173</v>
      </c>
      <c r="B101">
        <v>6.68</v>
      </c>
    </row>
    <row r="102" spans="1:2" x14ac:dyDescent="0.2">
      <c r="A102" s="1">
        <v>39203</v>
      </c>
      <c r="B102">
        <v>6.8</v>
      </c>
    </row>
    <row r="103" spans="1:2" x14ac:dyDescent="0.2">
      <c r="A103" s="1">
        <v>39234</v>
      </c>
      <c r="B103">
        <v>6.83</v>
      </c>
    </row>
    <row r="104" spans="1:2" x14ac:dyDescent="0.2">
      <c r="A104" s="1">
        <v>39264</v>
      </c>
      <c r="B104">
        <v>6.88</v>
      </c>
    </row>
    <row r="105" spans="1:2" x14ac:dyDescent="0.2">
      <c r="A105" s="1">
        <v>39295</v>
      </c>
      <c r="B105">
        <v>7.08</v>
      </c>
    </row>
    <row r="106" spans="1:2" x14ac:dyDescent="0.2">
      <c r="A106" s="1">
        <v>39326</v>
      </c>
      <c r="B106">
        <v>7.15</v>
      </c>
    </row>
    <row r="107" spans="1:2" x14ac:dyDescent="0.2">
      <c r="A107" s="1">
        <v>39356</v>
      </c>
      <c r="B107">
        <v>7.31</v>
      </c>
    </row>
    <row r="108" spans="1:2" x14ac:dyDescent="0.2">
      <c r="A108" s="1">
        <v>39387</v>
      </c>
      <c r="B108">
        <v>7.29</v>
      </c>
    </row>
    <row r="109" spans="1:2" x14ac:dyDescent="0.2">
      <c r="A109" s="1">
        <v>39417</v>
      </c>
      <c r="B109">
        <v>7.29</v>
      </c>
    </row>
    <row r="110" spans="1:2" x14ac:dyDescent="0.2">
      <c r="A110" s="1">
        <v>39448</v>
      </c>
      <c r="B110">
        <v>7.25</v>
      </c>
    </row>
    <row r="111" spans="1:2" x14ac:dyDescent="0.2">
      <c r="A111" s="1">
        <v>39479</v>
      </c>
      <c r="B111">
        <v>7.15</v>
      </c>
    </row>
    <row r="112" spans="1:2" x14ac:dyDescent="0.2">
      <c r="A112" s="1">
        <v>39508</v>
      </c>
      <c r="B112">
        <v>6.95</v>
      </c>
    </row>
    <row r="113" spans="1:2" x14ac:dyDescent="0.2">
      <c r="A113" s="1">
        <v>39539</v>
      </c>
      <c r="B113">
        <v>6.93</v>
      </c>
    </row>
    <row r="114" spans="1:2" x14ac:dyDescent="0.2">
      <c r="A114" s="1">
        <v>39569</v>
      </c>
      <c r="B114">
        <v>6.9</v>
      </c>
    </row>
    <row r="115" spans="1:2" x14ac:dyDescent="0.2">
      <c r="A115" s="1">
        <v>39600</v>
      </c>
      <c r="B115">
        <v>6.86</v>
      </c>
    </row>
    <row r="116" spans="1:2" x14ac:dyDescent="0.2">
      <c r="A116" s="1">
        <v>39630</v>
      </c>
      <c r="B116">
        <v>6.85</v>
      </c>
    </row>
    <row r="117" spans="1:2" x14ac:dyDescent="0.2">
      <c r="A117" s="1">
        <v>39661</v>
      </c>
      <c r="B117">
        <v>6.81</v>
      </c>
    </row>
    <row r="118" spans="1:2" x14ac:dyDescent="0.2">
      <c r="A118" s="1">
        <v>39692</v>
      </c>
      <c r="B118">
        <v>6.8</v>
      </c>
    </row>
    <row r="119" spans="1:2" x14ac:dyDescent="0.2">
      <c r="A119" s="1">
        <v>39722</v>
      </c>
      <c r="B119">
        <v>6.84</v>
      </c>
    </row>
    <row r="120" spans="1:2" x14ac:dyDescent="0.2">
      <c r="A120" s="1">
        <v>39753</v>
      </c>
      <c r="B120">
        <v>6.89</v>
      </c>
    </row>
    <row r="121" spans="1:2" x14ac:dyDescent="0.2">
      <c r="A121" s="1">
        <v>39783</v>
      </c>
      <c r="B121">
        <v>6.14</v>
      </c>
    </row>
    <row r="122" spans="1:2" x14ac:dyDescent="0.2">
      <c r="A122" s="1">
        <v>39814</v>
      </c>
      <c r="B122">
        <v>5.17</v>
      </c>
    </row>
    <row r="123" spans="1:2" x14ac:dyDescent="0.2">
      <c r="A123" s="1">
        <v>39845</v>
      </c>
      <c r="B123">
        <v>4.41</v>
      </c>
    </row>
    <row r="124" spans="1:2" x14ac:dyDescent="0.2">
      <c r="A124" s="1">
        <v>39873</v>
      </c>
      <c r="B124">
        <v>3.68</v>
      </c>
    </row>
    <row r="125" spans="1:2" x14ac:dyDescent="0.2">
      <c r="A125" s="1">
        <v>39904</v>
      </c>
      <c r="B125">
        <v>3.36</v>
      </c>
    </row>
    <row r="126" spans="1:2" x14ac:dyDescent="0.2">
      <c r="A126" s="1">
        <v>39934</v>
      </c>
      <c r="B126">
        <v>3.09</v>
      </c>
    </row>
    <row r="127" spans="1:2" x14ac:dyDescent="0.2">
      <c r="A127" s="1">
        <v>39965</v>
      </c>
      <c r="B127">
        <v>2.98</v>
      </c>
    </row>
    <row r="128" spans="1:2" x14ac:dyDescent="0.2">
      <c r="A128" s="1">
        <v>39995</v>
      </c>
      <c r="B128">
        <v>2.91</v>
      </c>
    </row>
    <row r="129" spans="1:2" x14ac:dyDescent="0.2">
      <c r="A129" s="1">
        <v>40026</v>
      </c>
      <c r="B129">
        <v>2.8</v>
      </c>
    </row>
    <row r="130" spans="1:2" x14ac:dyDescent="0.2">
      <c r="A130" s="1">
        <v>40057</v>
      </c>
      <c r="B130">
        <v>2.78</v>
      </c>
    </row>
    <row r="131" spans="1:2" x14ac:dyDescent="0.2">
      <c r="A131" s="1">
        <v>40087</v>
      </c>
      <c r="B131">
        <v>2.75</v>
      </c>
    </row>
    <row r="132" spans="1:2" x14ac:dyDescent="0.2">
      <c r="A132" s="1">
        <v>40118</v>
      </c>
      <c r="B132">
        <v>2.68</v>
      </c>
    </row>
    <row r="133" spans="1:2" x14ac:dyDescent="0.2">
      <c r="A133" s="1">
        <v>40148</v>
      </c>
      <c r="B133">
        <v>2.64</v>
      </c>
    </row>
    <row r="134" spans="1:2" x14ac:dyDescent="0.2">
      <c r="A134" s="1">
        <v>40179</v>
      </c>
      <c r="B134">
        <v>2.65</v>
      </c>
    </row>
    <row r="135" spans="1:2" x14ac:dyDescent="0.2">
      <c r="A135" s="1">
        <v>40210</v>
      </c>
      <c r="B135">
        <v>2.77</v>
      </c>
    </row>
    <row r="136" spans="1:2" x14ac:dyDescent="0.2">
      <c r="A136" s="1">
        <v>40238</v>
      </c>
      <c r="B136">
        <v>2.78</v>
      </c>
    </row>
    <row r="137" spans="1:2" x14ac:dyDescent="0.2">
      <c r="A137" s="1">
        <v>40269</v>
      </c>
      <c r="B137">
        <v>2.81</v>
      </c>
    </row>
    <row r="138" spans="1:2" x14ac:dyDescent="0.2">
      <c r="A138" s="1">
        <v>40299</v>
      </c>
      <c r="B138">
        <v>2.86</v>
      </c>
    </row>
    <row r="139" spans="1:2" x14ac:dyDescent="0.2">
      <c r="A139" s="1">
        <v>40330</v>
      </c>
      <c r="B139">
        <v>2.85</v>
      </c>
    </row>
    <row r="140" spans="1:2" x14ac:dyDescent="0.2">
      <c r="A140" s="1">
        <v>40360</v>
      </c>
      <c r="B140">
        <v>2.88</v>
      </c>
    </row>
    <row r="141" spans="1:2" x14ac:dyDescent="0.2">
      <c r="A141" s="1">
        <v>40391</v>
      </c>
      <c r="B141">
        <v>2.88</v>
      </c>
    </row>
    <row r="142" spans="1:2" x14ac:dyDescent="0.2">
      <c r="A142" s="1">
        <v>40422</v>
      </c>
      <c r="B142">
        <v>2.88</v>
      </c>
    </row>
    <row r="143" spans="1:2" x14ac:dyDescent="0.2">
      <c r="A143" s="1">
        <v>40452</v>
      </c>
      <c r="B143">
        <v>2.9</v>
      </c>
    </row>
    <row r="144" spans="1:2" x14ac:dyDescent="0.2">
      <c r="A144" s="1">
        <v>40483</v>
      </c>
      <c r="B144">
        <v>2.9</v>
      </c>
    </row>
    <row r="145" spans="1:2" x14ac:dyDescent="0.2">
      <c r="A145" s="1">
        <v>40513</v>
      </c>
      <c r="B145">
        <v>2.9</v>
      </c>
    </row>
    <row r="146" spans="1:2" x14ac:dyDescent="0.2">
      <c r="A146" s="1">
        <v>40544</v>
      </c>
      <c r="B146">
        <v>2.91</v>
      </c>
    </row>
    <row r="147" spans="1:2" x14ac:dyDescent="0.2">
      <c r="A147" s="1">
        <v>40575</v>
      </c>
      <c r="B147">
        <v>2.9</v>
      </c>
    </row>
    <row r="148" spans="1:2" x14ac:dyDescent="0.2">
      <c r="A148" s="1">
        <v>40603</v>
      </c>
      <c r="B148">
        <v>2.92</v>
      </c>
    </row>
    <row r="149" spans="1:2" x14ac:dyDescent="0.2">
      <c r="A149" s="1">
        <v>40634</v>
      </c>
      <c r="B149">
        <v>2.93</v>
      </c>
    </row>
    <row r="150" spans="1:2" x14ac:dyDescent="0.2">
      <c r="A150" s="1">
        <v>40664</v>
      </c>
      <c r="B150">
        <v>2.92</v>
      </c>
    </row>
    <row r="151" spans="1:2" x14ac:dyDescent="0.2">
      <c r="A151" s="1">
        <v>40695</v>
      </c>
      <c r="B151">
        <v>2.97</v>
      </c>
    </row>
    <row r="152" spans="1:2" x14ac:dyDescent="0.2">
      <c r="A152" s="1">
        <v>40725</v>
      </c>
      <c r="B152">
        <v>2.96</v>
      </c>
    </row>
    <row r="153" spans="1:2" x14ac:dyDescent="0.2">
      <c r="A153" s="1">
        <v>40756</v>
      </c>
      <c r="B153">
        <v>2.98</v>
      </c>
    </row>
    <row r="154" spans="1:2" x14ac:dyDescent="0.2">
      <c r="A154" s="1">
        <v>40787</v>
      </c>
      <c r="B154">
        <v>3.01</v>
      </c>
    </row>
    <row r="155" spans="1:2" x14ac:dyDescent="0.2">
      <c r="A155" s="1">
        <v>40817</v>
      </c>
      <c r="B155">
        <v>3</v>
      </c>
    </row>
    <row r="156" spans="1:2" x14ac:dyDescent="0.2">
      <c r="A156" s="1">
        <v>40848</v>
      </c>
      <c r="B156">
        <v>3.03</v>
      </c>
    </row>
    <row r="157" spans="1:2" x14ac:dyDescent="0.2">
      <c r="A157" s="1">
        <v>40878</v>
      </c>
      <c r="B157">
        <v>3.05</v>
      </c>
    </row>
    <row r="158" spans="1:2" x14ac:dyDescent="0.2">
      <c r="A158" s="1">
        <v>40909</v>
      </c>
      <c r="B158">
        <v>3.07</v>
      </c>
    </row>
    <row r="159" spans="1:2" x14ac:dyDescent="0.2">
      <c r="A159" s="1">
        <v>40940</v>
      </c>
      <c r="B159">
        <v>3.22</v>
      </c>
    </row>
    <row r="160" spans="1:2" x14ac:dyDescent="0.2">
      <c r="A160" s="1">
        <v>40969</v>
      </c>
      <c r="B160">
        <v>3.25</v>
      </c>
    </row>
    <row r="161" spans="1:2" x14ac:dyDescent="0.2">
      <c r="A161" s="1">
        <v>41000</v>
      </c>
      <c r="B161">
        <v>3.24</v>
      </c>
    </row>
    <row r="162" spans="1:2" x14ac:dyDescent="0.2">
      <c r="A162" s="1">
        <v>41030</v>
      </c>
      <c r="B162">
        <v>3.24</v>
      </c>
    </row>
    <row r="163" spans="1:2" x14ac:dyDescent="0.2">
      <c r="A163" s="1">
        <v>41061</v>
      </c>
      <c r="B163">
        <v>3.23</v>
      </c>
    </row>
    <row r="164" spans="1:2" x14ac:dyDescent="0.2">
      <c r="A164" s="1">
        <v>41091</v>
      </c>
      <c r="B164">
        <v>3.24</v>
      </c>
    </row>
    <row r="165" spans="1:2" x14ac:dyDescent="0.2">
      <c r="A165" s="1">
        <v>41122</v>
      </c>
      <c r="B165">
        <v>3.21</v>
      </c>
    </row>
    <row r="166" spans="1:2" x14ac:dyDescent="0.2">
      <c r="A166" s="1">
        <v>41153</v>
      </c>
      <c r="B166">
        <v>3.18</v>
      </c>
    </row>
    <row r="167" spans="1:2" x14ac:dyDescent="0.2">
      <c r="A167" s="1">
        <v>41183</v>
      </c>
      <c r="B167">
        <v>3.15</v>
      </c>
    </row>
    <row r="168" spans="1:2" x14ac:dyDescent="0.2">
      <c r="A168" s="1">
        <v>41214</v>
      </c>
      <c r="B168">
        <v>3.09</v>
      </c>
    </row>
    <row r="169" spans="1:2" x14ac:dyDescent="0.2">
      <c r="A169" s="1">
        <v>41244</v>
      </c>
      <c r="B169">
        <v>3.09</v>
      </c>
    </row>
    <row r="170" spans="1:2" x14ac:dyDescent="0.2">
      <c r="A170" s="1">
        <v>41275</v>
      </c>
      <c r="B170">
        <v>3.08</v>
      </c>
    </row>
    <row r="171" spans="1:2" x14ac:dyDescent="0.2">
      <c r="A171" s="1">
        <v>41306</v>
      </c>
      <c r="B171">
        <v>3.12</v>
      </c>
    </row>
    <row r="172" spans="1:2" x14ac:dyDescent="0.2">
      <c r="A172" s="1">
        <v>41334</v>
      </c>
      <c r="B172">
        <v>3.09</v>
      </c>
    </row>
    <row r="173" spans="1:2" x14ac:dyDescent="0.2">
      <c r="A173" s="1">
        <v>41365</v>
      </c>
      <c r="B173">
        <v>3.1</v>
      </c>
    </row>
    <row r="174" spans="1:2" x14ac:dyDescent="0.2">
      <c r="A174" s="1">
        <v>41395</v>
      </c>
      <c r="B174">
        <v>3.12</v>
      </c>
    </row>
    <row r="175" spans="1:2" x14ac:dyDescent="0.2">
      <c r="A175" s="1">
        <v>41426</v>
      </c>
      <c r="B175">
        <v>3.11</v>
      </c>
    </row>
    <row r="176" spans="1:2" x14ac:dyDescent="0.2">
      <c r="A176" s="1">
        <v>41456</v>
      </c>
      <c r="B176">
        <v>3.1</v>
      </c>
    </row>
    <row r="177" spans="1:2" x14ac:dyDescent="0.2">
      <c r="A177" s="1">
        <v>41487</v>
      </c>
      <c r="B177">
        <v>3.11</v>
      </c>
    </row>
    <row r="178" spans="1:2" x14ac:dyDescent="0.2">
      <c r="A178" s="1">
        <v>41518</v>
      </c>
      <c r="B178">
        <v>3.12</v>
      </c>
    </row>
    <row r="179" spans="1:2" x14ac:dyDescent="0.2">
      <c r="A179" s="1">
        <v>41548</v>
      </c>
      <c r="B179">
        <v>3.13</v>
      </c>
    </row>
    <row r="180" spans="1:2" x14ac:dyDescent="0.2">
      <c r="A180" s="1">
        <v>41579</v>
      </c>
      <c r="B180">
        <v>3.12</v>
      </c>
    </row>
    <row r="181" spans="1:2" x14ac:dyDescent="0.2">
      <c r="A181" s="1">
        <v>41609</v>
      </c>
      <c r="B181">
        <v>3.12</v>
      </c>
    </row>
    <row r="182" spans="1:2" x14ac:dyDescent="0.2">
      <c r="A182" s="1">
        <v>41640</v>
      </c>
      <c r="B182">
        <v>3.1</v>
      </c>
    </row>
    <row r="183" spans="1:2" x14ac:dyDescent="0.2">
      <c r="A183" s="1">
        <v>41671</v>
      </c>
      <c r="B183">
        <v>3.11</v>
      </c>
    </row>
    <row r="184" spans="1:2" x14ac:dyDescent="0.2">
      <c r="A184" s="1">
        <v>41699</v>
      </c>
      <c r="B184">
        <v>3.11</v>
      </c>
    </row>
    <row r="185" spans="1:2" x14ac:dyDescent="0.2">
      <c r="A185" s="1">
        <v>41730</v>
      </c>
      <c r="B185">
        <v>3.1</v>
      </c>
    </row>
    <row r="186" spans="1:2" x14ac:dyDescent="0.2">
      <c r="A186" s="1">
        <v>41760</v>
      </c>
      <c r="B186">
        <v>3.13</v>
      </c>
    </row>
    <row r="187" spans="1:2" x14ac:dyDescent="0.2">
      <c r="A187" s="1">
        <v>41791</v>
      </c>
      <c r="B187">
        <v>3.15</v>
      </c>
    </row>
    <row r="188" spans="1:2" x14ac:dyDescent="0.2">
      <c r="A188" s="1">
        <v>41821</v>
      </c>
      <c r="B188">
        <v>3.13</v>
      </c>
    </row>
    <row r="189" spans="1:2" x14ac:dyDescent="0.2">
      <c r="A189" s="1">
        <v>41852</v>
      </c>
      <c r="B189">
        <v>3.14</v>
      </c>
    </row>
    <row r="190" spans="1:2" x14ac:dyDescent="0.2">
      <c r="A190" s="1">
        <v>41883</v>
      </c>
      <c r="B190">
        <v>3.14</v>
      </c>
    </row>
    <row r="191" spans="1:2" x14ac:dyDescent="0.2">
      <c r="A191" s="1">
        <v>41913</v>
      </c>
      <c r="B191">
        <v>3.15</v>
      </c>
    </row>
    <row r="192" spans="1:2" x14ac:dyDescent="0.2">
      <c r="A192" s="1">
        <v>41944</v>
      </c>
      <c r="B192">
        <v>3.15</v>
      </c>
    </row>
    <row r="193" spans="1:2" x14ac:dyDescent="0.2">
      <c r="A193" s="1">
        <v>41974</v>
      </c>
      <c r="B193">
        <v>3.14</v>
      </c>
    </row>
    <row r="194" spans="1:2" x14ac:dyDescent="0.2">
      <c r="A194" s="1">
        <v>42005</v>
      </c>
      <c r="B194">
        <v>3.15</v>
      </c>
    </row>
    <row r="195" spans="1:2" x14ac:dyDescent="0.2">
      <c r="A195" s="1">
        <v>42036</v>
      </c>
      <c r="B195">
        <v>3.16</v>
      </c>
    </row>
    <row r="196" spans="1:2" x14ac:dyDescent="0.2">
      <c r="A196" s="1">
        <v>42064</v>
      </c>
      <c r="B196">
        <v>3.15</v>
      </c>
    </row>
    <row r="197" spans="1:2" x14ac:dyDescent="0.2">
      <c r="A197" s="1">
        <v>42095</v>
      </c>
      <c r="B197">
        <v>3.15</v>
      </c>
    </row>
    <row r="198" spans="1:2" x14ac:dyDescent="0.2">
      <c r="A198" s="1">
        <v>42125</v>
      </c>
      <c r="B198">
        <v>3.13</v>
      </c>
    </row>
    <row r="199" spans="1:2" x14ac:dyDescent="0.2">
      <c r="A199" s="1">
        <v>42156</v>
      </c>
      <c r="B199">
        <v>3.14</v>
      </c>
    </row>
    <row r="200" spans="1:2" x14ac:dyDescent="0.2">
      <c r="A200" s="1">
        <v>42186</v>
      </c>
      <c r="B200">
        <v>3.14</v>
      </c>
    </row>
    <row r="201" spans="1:2" x14ac:dyDescent="0.2">
      <c r="A201" s="1">
        <v>42217</v>
      </c>
      <c r="B201">
        <v>3.13</v>
      </c>
    </row>
    <row r="202" spans="1:2" x14ac:dyDescent="0.2">
      <c r="A202" s="1">
        <v>42248</v>
      </c>
      <c r="B202">
        <v>3.14</v>
      </c>
    </row>
    <row r="203" spans="1:2" x14ac:dyDescent="0.2">
      <c r="A203" s="1">
        <v>42278</v>
      </c>
      <c r="B203">
        <v>3.12</v>
      </c>
    </row>
    <row r="204" spans="1:2" x14ac:dyDescent="0.2">
      <c r="A204" s="1">
        <v>42309</v>
      </c>
      <c r="B204">
        <v>3.12</v>
      </c>
    </row>
    <row r="205" spans="1:2" x14ac:dyDescent="0.2">
      <c r="A205" s="1">
        <v>42339</v>
      </c>
      <c r="B205">
        <v>3.12</v>
      </c>
    </row>
    <row r="206" spans="1:2" x14ac:dyDescent="0.2">
      <c r="A206" s="1">
        <v>42370</v>
      </c>
      <c r="B206">
        <v>3.13</v>
      </c>
    </row>
    <row r="207" spans="1:2" x14ac:dyDescent="0.2">
      <c r="A207" s="1">
        <v>42401</v>
      </c>
      <c r="B207">
        <v>3.16</v>
      </c>
    </row>
    <row r="208" spans="1:2" x14ac:dyDescent="0.2">
      <c r="A208" s="1">
        <v>42430</v>
      </c>
      <c r="B208">
        <v>3.15</v>
      </c>
    </row>
    <row r="209" spans="1:2" x14ac:dyDescent="0.2">
      <c r="A209" s="1">
        <v>42461</v>
      </c>
      <c r="B209">
        <v>3.13</v>
      </c>
    </row>
    <row r="210" spans="1:2" x14ac:dyDescent="0.2">
      <c r="A210" s="1">
        <v>42491</v>
      </c>
      <c r="B210">
        <v>3.13</v>
      </c>
    </row>
    <row r="211" spans="1:2" x14ac:dyDescent="0.2">
      <c r="A211" s="1">
        <v>42522</v>
      </c>
      <c r="B211">
        <v>3.13</v>
      </c>
    </row>
    <row r="212" spans="1:2" x14ac:dyDescent="0.2">
      <c r="A212" s="1">
        <v>42552</v>
      </c>
      <c r="B212">
        <v>3.14</v>
      </c>
    </row>
    <row r="213" spans="1:2" x14ac:dyDescent="0.2">
      <c r="A213" s="1">
        <v>42583</v>
      </c>
      <c r="B213">
        <v>3.13</v>
      </c>
    </row>
    <row r="214" spans="1:2" x14ac:dyDescent="0.2">
      <c r="A214" s="1">
        <v>42614</v>
      </c>
      <c r="B214">
        <v>3.03</v>
      </c>
    </row>
    <row r="215" spans="1:2" x14ac:dyDescent="0.2">
      <c r="A215" s="1">
        <v>42644</v>
      </c>
      <c r="B215">
        <v>2.99</v>
      </c>
    </row>
    <row r="216" spans="1:2" x14ac:dyDescent="0.2">
      <c r="A216" s="1">
        <v>42675</v>
      </c>
      <c r="B216">
        <v>2.96</v>
      </c>
    </row>
    <row r="217" spans="1:2" x14ac:dyDescent="0.2">
      <c r="A217" s="1">
        <v>42705</v>
      </c>
      <c r="B217">
        <v>2.96</v>
      </c>
    </row>
    <row r="218" spans="1:2" x14ac:dyDescent="0.2">
      <c r="A218" s="1">
        <v>42736</v>
      </c>
      <c r="B218">
        <v>2.94</v>
      </c>
    </row>
    <row r="219" spans="1:2" x14ac:dyDescent="0.2">
      <c r="A219" s="1">
        <v>42767</v>
      </c>
      <c r="B219">
        <v>2.93</v>
      </c>
    </row>
    <row r="220" spans="1:2" x14ac:dyDescent="0.2">
      <c r="A220" s="1">
        <v>42795</v>
      </c>
      <c r="B220">
        <v>2.94</v>
      </c>
    </row>
    <row r="221" spans="1:2" x14ac:dyDescent="0.2">
      <c r="A221" s="1">
        <v>42826</v>
      </c>
      <c r="B221">
        <v>2.92</v>
      </c>
    </row>
    <row r="222" spans="1:2" x14ac:dyDescent="0.2">
      <c r="A222" s="1">
        <v>42856</v>
      </c>
      <c r="B222">
        <v>2.9</v>
      </c>
    </row>
    <row r="223" spans="1:2" x14ac:dyDescent="0.2">
      <c r="A223" s="1">
        <v>42887</v>
      </c>
      <c r="B223">
        <v>2.89</v>
      </c>
    </row>
    <row r="224" spans="1:2" x14ac:dyDescent="0.2">
      <c r="A224" s="1">
        <v>42917</v>
      </c>
      <c r="B224">
        <v>2.87</v>
      </c>
    </row>
    <row r="225" spans="1:2" x14ac:dyDescent="0.2">
      <c r="A225" s="1">
        <v>42948</v>
      </c>
      <c r="B225">
        <v>2.78</v>
      </c>
    </row>
    <row r="226" spans="1:2" x14ac:dyDescent="0.2">
      <c r="A226" s="1">
        <v>42979</v>
      </c>
      <c r="B226">
        <v>2.79</v>
      </c>
    </row>
    <row r="227" spans="1:2" x14ac:dyDescent="0.2">
      <c r="A227" s="1">
        <v>43009</v>
      </c>
      <c r="B227">
        <v>2.81</v>
      </c>
    </row>
    <row r="228" spans="1:2" x14ac:dyDescent="0.2">
      <c r="A228" s="1">
        <v>43040</v>
      </c>
      <c r="B228">
        <v>2.82</v>
      </c>
    </row>
    <row r="229" spans="1:2" x14ac:dyDescent="0.2">
      <c r="A229" s="1">
        <v>43070</v>
      </c>
      <c r="B229">
        <v>2.91</v>
      </c>
    </row>
    <row r="230" spans="1:2" x14ac:dyDescent="0.2">
      <c r="A230" s="1">
        <v>43101</v>
      </c>
      <c r="B230">
        <v>2.96</v>
      </c>
    </row>
    <row r="231" spans="1:2" x14ac:dyDescent="0.2">
      <c r="A231" s="1">
        <v>43132</v>
      </c>
      <c r="B231">
        <v>3.05</v>
      </c>
    </row>
    <row r="232" spans="1:2" x14ac:dyDescent="0.2">
      <c r="A232" s="1">
        <v>43160</v>
      </c>
      <c r="B232">
        <v>3.06</v>
      </c>
    </row>
    <row r="233" spans="1:2" x14ac:dyDescent="0.2">
      <c r="A233" s="1">
        <v>43191</v>
      </c>
      <c r="B233">
        <v>3.09</v>
      </c>
    </row>
    <row r="234" spans="1:2" x14ac:dyDescent="0.2">
      <c r="A234" s="1">
        <v>43221</v>
      </c>
      <c r="B234">
        <v>3.18</v>
      </c>
    </row>
    <row r="235" spans="1:2" x14ac:dyDescent="0.2">
      <c r="A235" s="1">
        <v>43252</v>
      </c>
      <c r="B235">
        <v>3.19</v>
      </c>
    </row>
    <row r="236" spans="1:2" x14ac:dyDescent="0.2">
      <c r="A236" s="1">
        <v>43282</v>
      </c>
      <c r="B236">
        <v>3.22</v>
      </c>
    </row>
    <row r="237" spans="1:2" x14ac:dyDescent="0.2">
      <c r="A237" s="1">
        <v>43313</v>
      </c>
      <c r="B237">
        <v>3.2</v>
      </c>
    </row>
    <row r="238" spans="1:2" x14ac:dyDescent="0.2">
      <c r="A238" s="1">
        <v>43344</v>
      </c>
      <c r="B238">
        <v>3.26</v>
      </c>
    </row>
    <row r="239" spans="1:2" x14ac:dyDescent="0.2">
      <c r="A239" s="1">
        <v>43374</v>
      </c>
      <c r="B239">
        <v>3.3</v>
      </c>
    </row>
    <row r="240" spans="1:2" x14ac:dyDescent="0.2">
      <c r="A240" s="1">
        <v>43405</v>
      </c>
      <c r="B240">
        <v>3.3</v>
      </c>
    </row>
    <row r="241" spans="1:2" x14ac:dyDescent="0.2">
      <c r="A241" s="1">
        <v>43435</v>
      </c>
      <c r="B241">
        <v>3.27</v>
      </c>
    </row>
    <row r="242" spans="1:2" x14ac:dyDescent="0.2">
      <c r="A242" s="1">
        <v>43466</v>
      </c>
      <c r="B242">
        <v>3.31</v>
      </c>
    </row>
    <row r="243" spans="1:2" x14ac:dyDescent="0.2">
      <c r="A243" s="1">
        <v>43497</v>
      </c>
      <c r="B243">
        <v>3.35</v>
      </c>
    </row>
    <row r="244" spans="1:2" x14ac:dyDescent="0.2">
      <c r="A244" s="1">
        <v>43525</v>
      </c>
      <c r="B244">
        <v>3.34</v>
      </c>
    </row>
    <row r="245" spans="1:2" x14ac:dyDescent="0.2">
      <c r="A245" s="1">
        <v>43556</v>
      </c>
      <c r="B245">
        <v>3.34</v>
      </c>
    </row>
    <row r="246" spans="1:2" x14ac:dyDescent="0.2">
      <c r="A246" s="1">
        <v>43586</v>
      </c>
      <c r="B246">
        <v>3.34</v>
      </c>
    </row>
    <row r="247" spans="1:2" x14ac:dyDescent="0.2">
      <c r="A247" s="1">
        <v>43617</v>
      </c>
      <c r="B247">
        <v>3.32</v>
      </c>
    </row>
    <row r="248" spans="1:2" x14ac:dyDescent="0.2">
      <c r="A248" s="1">
        <v>43647</v>
      </c>
      <c r="B248">
        <v>3.31</v>
      </c>
    </row>
    <row r="249" spans="1:2" x14ac:dyDescent="0.2">
      <c r="A249" s="1">
        <v>43678</v>
      </c>
      <c r="B249">
        <v>3.3</v>
      </c>
    </row>
    <row r="250" spans="1:2" x14ac:dyDescent="0.2">
      <c r="A250" s="1">
        <v>43709</v>
      </c>
      <c r="B250">
        <v>3.27</v>
      </c>
    </row>
    <row r="251" spans="1:2" x14ac:dyDescent="0.2">
      <c r="A251" s="1">
        <v>43739</v>
      </c>
      <c r="B251">
        <v>3.27</v>
      </c>
    </row>
    <row r="252" spans="1:2" x14ac:dyDescent="0.2">
      <c r="A252" s="1">
        <v>43770</v>
      </c>
      <c r="B252">
        <v>3.26</v>
      </c>
    </row>
    <row r="253" spans="1:2" x14ac:dyDescent="0.2">
      <c r="A253" s="1">
        <v>43800</v>
      </c>
      <c r="B253">
        <v>3.24</v>
      </c>
    </row>
    <row r="254" spans="1:2" x14ac:dyDescent="0.2">
      <c r="A254" s="1">
        <v>43831</v>
      </c>
      <c r="B254">
        <v>3.28</v>
      </c>
    </row>
    <row r="255" spans="1:2" x14ac:dyDescent="0.2">
      <c r="A255" s="1">
        <v>43862</v>
      </c>
      <c r="B255">
        <v>3.29</v>
      </c>
    </row>
    <row r="256" spans="1:2" x14ac:dyDescent="0.2">
      <c r="A256" s="1">
        <v>43891</v>
      </c>
      <c r="B256">
        <v>3.3</v>
      </c>
    </row>
    <row r="257" spans="1:2" x14ac:dyDescent="0.2">
      <c r="A257" s="1">
        <v>43922</v>
      </c>
      <c r="B257">
        <v>3.21</v>
      </c>
    </row>
    <row r="258" spans="1:2" x14ac:dyDescent="0.2">
      <c r="A258" s="1">
        <v>43952</v>
      </c>
      <c r="B258">
        <v>2.98</v>
      </c>
    </row>
    <row r="259" spans="1:2" x14ac:dyDescent="0.2">
      <c r="A259" s="1">
        <v>43983</v>
      </c>
      <c r="B259">
        <v>2.86</v>
      </c>
    </row>
    <row r="260" spans="1:2" x14ac:dyDescent="0.2">
      <c r="A260" s="1">
        <v>44013</v>
      </c>
      <c r="B260">
        <v>2.79</v>
      </c>
    </row>
    <row r="261" spans="1:2" x14ac:dyDescent="0.2">
      <c r="A261" s="1">
        <v>44044</v>
      </c>
      <c r="B261">
        <v>2.66</v>
      </c>
    </row>
    <row r="262" spans="1:2" x14ac:dyDescent="0.2">
      <c r="A262" s="1">
        <v>44075</v>
      </c>
      <c r="B262">
        <v>2.5299999999999998</v>
      </c>
    </row>
    <row r="263" spans="1:2" x14ac:dyDescent="0.2">
      <c r="A263" s="1">
        <v>44105</v>
      </c>
      <c r="B263">
        <v>2.52</v>
      </c>
    </row>
    <row r="264" spans="1:2" x14ac:dyDescent="0.2">
      <c r="A264" s="1">
        <v>44136</v>
      </c>
      <c r="B264">
        <v>2.46</v>
      </c>
    </row>
    <row r="265" spans="1:2" x14ac:dyDescent="0.2">
      <c r="A265" s="1">
        <v>44166</v>
      </c>
      <c r="B265">
        <v>2.4500000000000002</v>
      </c>
    </row>
    <row r="266" spans="1:2" x14ac:dyDescent="0.2">
      <c r="A266" s="1">
        <v>44197</v>
      </c>
      <c r="B266">
        <v>2.4500000000000002</v>
      </c>
    </row>
    <row r="267" spans="1:2" x14ac:dyDescent="0.2">
      <c r="A267" s="1">
        <v>44228</v>
      </c>
      <c r="B267">
        <v>2.41</v>
      </c>
    </row>
    <row r="268" spans="1:2" x14ac:dyDescent="0.2">
      <c r="A268" s="1">
        <v>44256</v>
      </c>
      <c r="B268">
        <v>2.4300000000000002</v>
      </c>
    </row>
    <row r="269" spans="1:2" x14ac:dyDescent="0.2">
      <c r="A269" s="1">
        <v>44287</v>
      </c>
      <c r="B269">
        <v>2.44</v>
      </c>
    </row>
    <row r="270" spans="1:2" x14ac:dyDescent="0.2">
      <c r="A270" s="1">
        <v>44317</v>
      </c>
      <c r="B270">
        <v>2.42</v>
      </c>
    </row>
    <row r="271" spans="1:2" x14ac:dyDescent="0.2">
      <c r="A271" s="1">
        <v>44348</v>
      </c>
      <c r="B271">
        <v>2.5</v>
      </c>
    </row>
    <row r="272" spans="1:2" x14ac:dyDescent="0.2">
      <c r="A272" s="1">
        <v>44378</v>
      </c>
      <c r="B272">
        <v>2.5499999999999998</v>
      </c>
    </row>
    <row r="273" spans="1:2" x14ac:dyDescent="0.2">
      <c r="A273" s="1">
        <v>44409</v>
      </c>
      <c r="B273">
        <v>2.5499999999999998</v>
      </c>
    </row>
    <row r="274" spans="1:2" x14ac:dyDescent="0.2">
      <c r="A274" s="1">
        <v>44440</v>
      </c>
      <c r="B274">
        <v>2.65</v>
      </c>
    </row>
    <row r="275" spans="1:2" x14ac:dyDescent="0.2">
      <c r="A275" s="1">
        <v>44470</v>
      </c>
      <c r="B275">
        <v>2.65</v>
      </c>
    </row>
    <row r="276" spans="1:2" x14ac:dyDescent="0.2">
      <c r="A276" s="1">
        <v>44501</v>
      </c>
      <c r="B276">
        <v>2.66</v>
      </c>
    </row>
    <row r="277" spans="1:2" x14ac:dyDescent="0.2">
      <c r="A277" s="1">
        <v>44531</v>
      </c>
      <c r="B277">
        <v>2.7</v>
      </c>
    </row>
    <row r="278" spans="1:2" x14ac:dyDescent="0.2">
      <c r="A278" s="1">
        <v>44562</v>
      </c>
      <c r="B278">
        <v>2.75</v>
      </c>
    </row>
    <row r="279" spans="1:2" x14ac:dyDescent="0.2">
      <c r="A279" s="1">
        <v>44593</v>
      </c>
      <c r="B279">
        <v>2.81</v>
      </c>
    </row>
    <row r="280" spans="1:2" x14ac:dyDescent="0.2">
      <c r="A280" s="1">
        <v>44621</v>
      </c>
      <c r="B280">
        <v>2.95</v>
      </c>
    </row>
    <row r="281" spans="1:2" x14ac:dyDescent="0.2">
      <c r="A281" s="1">
        <v>44652</v>
      </c>
      <c r="B281">
        <v>3.05</v>
      </c>
    </row>
    <row r="282" spans="1:2" x14ac:dyDescent="0.2">
      <c r="A282" s="1">
        <v>44682</v>
      </c>
      <c r="B282">
        <v>3.15</v>
      </c>
    </row>
    <row r="283" spans="1:2" x14ac:dyDescent="0.2">
      <c r="A283" s="1">
        <v>44713</v>
      </c>
      <c r="B283">
        <v>3.35</v>
      </c>
    </row>
    <row r="284" spans="1:2" x14ac:dyDescent="0.2">
      <c r="A284" s="1">
        <v>44743</v>
      </c>
      <c r="B284">
        <v>3.48</v>
      </c>
    </row>
    <row r="285" spans="1:2" x14ac:dyDescent="0.2">
      <c r="A285" s="1">
        <v>44774</v>
      </c>
      <c r="B285">
        <v>3.56</v>
      </c>
    </row>
    <row r="286" spans="1:2" x14ac:dyDescent="0.2">
      <c r="A286" s="1">
        <v>44805</v>
      </c>
      <c r="B286">
        <v>3.87</v>
      </c>
    </row>
    <row r="287" spans="1:2" x14ac:dyDescent="0.2">
      <c r="A287" s="1">
        <v>44835</v>
      </c>
      <c r="B287">
        <v>4.08</v>
      </c>
    </row>
    <row r="288" spans="1:2" x14ac:dyDescent="0.2">
      <c r="A288" s="1">
        <v>44866</v>
      </c>
      <c r="B288">
        <v>4.33</v>
      </c>
    </row>
    <row r="289" spans="1:2" x14ac:dyDescent="0.2">
      <c r="A289" s="1">
        <v>44896</v>
      </c>
      <c r="B289">
        <v>4.82</v>
      </c>
    </row>
    <row r="290" spans="1:2" x14ac:dyDescent="0.2">
      <c r="A290" s="1">
        <v>44927</v>
      </c>
      <c r="B290">
        <v>5.14</v>
      </c>
    </row>
    <row r="291" spans="1:2" x14ac:dyDescent="0.2">
      <c r="A291" s="1">
        <v>44958</v>
      </c>
      <c r="B291">
        <v>5.3</v>
      </c>
    </row>
    <row r="292" spans="1:2" x14ac:dyDescent="0.2">
      <c r="A292" s="1">
        <v>44986</v>
      </c>
      <c r="B292">
        <v>5.65</v>
      </c>
    </row>
    <row r="293" spans="1:2" x14ac:dyDescent="0.2">
      <c r="A293" s="1">
        <v>45017</v>
      </c>
      <c r="B293">
        <v>5.79</v>
      </c>
    </row>
    <row r="294" spans="1:2" x14ac:dyDescent="0.2">
      <c r="A294" s="1">
        <v>45047</v>
      </c>
      <c r="B294">
        <v>5.91</v>
      </c>
    </row>
    <row r="295" spans="1:2" x14ac:dyDescent="0.2">
      <c r="A295" s="1">
        <v>45078</v>
      </c>
      <c r="B295">
        <v>6.04</v>
      </c>
    </row>
    <row r="296" spans="1:2" x14ac:dyDescent="0.2">
      <c r="A296" s="1">
        <v>45108</v>
      </c>
      <c r="B296">
        <v>6.32</v>
      </c>
    </row>
    <row r="297" spans="1:2" x14ac:dyDescent="0.2">
      <c r="A297" s="1">
        <v>45139</v>
      </c>
      <c r="B297">
        <v>6.51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7BBAE1-075D-1149-8CA4-EF0DAD25F593}">
  <dimension ref="A1:C110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19</v>
      </c>
    </row>
    <row r="2" spans="1:3" x14ac:dyDescent="0.2">
      <c r="A2" s="1" t="s">
        <v>1</v>
      </c>
      <c r="B2" t="s">
        <v>18</v>
      </c>
    </row>
    <row r="3" spans="1:3" x14ac:dyDescent="0.2">
      <c r="A3" s="1">
        <v>32874</v>
      </c>
      <c r="B3">
        <v>14.88</v>
      </c>
    </row>
    <row r="4" spans="1:3" x14ac:dyDescent="0.2">
      <c r="A4" s="1">
        <v>32964</v>
      </c>
      <c r="B4">
        <v>14.88</v>
      </c>
    </row>
    <row r="5" spans="1:3" x14ac:dyDescent="0.2">
      <c r="A5" s="1">
        <v>33055</v>
      </c>
      <c r="B5">
        <v>14.88</v>
      </c>
    </row>
    <row r="6" spans="1:3" x14ac:dyDescent="0.2">
      <c r="A6" s="1">
        <v>33147</v>
      </c>
      <c r="B6">
        <v>13.88</v>
      </c>
    </row>
    <row r="7" spans="1:3" x14ac:dyDescent="0.2">
      <c r="A7" s="1">
        <v>33239</v>
      </c>
      <c r="B7">
        <v>13.04</v>
      </c>
    </row>
    <row r="8" spans="1:3" x14ac:dyDescent="0.2">
      <c r="A8" s="1">
        <v>33329</v>
      </c>
      <c r="B8">
        <v>11.54</v>
      </c>
    </row>
    <row r="9" spans="1:3" x14ac:dyDescent="0.2">
      <c r="A9" s="1">
        <v>33420</v>
      </c>
      <c r="B9">
        <v>10.71</v>
      </c>
    </row>
    <row r="10" spans="1:3" x14ac:dyDescent="0.2">
      <c r="A10" s="1">
        <v>33512</v>
      </c>
      <c r="B10">
        <v>10.38</v>
      </c>
    </row>
    <row r="11" spans="1:3" x14ac:dyDescent="0.2">
      <c r="A11" s="1">
        <v>33604</v>
      </c>
      <c r="B11">
        <v>10.38</v>
      </c>
    </row>
    <row r="12" spans="1:3" x14ac:dyDescent="0.2">
      <c r="A12" s="1">
        <v>33695</v>
      </c>
      <c r="B12">
        <v>10.039999999999999</v>
      </c>
    </row>
    <row r="13" spans="1:3" x14ac:dyDescent="0.2">
      <c r="A13" s="1">
        <v>33786</v>
      </c>
      <c r="B13">
        <v>9.5399999999999991</v>
      </c>
    </row>
    <row r="14" spans="1:3" x14ac:dyDescent="0.2">
      <c r="A14" s="1">
        <v>33878</v>
      </c>
      <c r="B14">
        <v>7.21</v>
      </c>
    </row>
    <row r="15" spans="1:3" x14ac:dyDescent="0.2">
      <c r="A15" s="1">
        <v>33970</v>
      </c>
      <c r="B15">
        <v>5.88</v>
      </c>
    </row>
    <row r="16" spans="1:3" x14ac:dyDescent="0.2">
      <c r="A16" s="1">
        <v>34060</v>
      </c>
      <c r="B16">
        <v>5.88</v>
      </c>
    </row>
    <row r="17" spans="1:2" x14ac:dyDescent="0.2">
      <c r="A17" s="1">
        <v>34151</v>
      </c>
      <c r="B17">
        <v>5.88</v>
      </c>
    </row>
    <row r="18" spans="1:2" x14ac:dyDescent="0.2">
      <c r="A18" s="1">
        <v>34243</v>
      </c>
      <c r="B18">
        <v>5.54</v>
      </c>
    </row>
    <row r="19" spans="1:2" x14ac:dyDescent="0.2">
      <c r="A19" s="1">
        <v>34335</v>
      </c>
      <c r="B19">
        <v>5.21</v>
      </c>
    </row>
    <row r="20" spans="1:2" x14ac:dyDescent="0.2">
      <c r="A20" s="1">
        <v>34425</v>
      </c>
      <c r="B20">
        <v>5.13</v>
      </c>
    </row>
    <row r="21" spans="1:2" x14ac:dyDescent="0.2">
      <c r="A21" s="1">
        <v>34516</v>
      </c>
      <c r="B21">
        <v>5.29</v>
      </c>
    </row>
    <row r="22" spans="1:2" x14ac:dyDescent="0.2">
      <c r="A22" s="1">
        <v>34608</v>
      </c>
      <c r="B22">
        <v>5.79</v>
      </c>
    </row>
    <row r="23" spans="1:2" x14ac:dyDescent="0.2">
      <c r="A23" s="1">
        <v>34700</v>
      </c>
      <c r="B23">
        <v>6.46</v>
      </c>
    </row>
    <row r="24" spans="1:2" x14ac:dyDescent="0.2">
      <c r="A24" s="1">
        <v>34790</v>
      </c>
      <c r="B24">
        <v>6.63</v>
      </c>
    </row>
    <row r="25" spans="1:2" x14ac:dyDescent="0.2">
      <c r="A25" s="1">
        <v>34881</v>
      </c>
      <c r="B25">
        <v>6.63</v>
      </c>
    </row>
    <row r="26" spans="1:2" x14ac:dyDescent="0.2">
      <c r="A26" s="1">
        <v>34973</v>
      </c>
      <c r="B26">
        <v>6.54</v>
      </c>
    </row>
    <row r="27" spans="1:2" x14ac:dyDescent="0.2">
      <c r="A27" s="1">
        <v>35065</v>
      </c>
      <c r="B27">
        <v>6.06</v>
      </c>
    </row>
    <row r="28" spans="1:2" x14ac:dyDescent="0.2">
      <c r="A28" s="1">
        <v>35156</v>
      </c>
      <c r="B28">
        <v>5.85</v>
      </c>
    </row>
    <row r="29" spans="1:2" x14ac:dyDescent="0.2">
      <c r="A29" s="1">
        <v>35247</v>
      </c>
      <c r="B29">
        <v>5.69</v>
      </c>
    </row>
    <row r="30" spans="1:2" x14ac:dyDescent="0.2">
      <c r="A30" s="1">
        <v>35339</v>
      </c>
      <c r="B30">
        <v>5.94</v>
      </c>
    </row>
    <row r="31" spans="1:2" x14ac:dyDescent="0.2">
      <c r="A31" s="1">
        <v>35431</v>
      </c>
      <c r="B31">
        <v>5.94</v>
      </c>
    </row>
    <row r="32" spans="1:2" x14ac:dyDescent="0.2">
      <c r="A32" s="1">
        <v>35521</v>
      </c>
      <c r="B32">
        <v>6.23</v>
      </c>
    </row>
    <row r="33" spans="1:2" x14ac:dyDescent="0.2">
      <c r="A33" s="1">
        <v>35612</v>
      </c>
      <c r="B33">
        <v>6.92</v>
      </c>
    </row>
    <row r="34" spans="1:2" x14ac:dyDescent="0.2">
      <c r="A34" s="1">
        <v>35704</v>
      </c>
      <c r="B34">
        <v>7.17</v>
      </c>
    </row>
    <row r="35" spans="1:2" x14ac:dyDescent="0.2">
      <c r="A35" s="1">
        <v>35796</v>
      </c>
      <c r="B35">
        <v>7.25</v>
      </c>
    </row>
    <row r="36" spans="1:2" x14ac:dyDescent="0.2">
      <c r="A36" s="1">
        <v>35886</v>
      </c>
      <c r="B36">
        <v>7.33</v>
      </c>
    </row>
    <row r="37" spans="1:2" x14ac:dyDescent="0.2">
      <c r="A37" s="1">
        <v>35977</v>
      </c>
      <c r="B37">
        <v>7.5</v>
      </c>
    </row>
    <row r="38" spans="1:2" x14ac:dyDescent="0.2">
      <c r="A38" s="1">
        <v>36069</v>
      </c>
      <c r="B38">
        <v>6.75</v>
      </c>
    </row>
    <row r="39" spans="1:2" x14ac:dyDescent="0.2">
      <c r="A39" s="1">
        <v>36161</v>
      </c>
      <c r="B39">
        <v>5.67</v>
      </c>
    </row>
    <row r="40" spans="1:2" x14ac:dyDescent="0.2">
      <c r="A40" s="1">
        <v>36251</v>
      </c>
      <c r="B40">
        <v>5.17</v>
      </c>
    </row>
    <row r="41" spans="1:2" x14ac:dyDescent="0.2">
      <c r="A41" s="1">
        <v>36342</v>
      </c>
      <c r="B41">
        <v>5.08</v>
      </c>
    </row>
    <row r="42" spans="1:2" x14ac:dyDescent="0.2">
      <c r="A42" s="1">
        <v>36434</v>
      </c>
      <c r="B42">
        <v>5.42</v>
      </c>
    </row>
    <row r="43" spans="1:2" x14ac:dyDescent="0.2">
      <c r="A43" s="1">
        <v>36526</v>
      </c>
      <c r="B43">
        <v>5.92</v>
      </c>
    </row>
    <row r="44" spans="1:2" x14ac:dyDescent="0.2">
      <c r="A44" s="1">
        <v>36617</v>
      </c>
      <c r="B44">
        <v>6</v>
      </c>
    </row>
    <row r="45" spans="1:2" x14ac:dyDescent="0.2">
      <c r="A45" s="1">
        <v>36708</v>
      </c>
      <c r="B45">
        <v>6</v>
      </c>
    </row>
    <row r="46" spans="1:2" x14ac:dyDescent="0.2">
      <c r="A46" s="1">
        <v>36800</v>
      </c>
      <c r="B46">
        <v>6</v>
      </c>
    </row>
    <row r="47" spans="1:2" x14ac:dyDescent="0.2">
      <c r="A47" s="1">
        <v>36892</v>
      </c>
      <c r="B47">
        <v>5.83</v>
      </c>
    </row>
    <row r="48" spans="1:2" x14ac:dyDescent="0.2">
      <c r="A48" s="1">
        <v>36982</v>
      </c>
      <c r="B48">
        <v>5.33</v>
      </c>
    </row>
    <row r="49" spans="1:2" x14ac:dyDescent="0.2">
      <c r="A49" s="1">
        <v>37073</v>
      </c>
      <c r="B49">
        <v>5</v>
      </c>
    </row>
    <row r="50" spans="1:2" x14ac:dyDescent="0.2">
      <c r="A50" s="1">
        <v>37165</v>
      </c>
      <c r="B50">
        <v>4.17</v>
      </c>
    </row>
    <row r="51" spans="1:2" x14ac:dyDescent="0.2">
      <c r="A51" s="1">
        <v>37257</v>
      </c>
      <c r="B51">
        <v>4</v>
      </c>
    </row>
    <row r="52" spans="1:2" x14ac:dyDescent="0.2">
      <c r="A52" s="1">
        <v>37347</v>
      </c>
      <c r="B52">
        <v>4</v>
      </c>
    </row>
    <row r="53" spans="1:2" x14ac:dyDescent="0.2">
      <c r="A53" s="1">
        <v>37438</v>
      </c>
      <c r="B53">
        <v>4</v>
      </c>
    </row>
    <row r="54" spans="1:2" x14ac:dyDescent="0.2">
      <c r="A54" s="1">
        <v>37530</v>
      </c>
      <c r="B54">
        <v>4</v>
      </c>
    </row>
    <row r="55" spans="1:2" x14ac:dyDescent="0.2">
      <c r="A55" s="1">
        <v>37622</v>
      </c>
      <c r="B55">
        <v>3.83</v>
      </c>
    </row>
    <row r="56" spans="1:2" x14ac:dyDescent="0.2">
      <c r="A56" s="1">
        <v>37712</v>
      </c>
      <c r="B56">
        <v>3.75</v>
      </c>
    </row>
    <row r="57" spans="1:2" x14ac:dyDescent="0.2">
      <c r="A57" s="1">
        <v>37803</v>
      </c>
      <c r="B57">
        <v>3.5</v>
      </c>
    </row>
    <row r="58" spans="1:2" x14ac:dyDescent="0.2">
      <c r="A58" s="1">
        <v>37895</v>
      </c>
      <c r="B58">
        <v>3.67</v>
      </c>
    </row>
    <row r="59" spans="1:2" x14ac:dyDescent="0.2">
      <c r="A59" s="1">
        <v>37987</v>
      </c>
      <c r="B59">
        <v>3.92</v>
      </c>
    </row>
    <row r="60" spans="1:2" x14ac:dyDescent="0.2">
      <c r="A60" s="1">
        <v>38078</v>
      </c>
      <c r="B60">
        <v>4.25</v>
      </c>
    </row>
    <row r="61" spans="1:2" x14ac:dyDescent="0.2">
      <c r="A61" s="1">
        <v>38169</v>
      </c>
      <c r="B61">
        <v>4.67</v>
      </c>
    </row>
    <row r="62" spans="1:2" x14ac:dyDescent="0.2">
      <c r="A62" s="1">
        <v>38261</v>
      </c>
      <c r="B62">
        <v>4.75</v>
      </c>
    </row>
    <row r="63" spans="1:2" x14ac:dyDescent="0.2">
      <c r="A63" s="1">
        <v>38353</v>
      </c>
      <c r="B63">
        <v>4.75</v>
      </c>
    </row>
    <row r="64" spans="1:2" x14ac:dyDescent="0.2">
      <c r="A64" s="1">
        <v>38443</v>
      </c>
      <c r="B64">
        <v>4.75</v>
      </c>
    </row>
    <row r="65" spans="1:2" x14ac:dyDescent="0.2">
      <c r="A65" s="1">
        <v>38534</v>
      </c>
      <c r="B65">
        <v>4.58</v>
      </c>
    </row>
    <row r="66" spans="1:2" x14ac:dyDescent="0.2">
      <c r="A66" s="1">
        <v>38626</v>
      </c>
      <c r="B66">
        <v>4.5</v>
      </c>
    </row>
    <row r="67" spans="1:2" x14ac:dyDescent="0.2">
      <c r="A67" s="1">
        <v>38718</v>
      </c>
      <c r="B67">
        <v>4.5</v>
      </c>
    </row>
    <row r="68" spans="1:2" x14ac:dyDescent="0.2">
      <c r="A68" s="1">
        <v>38808</v>
      </c>
      <c r="B68">
        <v>4.5</v>
      </c>
    </row>
    <row r="69" spans="1:2" x14ac:dyDescent="0.2">
      <c r="A69" s="1">
        <v>38899</v>
      </c>
      <c r="B69">
        <v>4.67</v>
      </c>
    </row>
    <row r="70" spans="1:2" x14ac:dyDescent="0.2">
      <c r="A70" s="1">
        <v>38991</v>
      </c>
      <c r="B70">
        <v>4.92</v>
      </c>
    </row>
    <row r="71" spans="1:2" x14ac:dyDescent="0.2">
      <c r="A71" s="1">
        <v>39083</v>
      </c>
      <c r="B71">
        <v>5.25</v>
      </c>
    </row>
    <row r="72" spans="1:2" x14ac:dyDescent="0.2">
      <c r="A72" s="1">
        <v>39173</v>
      </c>
      <c r="B72">
        <v>5.42</v>
      </c>
    </row>
    <row r="73" spans="1:2" x14ac:dyDescent="0.2">
      <c r="A73" s="1">
        <v>39264</v>
      </c>
      <c r="B73">
        <v>5.75</v>
      </c>
    </row>
    <row r="74" spans="1:2" x14ac:dyDescent="0.2">
      <c r="A74" s="1">
        <v>39356</v>
      </c>
      <c r="B74">
        <v>5.67</v>
      </c>
    </row>
    <row r="75" spans="1:2" x14ac:dyDescent="0.2">
      <c r="A75" s="1">
        <v>39448</v>
      </c>
      <c r="B75">
        <v>5.33</v>
      </c>
    </row>
    <row r="76" spans="1:2" x14ac:dyDescent="0.2">
      <c r="A76" s="1">
        <v>39539</v>
      </c>
      <c r="B76">
        <v>5</v>
      </c>
    </row>
    <row r="77" spans="1:2" x14ac:dyDescent="0.2">
      <c r="A77" s="1">
        <v>39630</v>
      </c>
      <c r="B77">
        <v>5</v>
      </c>
    </row>
    <row r="78" spans="1:2" x14ac:dyDescent="0.2">
      <c r="A78" s="1">
        <v>39722</v>
      </c>
      <c r="B78">
        <v>3.17</v>
      </c>
    </row>
    <row r="79" spans="1:2" x14ac:dyDescent="0.2">
      <c r="A79" s="1">
        <v>39814</v>
      </c>
      <c r="B79">
        <v>1</v>
      </c>
    </row>
    <row r="80" spans="1:2" x14ac:dyDescent="0.2">
      <c r="A80" s="1">
        <v>39904</v>
      </c>
      <c r="B80">
        <v>0.5</v>
      </c>
    </row>
    <row r="81" spans="1:2" x14ac:dyDescent="0.2">
      <c r="A81" s="1">
        <v>39995</v>
      </c>
      <c r="B81">
        <v>0.5</v>
      </c>
    </row>
    <row r="82" spans="1:2" x14ac:dyDescent="0.2">
      <c r="A82" s="1">
        <v>40087</v>
      </c>
      <c r="B82">
        <v>0.5</v>
      </c>
    </row>
    <row r="83" spans="1:2" x14ac:dyDescent="0.2">
      <c r="A83" s="1">
        <v>40179</v>
      </c>
      <c r="B83">
        <v>0.5</v>
      </c>
    </row>
    <row r="84" spans="1:2" x14ac:dyDescent="0.2">
      <c r="A84" s="1">
        <v>40269</v>
      </c>
      <c r="B84">
        <v>0.5</v>
      </c>
    </row>
    <row r="85" spans="1:2" x14ac:dyDescent="0.2">
      <c r="A85" s="1">
        <v>40360</v>
      </c>
      <c r="B85">
        <v>0.5</v>
      </c>
    </row>
    <row r="86" spans="1:2" x14ac:dyDescent="0.2">
      <c r="A86" s="1">
        <v>40452</v>
      </c>
      <c r="B86">
        <v>0.5</v>
      </c>
    </row>
    <row r="87" spans="1:2" x14ac:dyDescent="0.2">
      <c r="A87" s="1">
        <v>40544</v>
      </c>
      <c r="B87">
        <v>0.5</v>
      </c>
    </row>
    <row r="88" spans="1:2" x14ac:dyDescent="0.2">
      <c r="A88" s="1">
        <v>40634</v>
      </c>
      <c r="B88">
        <v>0.5</v>
      </c>
    </row>
    <row r="89" spans="1:2" x14ac:dyDescent="0.2">
      <c r="A89" s="1">
        <v>40725</v>
      </c>
      <c r="B89">
        <v>0.5</v>
      </c>
    </row>
    <row r="90" spans="1:2" x14ac:dyDescent="0.2">
      <c r="A90" s="1">
        <v>40817</v>
      </c>
      <c r="B90">
        <v>0.5</v>
      </c>
    </row>
    <row r="91" spans="1:2" x14ac:dyDescent="0.2">
      <c r="A91" s="1">
        <v>40909</v>
      </c>
      <c r="B91">
        <v>0.5</v>
      </c>
    </row>
    <row r="92" spans="1:2" x14ac:dyDescent="0.2">
      <c r="A92" s="1">
        <v>41000</v>
      </c>
      <c r="B92">
        <v>0.5</v>
      </c>
    </row>
    <row r="93" spans="1:2" x14ac:dyDescent="0.2">
      <c r="A93" s="1">
        <v>41091</v>
      </c>
      <c r="B93">
        <v>0.5</v>
      </c>
    </row>
    <row r="94" spans="1:2" x14ac:dyDescent="0.2">
      <c r="A94" s="1">
        <v>41183</v>
      </c>
      <c r="B94">
        <v>0.5</v>
      </c>
    </row>
    <row r="95" spans="1:2" x14ac:dyDescent="0.2">
      <c r="A95" s="1">
        <v>41275</v>
      </c>
      <c r="B95">
        <v>0.5</v>
      </c>
    </row>
    <row r="96" spans="1:2" x14ac:dyDescent="0.2">
      <c r="A96" s="1">
        <v>41365</v>
      </c>
      <c r="B96">
        <v>0.5</v>
      </c>
    </row>
    <row r="97" spans="1:2" x14ac:dyDescent="0.2">
      <c r="A97" s="1">
        <v>41456</v>
      </c>
      <c r="B97">
        <v>0.5</v>
      </c>
    </row>
    <row r="98" spans="1:2" x14ac:dyDescent="0.2">
      <c r="A98" s="1">
        <v>41548</v>
      </c>
      <c r="B98">
        <v>0.5</v>
      </c>
    </row>
    <row r="99" spans="1:2" x14ac:dyDescent="0.2">
      <c r="A99" s="1">
        <v>41640</v>
      </c>
      <c r="B99">
        <v>0.5</v>
      </c>
    </row>
    <row r="100" spans="1:2" x14ac:dyDescent="0.2">
      <c r="A100" s="1">
        <v>41730</v>
      </c>
      <c r="B100">
        <v>0.5</v>
      </c>
    </row>
    <row r="101" spans="1:2" x14ac:dyDescent="0.2">
      <c r="A101" s="1">
        <v>41821</v>
      </c>
      <c r="B101">
        <v>0.5</v>
      </c>
    </row>
    <row r="102" spans="1:2" x14ac:dyDescent="0.2">
      <c r="A102" s="1">
        <v>41913</v>
      </c>
      <c r="B102">
        <v>0.5</v>
      </c>
    </row>
    <row r="103" spans="1:2" x14ac:dyDescent="0.2">
      <c r="A103" s="1">
        <v>42005</v>
      </c>
      <c r="B103">
        <v>0.5</v>
      </c>
    </row>
    <row r="104" spans="1:2" x14ac:dyDescent="0.2">
      <c r="A104" s="1">
        <v>42095</v>
      </c>
      <c r="B104">
        <v>0.5</v>
      </c>
    </row>
    <row r="105" spans="1:2" x14ac:dyDescent="0.2">
      <c r="A105" s="1">
        <v>42186</v>
      </c>
      <c r="B105">
        <v>0.5</v>
      </c>
    </row>
    <row r="106" spans="1:2" x14ac:dyDescent="0.2">
      <c r="A106" s="1">
        <v>42278</v>
      </c>
      <c r="B106">
        <v>0.5</v>
      </c>
    </row>
    <row r="107" spans="1:2" x14ac:dyDescent="0.2">
      <c r="A107" s="1">
        <v>42370</v>
      </c>
      <c r="B107">
        <v>0.5</v>
      </c>
    </row>
    <row r="108" spans="1:2" x14ac:dyDescent="0.2">
      <c r="A108" s="1">
        <v>42461</v>
      </c>
      <c r="B108">
        <v>0.5</v>
      </c>
    </row>
    <row r="109" spans="1:2" x14ac:dyDescent="0.2">
      <c r="A109" s="1">
        <v>42552</v>
      </c>
      <c r="B109">
        <v>0.33</v>
      </c>
    </row>
    <row r="110" spans="1:2" x14ac:dyDescent="0.2">
      <c r="A110" s="1">
        <v>42644</v>
      </c>
      <c r="B110">
        <v>0.25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C9696-621D-274F-8498-E35A7343B697}">
  <dimension ref="A1:C298"/>
  <sheetViews>
    <sheetView workbookViewId="0">
      <selection activeCell="C1" sqref="C1"/>
    </sheetView>
  </sheetViews>
  <sheetFormatPr baseColWidth="10" defaultRowHeight="16" x14ac:dyDescent="0.2"/>
  <cols>
    <col min="1" max="1" width="10.83203125" style="1"/>
  </cols>
  <sheetData>
    <row r="1" spans="1:3" x14ac:dyDescent="0.2">
      <c r="C1" t="s">
        <v>20</v>
      </c>
    </row>
    <row r="2" spans="1:3" x14ac:dyDescent="0.2">
      <c r="A2" s="1" t="s">
        <v>1</v>
      </c>
      <c r="B2" t="s">
        <v>21</v>
      </c>
    </row>
    <row r="3" spans="1:3" x14ac:dyDescent="0.2">
      <c r="A3" s="1">
        <v>45139</v>
      </c>
      <c r="B3">
        <v>1.82</v>
      </c>
    </row>
    <row r="4" spans="1:3" x14ac:dyDescent="0.2">
      <c r="A4" s="1">
        <f>EDATE(A3,-1)</f>
        <v>45108</v>
      </c>
      <c r="B4">
        <v>1.66</v>
      </c>
    </row>
    <row r="5" spans="1:3" x14ac:dyDescent="0.2">
      <c r="A5" s="1">
        <f t="shared" ref="A5:A68" si="0">EDATE(A4,-1)</f>
        <v>45078</v>
      </c>
      <c r="B5">
        <v>1.45</v>
      </c>
    </row>
    <row r="6" spans="1:3" x14ac:dyDescent="0.2">
      <c r="A6" s="1">
        <f t="shared" si="0"/>
        <v>45047</v>
      </c>
      <c r="B6">
        <v>1.32</v>
      </c>
    </row>
    <row r="7" spans="1:3" x14ac:dyDescent="0.2">
      <c r="A7" s="1">
        <f t="shared" si="0"/>
        <v>45017</v>
      </c>
      <c r="B7">
        <v>1.23</v>
      </c>
    </row>
    <row r="8" spans="1:3" x14ac:dyDescent="0.2">
      <c r="A8" s="1">
        <f t="shared" si="0"/>
        <v>44986</v>
      </c>
      <c r="B8">
        <v>1.1200000000000001</v>
      </c>
    </row>
    <row r="9" spans="1:3" x14ac:dyDescent="0.2">
      <c r="A9" s="1">
        <f t="shared" si="0"/>
        <v>44958</v>
      </c>
      <c r="B9">
        <v>1.04</v>
      </c>
    </row>
    <row r="10" spans="1:3" x14ac:dyDescent="0.2">
      <c r="A10" s="1">
        <f t="shared" si="0"/>
        <v>44927</v>
      </c>
      <c r="B10">
        <v>0.88</v>
      </c>
    </row>
    <row r="11" spans="1:3" x14ac:dyDescent="0.2">
      <c r="A11" s="1">
        <f t="shared" si="0"/>
        <v>44896</v>
      </c>
      <c r="B11">
        <v>0.83</v>
      </c>
    </row>
    <row r="12" spans="1:3" x14ac:dyDescent="0.2">
      <c r="A12" s="1">
        <f t="shared" si="0"/>
        <v>44866</v>
      </c>
      <c r="B12">
        <v>0.63</v>
      </c>
    </row>
    <row r="13" spans="1:3" x14ac:dyDescent="0.2">
      <c r="A13" s="1">
        <f t="shared" si="0"/>
        <v>44835</v>
      </c>
      <c r="B13">
        <v>0.52</v>
      </c>
    </row>
    <row r="14" spans="1:3" x14ac:dyDescent="0.2">
      <c r="A14" s="1">
        <f t="shared" si="0"/>
        <v>44805</v>
      </c>
      <c r="B14">
        <v>0.43</v>
      </c>
    </row>
    <row r="15" spans="1:3" x14ac:dyDescent="0.2">
      <c r="A15" s="1">
        <f t="shared" si="0"/>
        <v>44774</v>
      </c>
      <c r="B15">
        <v>0.32</v>
      </c>
    </row>
    <row r="16" spans="1:3" x14ac:dyDescent="0.2">
      <c r="A16" s="1">
        <f t="shared" si="0"/>
        <v>44743</v>
      </c>
      <c r="B16">
        <v>0.27</v>
      </c>
    </row>
    <row r="17" spans="1:2" x14ac:dyDescent="0.2">
      <c r="A17" s="1">
        <f t="shared" si="0"/>
        <v>44713</v>
      </c>
      <c r="B17">
        <v>0.21</v>
      </c>
    </row>
    <row r="18" spans="1:2" x14ac:dyDescent="0.2">
      <c r="A18" s="1">
        <f t="shared" si="0"/>
        <v>44682</v>
      </c>
      <c r="B18">
        <v>0.18</v>
      </c>
    </row>
    <row r="19" spans="1:2" x14ac:dyDescent="0.2">
      <c r="A19" s="1">
        <f t="shared" si="0"/>
        <v>44652</v>
      </c>
      <c r="B19">
        <v>0.15</v>
      </c>
    </row>
    <row r="20" spans="1:2" x14ac:dyDescent="0.2">
      <c r="A20" s="1">
        <f t="shared" si="0"/>
        <v>44621</v>
      </c>
      <c r="B20">
        <v>0.12</v>
      </c>
    </row>
    <row r="21" spans="1:2" x14ac:dyDescent="0.2">
      <c r="A21" s="1">
        <f t="shared" si="0"/>
        <v>44593</v>
      </c>
      <c r="B21">
        <v>0.1</v>
      </c>
    </row>
    <row r="22" spans="1:2" x14ac:dyDescent="0.2">
      <c r="A22" s="1">
        <f t="shared" si="0"/>
        <v>44562</v>
      </c>
      <c r="B22">
        <v>0.09</v>
      </c>
    </row>
    <row r="23" spans="1:2" x14ac:dyDescent="0.2">
      <c r="A23" s="1">
        <f t="shared" si="0"/>
        <v>44531</v>
      </c>
      <c r="B23">
        <v>0.09</v>
      </c>
    </row>
    <row r="24" spans="1:2" x14ac:dyDescent="0.2">
      <c r="A24" s="1">
        <f t="shared" si="0"/>
        <v>44501</v>
      </c>
      <c r="B24">
        <v>0.09</v>
      </c>
    </row>
    <row r="25" spans="1:2" x14ac:dyDescent="0.2">
      <c r="A25" s="1">
        <f t="shared" si="0"/>
        <v>44470</v>
      </c>
      <c r="B25">
        <v>0.09</v>
      </c>
    </row>
    <row r="26" spans="1:2" x14ac:dyDescent="0.2">
      <c r="A26" s="1">
        <f t="shared" si="0"/>
        <v>44440</v>
      </c>
      <c r="B26">
        <v>0.09</v>
      </c>
    </row>
    <row r="27" spans="1:2" x14ac:dyDescent="0.2">
      <c r="A27" s="1">
        <f t="shared" si="0"/>
        <v>44409</v>
      </c>
      <c r="B27">
        <v>0.09</v>
      </c>
    </row>
    <row r="28" spans="1:2" x14ac:dyDescent="0.2">
      <c r="A28" s="1">
        <f t="shared" si="0"/>
        <v>44378</v>
      </c>
      <c r="B28">
        <v>0.09</v>
      </c>
    </row>
    <row r="29" spans="1:2" x14ac:dyDescent="0.2">
      <c r="A29" s="1">
        <f t="shared" si="0"/>
        <v>44348</v>
      </c>
      <c r="B29">
        <v>0.1</v>
      </c>
    </row>
    <row r="30" spans="1:2" x14ac:dyDescent="0.2">
      <c r="A30" s="1">
        <f t="shared" si="0"/>
        <v>44317</v>
      </c>
      <c r="B30">
        <v>0.1</v>
      </c>
    </row>
    <row r="31" spans="1:2" x14ac:dyDescent="0.2">
      <c r="A31" s="1">
        <f t="shared" si="0"/>
        <v>44287</v>
      </c>
      <c r="B31">
        <v>0.1</v>
      </c>
    </row>
    <row r="32" spans="1:2" x14ac:dyDescent="0.2">
      <c r="A32" s="1">
        <f t="shared" si="0"/>
        <v>44256</v>
      </c>
      <c r="B32">
        <v>0.11</v>
      </c>
    </row>
    <row r="33" spans="1:2" x14ac:dyDescent="0.2">
      <c r="A33" s="1">
        <f t="shared" si="0"/>
        <v>44228</v>
      </c>
      <c r="B33">
        <v>0.12</v>
      </c>
    </row>
    <row r="34" spans="1:2" x14ac:dyDescent="0.2">
      <c r="A34" s="1">
        <f t="shared" si="0"/>
        <v>44197</v>
      </c>
      <c r="B34">
        <v>0.12</v>
      </c>
    </row>
    <row r="35" spans="1:2" x14ac:dyDescent="0.2">
      <c r="A35" s="1">
        <f t="shared" si="0"/>
        <v>44166</v>
      </c>
      <c r="B35">
        <v>0.12</v>
      </c>
    </row>
    <row r="36" spans="1:2" x14ac:dyDescent="0.2">
      <c r="A36" s="1">
        <f t="shared" si="0"/>
        <v>44136</v>
      </c>
      <c r="B36">
        <v>0.12</v>
      </c>
    </row>
    <row r="37" spans="1:2" x14ac:dyDescent="0.2">
      <c r="A37" s="1">
        <f t="shared" si="0"/>
        <v>44105</v>
      </c>
      <c r="B37">
        <v>0.12</v>
      </c>
    </row>
    <row r="38" spans="1:2" x14ac:dyDescent="0.2">
      <c r="A38" s="1">
        <f t="shared" si="0"/>
        <v>44075</v>
      </c>
      <c r="B38">
        <v>0.13</v>
      </c>
    </row>
    <row r="39" spans="1:2" x14ac:dyDescent="0.2">
      <c r="A39" s="1">
        <f t="shared" si="0"/>
        <v>44044</v>
      </c>
      <c r="B39">
        <v>0.14000000000000001</v>
      </c>
    </row>
    <row r="40" spans="1:2" x14ac:dyDescent="0.2">
      <c r="A40" s="1">
        <f t="shared" si="0"/>
        <v>44013</v>
      </c>
      <c r="B40">
        <v>0.21</v>
      </c>
    </row>
    <row r="41" spans="1:2" x14ac:dyDescent="0.2">
      <c r="A41" s="1">
        <f t="shared" si="0"/>
        <v>43983</v>
      </c>
      <c r="B41">
        <v>0.26</v>
      </c>
    </row>
    <row r="42" spans="1:2" x14ac:dyDescent="0.2">
      <c r="A42" s="1">
        <f t="shared" si="0"/>
        <v>43952</v>
      </c>
      <c r="B42">
        <v>0.28999999999999998</v>
      </c>
    </row>
    <row r="43" spans="1:2" x14ac:dyDescent="0.2">
      <c r="A43" s="1">
        <f t="shared" si="0"/>
        <v>43922</v>
      </c>
      <c r="B43">
        <v>0.41</v>
      </c>
    </row>
    <row r="44" spans="1:2" x14ac:dyDescent="0.2">
      <c r="A44" s="1">
        <f t="shared" si="0"/>
        <v>43891</v>
      </c>
      <c r="B44">
        <v>0.45</v>
      </c>
    </row>
    <row r="45" spans="1:2" x14ac:dyDescent="0.2">
      <c r="A45" s="1">
        <f t="shared" si="0"/>
        <v>43862</v>
      </c>
      <c r="B45">
        <v>0.46</v>
      </c>
    </row>
    <row r="46" spans="1:2" x14ac:dyDescent="0.2">
      <c r="A46" s="1">
        <f t="shared" si="0"/>
        <v>43831</v>
      </c>
      <c r="B46">
        <v>0.46</v>
      </c>
    </row>
    <row r="47" spans="1:2" x14ac:dyDescent="0.2">
      <c r="A47" s="1">
        <f t="shared" si="0"/>
        <v>43800</v>
      </c>
      <c r="B47">
        <v>0.47</v>
      </c>
    </row>
    <row r="48" spans="1:2" x14ac:dyDescent="0.2">
      <c r="A48" s="1">
        <f t="shared" si="0"/>
        <v>43770</v>
      </c>
      <c r="B48">
        <v>0.47</v>
      </c>
    </row>
    <row r="49" spans="1:2" x14ac:dyDescent="0.2">
      <c r="A49" s="1">
        <f t="shared" si="0"/>
        <v>43739</v>
      </c>
      <c r="B49">
        <v>0.47</v>
      </c>
    </row>
    <row r="50" spans="1:2" x14ac:dyDescent="0.2">
      <c r="A50" s="1">
        <f t="shared" si="0"/>
        <v>43709</v>
      </c>
      <c r="B50">
        <v>0.48</v>
      </c>
    </row>
    <row r="51" spans="1:2" x14ac:dyDescent="0.2">
      <c r="A51" s="1">
        <f t="shared" si="0"/>
        <v>43678</v>
      </c>
      <c r="B51">
        <v>0.48</v>
      </c>
    </row>
    <row r="52" spans="1:2" x14ac:dyDescent="0.2">
      <c r="A52" s="1">
        <f t="shared" si="0"/>
        <v>43647</v>
      </c>
      <c r="B52">
        <v>0.48</v>
      </c>
    </row>
    <row r="53" spans="1:2" x14ac:dyDescent="0.2">
      <c r="A53" s="1">
        <f t="shared" si="0"/>
        <v>43617</v>
      </c>
      <c r="B53">
        <v>0.49</v>
      </c>
    </row>
    <row r="54" spans="1:2" x14ac:dyDescent="0.2">
      <c r="A54" s="1">
        <f t="shared" si="0"/>
        <v>43586</v>
      </c>
      <c r="B54">
        <v>0.5</v>
      </c>
    </row>
    <row r="55" spans="1:2" x14ac:dyDescent="0.2">
      <c r="A55" s="1">
        <f t="shared" si="0"/>
        <v>43556</v>
      </c>
      <c r="B55">
        <v>0.51</v>
      </c>
    </row>
    <row r="56" spans="1:2" x14ac:dyDescent="0.2">
      <c r="A56" s="1">
        <f t="shared" si="0"/>
        <v>43525</v>
      </c>
      <c r="B56">
        <v>0.5</v>
      </c>
    </row>
    <row r="57" spans="1:2" x14ac:dyDescent="0.2">
      <c r="A57" s="1">
        <f t="shared" si="0"/>
        <v>43497</v>
      </c>
      <c r="B57">
        <v>0.49</v>
      </c>
    </row>
    <row r="58" spans="1:2" x14ac:dyDescent="0.2">
      <c r="A58" s="1">
        <f t="shared" si="0"/>
        <v>43466</v>
      </c>
      <c r="B58">
        <v>0.49</v>
      </c>
    </row>
    <row r="59" spans="1:2" x14ac:dyDescent="0.2">
      <c r="A59" s="1">
        <f t="shared" si="0"/>
        <v>43435</v>
      </c>
      <c r="B59">
        <v>0.51</v>
      </c>
    </row>
    <row r="60" spans="1:2" x14ac:dyDescent="0.2">
      <c r="A60" s="1">
        <f t="shared" si="0"/>
        <v>43405</v>
      </c>
      <c r="B60">
        <v>0.49</v>
      </c>
    </row>
    <row r="61" spans="1:2" x14ac:dyDescent="0.2">
      <c r="A61" s="1">
        <f t="shared" si="0"/>
        <v>43374</v>
      </c>
      <c r="B61">
        <v>0.48</v>
      </c>
    </row>
    <row r="62" spans="1:2" x14ac:dyDescent="0.2">
      <c r="A62" s="1">
        <f t="shared" si="0"/>
        <v>43344</v>
      </c>
      <c r="B62">
        <v>0.49</v>
      </c>
    </row>
    <row r="63" spans="1:2" x14ac:dyDescent="0.2">
      <c r="A63" s="1">
        <f t="shared" si="0"/>
        <v>43313</v>
      </c>
      <c r="B63">
        <v>0.43</v>
      </c>
    </row>
    <row r="64" spans="1:2" x14ac:dyDescent="0.2">
      <c r="A64" s="1">
        <f t="shared" si="0"/>
        <v>43282</v>
      </c>
      <c r="B64">
        <v>0.43</v>
      </c>
    </row>
    <row r="65" spans="1:2" x14ac:dyDescent="0.2">
      <c r="A65" s="1">
        <f t="shared" si="0"/>
        <v>43252</v>
      </c>
      <c r="B65">
        <v>0.44</v>
      </c>
    </row>
    <row r="66" spans="1:2" x14ac:dyDescent="0.2">
      <c r="A66" s="1">
        <f t="shared" si="0"/>
        <v>43221</v>
      </c>
      <c r="B66">
        <v>0.44</v>
      </c>
    </row>
    <row r="67" spans="1:2" x14ac:dyDescent="0.2">
      <c r="A67" s="1">
        <f t="shared" si="0"/>
        <v>43191</v>
      </c>
      <c r="B67">
        <v>0.44</v>
      </c>
    </row>
    <row r="68" spans="1:2" x14ac:dyDescent="0.2">
      <c r="A68" s="1">
        <f t="shared" si="0"/>
        <v>43160</v>
      </c>
      <c r="B68">
        <v>0.45</v>
      </c>
    </row>
    <row r="69" spans="1:2" x14ac:dyDescent="0.2">
      <c r="A69" s="1">
        <f t="shared" ref="A69:A132" si="1">EDATE(A68,-1)</f>
        <v>43132</v>
      </c>
      <c r="B69">
        <v>0.45</v>
      </c>
    </row>
    <row r="70" spans="1:2" x14ac:dyDescent="0.2">
      <c r="A70" s="1">
        <f t="shared" si="1"/>
        <v>43101</v>
      </c>
      <c r="B70">
        <v>0.44</v>
      </c>
    </row>
    <row r="71" spans="1:2" x14ac:dyDescent="0.2">
      <c r="A71" s="1">
        <f t="shared" si="1"/>
        <v>43070</v>
      </c>
      <c r="B71">
        <v>0.46</v>
      </c>
    </row>
    <row r="72" spans="1:2" x14ac:dyDescent="0.2">
      <c r="A72" s="1">
        <f t="shared" si="1"/>
        <v>43040</v>
      </c>
      <c r="B72">
        <v>0.36</v>
      </c>
    </row>
    <row r="73" spans="1:2" x14ac:dyDescent="0.2">
      <c r="A73" s="1">
        <f t="shared" si="1"/>
        <v>43009</v>
      </c>
      <c r="B73">
        <v>0.35</v>
      </c>
    </row>
    <row r="74" spans="1:2" x14ac:dyDescent="0.2">
      <c r="A74" s="1">
        <f t="shared" si="1"/>
        <v>42979</v>
      </c>
      <c r="B74">
        <v>0.35</v>
      </c>
    </row>
    <row r="75" spans="1:2" x14ac:dyDescent="0.2">
      <c r="A75" s="1">
        <f t="shared" si="1"/>
        <v>42948</v>
      </c>
      <c r="B75">
        <v>0.35</v>
      </c>
    </row>
    <row r="76" spans="1:2" x14ac:dyDescent="0.2">
      <c r="A76" s="1">
        <f t="shared" si="1"/>
        <v>42917</v>
      </c>
      <c r="B76">
        <v>0.35</v>
      </c>
    </row>
    <row r="77" spans="1:2" x14ac:dyDescent="0.2">
      <c r="A77" s="1">
        <f t="shared" si="1"/>
        <v>42887</v>
      </c>
      <c r="B77">
        <v>0.36</v>
      </c>
    </row>
    <row r="78" spans="1:2" x14ac:dyDescent="0.2">
      <c r="A78" s="1">
        <f t="shared" si="1"/>
        <v>42856</v>
      </c>
      <c r="B78">
        <v>0.36</v>
      </c>
    </row>
    <row r="79" spans="1:2" x14ac:dyDescent="0.2">
      <c r="A79" s="1">
        <f t="shared" si="1"/>
        <v>42826</v>
      </c>
      <c r="B79">
        <v>0.36</v>
      </c>
    </row>
    <row r="80" spans="1:2" x14ac:dyDescent="0.2">
      <c r="A80" s="1">
        <f t="shared" si="1"/>
        <v>42795</v>
      </c>
      <c r="B80">
        <v>0.37</v>
      </c>
    </row>
    <row r="81" spans="1:2" x14ac:dyDescent="0.2">
      <c r="A81" s="1">
        <f t="shared" si="1"/>
        <v>42767</v>
      </c>
      <c r="B81">
        <v>0.37</v>
      </c>
    </row>
    <row r="82" spans="1:2" x14ac:dyDescent="0.2">
      <c r="A82" s="1">
        <f t="shared" si="1"/>
        <v>42736</v>
      </c>
      <c r="B82">
        <v>0.37</v>
      </c>
    </row>
    <row r="83" spans="1:2" x14ac:dyDescent="0.2">
      <c r="A83" s="1">
        <f t="shared" si="1"/>
        <v>42705</v>
      </c>
      <c r="B83">
        <v>0.41</v>
      </c>
    </row>
    <row r="84" spans="1:2" x14ac:dyDescent="0.2">
      <c r="A84" s="1">
        <f t="shared" si="1"/>
        <v>42675</v>
      </c>
      <c r="B84">
        <v>0.47</v>
      </c>
    </row>
    <row r="85" spans="1:2" x14ac:dyDescent="0.2">
      <c r="A85" s="1">
        <f t="shared" si="1"/>
        <v>42644</v>
      </c>
      <c r="B85">
        <v>0.61</v>
      </c>
    </row>
    <row r="86" spans="1:2" x14ac:dyDescent="0.2">
      <c r="A86" s="1">
        <f t="shared" si="1"/>
        <v>42614</v>
      </c>
      <c r="B86">
        <v>0.62</v>
      </c>
    </row>
    <row r="87" spans="1:2" x14ac:dyDescent="0.2">
      <c r="A87" s="1">
        <f t="shared" si="1"/>
        <v>42583</v>
      </c>
      <c r="B87">
        <v>0.65</v>
      </c>
    </row>
    <row r="88" spans="1:2" x14ac:dyDescent="0.2">
      <c r="A88" s="1">
        <f t="shared" si="1"/>
        <v>42552</v>
      </c>
      <c r="B88">
        <v>0.68</v>
      </c>
    </row>
    <row r="89" spans="1:2" x14ac:dyDescent="0.2">
      <c r="A89" s="1">
        <f t="shared" si="1"/>
        <v>42522</v>
      </c>
      <c r="B89">
        <v>0.68</v>
      </c>
    </row>
    <row r="90" spans="1:2" x14ac:dyDescent="0.2">
      <c r="A90" s="1">
        <f t="shared" si="1"/>
        <v>42491</v>
      </c>
      <c r="B90">
        <v>0.67</v>
      </c>
    </row>
    <row r="91" spans="1:2" x14ac:dyDescent="0.2">
      <c r="A91" s="1">
        <f t="shared" si="1"/>
        <v>42461</v>
      </c>
      <c r="B91">
        <v>0.7</v>
      </c>
    </row>
    <row r="92" spans="1:2" x14ac:dyDescent="0.2">
      <c r="A92" s="1">
        <f t="shared" si="1"/>
        <v>42430</v>
      </c>
      <c r="B92">
        <v>0.74</v>
      </c>
    </row>
    <row r="93" spans="1:2" x14ac:dyDescent="0.2">
      <c r="A93" s="1">
        <f t="shared" si="1"/>
        <v>42401</v>
      </c>
      <c r="B93">
        <v>0.74</v>
      </c>
    </row>
    <row r="94" spans="1:2" x14ac:dyDescent="0.2">
      <c r="A94" s="1">
        <f t="shared" si="1"/>
        <v>42370</v>
      </c>
      <c r="B94">
        <v>0.75</v>
      </c>
    </row>
    <row r="95" spans="1:2" x14ac:dyDescent="0.2">
      <c r="A95" s="1">
        <f t="shared" si="1"/>
        <v>42339</v>
      </c>
      <c r="B95">
        <v>0.78</v>
      </c>
    </row>
    <row r="96" spans="1:2" x14ac:dyDescent="0.2">
      <c r="A96" s="1">
        <f t="shared" si="1"/>
        <v>42309</v>
      </c>
      <c r="B96">
        <v>0.77</v>
      </c>
    </row>
    <row r="97" spans="1:2" x14ac:dyDescent="0.2">
      <c r="A97" s="1">
        <f t="shared" si="1"/>
        <v>42278</v>
      </c>
      <c r="B97">
        <v>0.77</v>
      </c>
    </row>
    <row r="98" spans="1:2" x14ac:dyDescent="0.2">
      <c r="A98" s="1">
        <f t="shared" si="1"/>
        <v>42248</v>
      </c>
      <c r="B98">
        <v>0.76</v>
      </c>
    </row>
    <row r="99" spans="1:2" x14ac:dyDescent="0.2">
      <c r="A99" s="1">
        <f t="shared" si="1"/>
        <v>42217</v>
      </c>
      <c r="B99">
        <v>0.77</v>
      </c>
    </row>
    <row r="100" spans="1:2" x14ac:dyDescent="0.2">
      <c r="A100" s="1">
        <f t="shared" si="1"/>
        <v>42186</v>
      </c>
      <c r="B100">
        <v>0.76</v>
      </c>
    </row>
    <row r="101" spans="1:2" x14ac:dyDescent="0.2">
      <c r="A101" s="1">
        <f t="shared" si="1"/>
        <v>42156</v>
      </c>
      <c r="B101">
        <v>0.77</v>
      </c>
    </row>
    <row r="102" spans="1:2" x14ac:dyDescent="0.2">
      <c r="A102" s="1">
        <f t="shared" si="1"/>
        <v>42125</v>
      </c>
      <c r="B102">
        <v>0.76</v>
      </c>
    </row>
    <row r="103" spans="1:2" x14ac:dyDescent="0.2">
      <c r="A103" s="1">
        <f t="shared" si="1"/>
        <v>42095</v>
      </c>
      <c r="B103">
        <v>0.75</v>
      </c>
    </row>
    <row r="104" spans="1:2" x14ac:dyDescent="0.2">
      <c r="A104" s="1">
        <f t="shared" si="1"/>
        <v>42064</v>
      </c>
      <c r="B104">
        <v>0.76</v>
      </c>
    </row>
    <row r="105" spans="1:2" x14ac:dyDescent="0.2">
      <c r="A105" s="1">
        <f t="shared" si="1"/>
        <v>42036</v>
      </c>
      <c r="B105">
        <v>0.76</v>
      </c>
    </row>
    <row r="106" spans="1:2" x14ac:dyDescent="0.2">
      <c r="A106" s="1">
        <f t="shared" si="1"/>
        <v>42005</v>
      </c>
      <c r="B106">
        <v>0.78</v>
      </c>
    </row>
    <row r="107" spans="1:2" x14ac:dyDescent="0.2">
      <c r="A107" s="1">
        <f t="shared" si="1"/>
        <v>41974</v>
      </c>
      <c r="B107">
        <v>0.75</v>
      </c>
    </row>
    <row r="108" spans="1:2" x14ac:dyDescent="0.2">
      <c r="A108" s="1">
        <f t="shared" si="1"/>
        <v>41944</v>
      </c>
      <c r="B108">
        <v>0.76</v>
      </c>
    </row>
    <row r="109" spans="1:2" x14ac:dyDescent="0.2">
      <c r="A109" s="1">
        <f t="shared" si="1"/>
        <v>41913</v>
      </c>
      <c r="B109">
        <v>0.78</v>
      </c>
    </row>
    <row r="110" spans="1:2" x14ac:dyDescent="0.2">
      <c r="A110" s="1">
        <f t="shared" si="1"/>
        <v>41883</v>
      </c>
      <c r="B110">
        <v>0.74</v>
      </c>
    </row>
    <row r="111" spans="1:2" x14ac:dyDescent="0.2">
      <c r="A111" s="1">
        <f t="shared" si="1"/>
        <v>41852</v>
      </c>
      <c r="B111">
        <v>0.75</v>
      </c>
    </row>
    <row r="112" spans="1:2" x14ac:dyDescent="0.2">
      <c r="A112" s="1">
        <f t="shared" si="1"/>
        <v>41821</v>
      </c>
      <c r="B112">
        <v>0.76</v>
      </c>
    </row>
    <row r="113" spans="1:2" x14ac:dyDescent="0.2">
      <c r="A113" s="1">
        <f t="shared" si="1"/>
        <v>41791</v>
      </c>
      <c r="B113">
        <v>0.79</v>
      </c>
    </row>
    <row r="114" spans="1:2" x14ac:dyDescent="0.2">
      <c r="A114" s="1">
        <f t="shared" si="1"/>
        <v>41760</v>
      </c>
      <c r="B114">
        <v>0.77</v>
      </c>
    </row>
    <row r="115" spans="1:2" x14ac:dyDescent="0.2">
      <c r="A115" s="1">
        <f t="shared" si="1"/>
        <v>41730</v>
      </c>
      <c r="B115">
        <v>0.76</v>
      </c>
    </row>
    <row r="116" spans="1:2" x14ac:dyDescent="0.2">
      <c r="A116" s="1">
        <f t="shared" si="1"/>
        <v>41699</v>
      </c>
      <c r="B116">
        <v>0.75</v>
      </c>
    </row>
    <row r="117" spans="1:2" x14ac:dyDescent="0.2">
      <c r="A117" s="1">
        <f t="shared" si="1"/>
        <v>41671</v>
      </c>
      <c r="B117">
        <v>0.76</v>
      </c>
    </row>
    <row r="118" spans="1:2" x14ac:dyDescent="0.2">
      <c r="A118" s="1">
        <f t="shared" si="1"/>
        <v>41640</v>
      </c>
      <c r="B118">
        <v>0.82</v>
      </c>
    </row>
    <row r="119" spans="1:2" x14ac:dyDescent="0.2">
      <c r="A119" s="1">
        <f t="shared" si="1"/>
        <v>41609</v>
      </c>
      <c r="B119">
        <v>0.82</v>
      </c>
    </row>
    <row r="120" spans="1:2" x14ac:dyDescent="0.2">
      <c r="A120" s="1">
        <f t="shared" si="1"/>
        <v>41579</v>
      </c>
      <c r="B120">
        <v>0.83</v>
      </c>
    </row>
    <row r="121" spans="1:2" x14ac:dyDescent="0.2">
      <c r="A121" s="1">
        <f t="shared" si="1"/>
        <v>41548</v>
      </c>
      <c r="B121">
        <v>0.86</v>
      </c>
    </row>
    <row r="122" spans="1:2" x14ac:dyDescent="0.2">
      <c r="A122" s="1">
        <f t="shared" si="1"/>
        <v>41518</v>
      </c>
      <c r="B122">
        <v>0.91</v>
      </c>
    </row>
    <row r="123" spans="1:2" x14ac:dyDescent="0.2">
      <c r="A123" s="1">
        <f t="shared" si="1"/>
        <v>41487</v>
      </c>
      <c r="B123">
        <v>0.9</v>
      </c>
    </row>
    <row r="124" spans="1:2" x14ac:dyDescent="0.2">
      <c r="A124" s="1">
        <f t="shared" si="1"/>
        <v>41456</v>
      </c>
      <c r="B124">
        <v>0.94</v>
      </c>
    </row>
    <row r="125" spans="1:2" x14ac:dyDescent="0.2">
      <c r="A125" s="1">
        <f t="shared" si="1"/>
        <v>41426</v>
      </c>
      <c r="B125">
        <v>0.96</v>
      </c>
    </row>
    <row r="126" spans="1:2" x14ac:dyDescent="0.2">
      <c r="A126" s="1">
        <f t="shared" si="1"/>
        <v>41395</v>
      </c>
      <c r="B126">
        <v>1</v>
      </c>
    </row>
    <row r="127" spans="1:2" x14ac:dyDescent="0.2">
      <c r="A127" s="1">
        <f t="shared" si="1"/>
        <v>41365</v>
      </c>
      <c r="B127">
        <v>1.02</v>
      </c>
    </row>
    <row r="128" spans="1:2" x14ac:dyDescent="0.2">
      <c r="A128" s="1">
        <f t="shared" si="1"/>
        <v>41334</v>
      </c>
      <c r="B128">
        <v>1.04</v>
      </c>
    </row>
    <row r="129" spans="1:2" x14ac:dyDescent="0.2">
      <c r="A129" s="1">
        <f t="shared" si="1"/>
        <v>41306</v>
      </c>
      <c r="B129">
        <v>1.08</v>
      </c>
    </row>
    <row r="130" spans="1:2" x14ac:dyDescent="0.2">
      <c r="A130" s="1">
        <f t="shared" si="1"/>
        <v>41275</v>
      </c>
      <c r="B130">
        <v>1.1399999999999999</v>
      </c>
    </row>
    <row r="131" spans="1:2" x14ac:dyDescent="0.2">
      <c r="A131" s="1">
        <f t="shared" si="1"/>
        <v>41244</v>
      </c>
      <c r="B131">
        <v>1.07</v>
      </c>
    </row>
    <row r="132" spans="1:2" x14ac:dyDescent="0.2">
      <c r="A132" s="1">
        <f t="shared" si="1"/>
        <v>41214</v>
      </c>
      <c r="B132">
        <v>1.07</v>
      </c>
    </row>
    <row r="133" spans="1:2" x14ac:dyDescent="0.2">
      <c r="A133" s="1">
        <f t="shared" ref="A133:A196" si="2">EDATE(A132,-1)</f>
        <v>41183</v>
      </c>
      <c r="B133">
        <v>1.08</v>
      </c>
    </row>
    <row r="134" spans="1:2" x14ac:dyDescent="0.2">
      <c r="A134" s="1">
        <f t="shared" si="2"/>
        <v>41153</v>
      </c>
      <c r="B134">
        <v>1.05</v>
      </c>
    </row>
    <row r="135" spans="1:2" x14ac:dyDescent="0.2">
      <c r="A135" s="1">
        <f t="shared" si="2"/>
        <v>41122</v>
      </c>
      <c r="B135">
        <v>1.04</v>
      </c>
    </row>
    <row r="136" spans="1:2" x14ac:dyDescent="0.2">
      <c r="A136" s="1">
        <f t="shared" si="2"/>
        <v>41091</v>
      </c>
      <c r="B136">
        <v>1.04</v>
      </c>
    </row>
    <row r="137" spans="1:2" x14ac:dyDescent="0.2">
      <c r="A137" s="1">
        <f t="shared" si="2"/>
        <v>41061</v>
      </c>
      <c r="B137">
        <v>1.06</v>
      </c>
    </row>
    <row r="138" spans="1:2" x14ac:dyDescent="0.2">
      <c r="A138" s="1">
        <f t="shared" si="2"/>
        <v>41030</v>
      </c>
      <c r="B138">
        <v>1.05</v>
      </c>
    </row>
    <row r="139" spans="1:2" x14ac:dyDescent="0.2">
      <c r="A139" s="1">
        <f t="shared" si="2"/>
        <v>41000</v>
      </c>
      <c r="B139">
        <v>1.03</v>
      </c>
    </row>
    <row r="140" spans="1:2" x14ac:dyDescent="0.2">
      <c r="A140" s="1">
        <f t="shared" si="2"/>
        <v>40969</v>
      </c>
      <c r="B140">
        <v>1.04</v>
      </c>
    </row>
    <row r="141" spans="1:2" x14ac:dyDescent="0.2">
      <c r="A141" s="1">
        <f t="shared" si="2"/>
        <v>40940</v>
      </c>
      <c r="B141">
        <v>1.03</v>
      </c>
    </row>
    <row r="142" spans="1:2" x14ac:dyDescent="0.2">
      <c r="A142" s="1">
        <f t="shared" si="2"/>
        <v>40909</v>
      </c>
      <c r="B142">
        <v>0.98</v>
      </c>
    </row>
    <row r="143" spans="1:2" x14ac:dyDescent="0.2">
      <c r="A143" s="1">
        <f t="shared" si="2"/>
        <v>40878</v>
      </c>
      <c r="B143">
        <v>0.98</v>
      </c>
    </row>
    <row r="144" spans="1:2" x14ac:dyDescent="0.2">
      <c r="A144" s="1">
        <f t="shared" si="2"/>
        <v>40848</v>
      </c>
      <c r="B144">
        <v>0.99</v>
      </c>
    </row>
    <row r="145" spans="1:2" x14ac:dyDescent="0.2">
      <c r="A145" s="1">
        <f t="shared" si="2"/>
        <v>40817</v>
      </c>
      <c r="B145">
        <v>0.98</v>
      </c>
    </row>
    <row r="146" spans="1:2" x14ac:dyDescent="0.2">
      <c r="A146" s="1">
        <f t="shared" si="2"/>
        <v>40787</v>
      </c>
      <c r="B146">
        <v>0.96</v>
      </c>
    </row>
    <row r="147" spans="1:2" x14ac:dyDescent="0.2">
      <c r="A147" s="1">
        <f t="shared" si="2"/>
        <v>40756</v>
      </c>
      <c r="B147">
        <v>0.91</v>
      </c>
    </row>
    <row r="148" spans="1:2" x14ac:dyDescent="0.2">
      <c r="A148" s="1">
        <f t="shared" si="2"/>
        <v>40725</v>
      </c>
      <c r="B148">
        <v>0.92</v>
      </c>
    </row>
    <row r="149" spans="1:2" x14ac:dyDescent="0.2">
      <c r="A149" s="1">
        <f t="shared" si="2"/>
        <v>40695</v>
      </c>
      <c r="B149">
        <v>0.92</v>
      </c>
    </row>
    <row r="150" spans="1:2" x14ac:dyDescent="0.2">
      <c r="A150" s="1">
        <f t="shared" si="2"/>
        <v>40664</v>
      </c>
      <c r="B150">
        <v>0.89</v>
      </c>
    </row>
    <row r="151" spans="1:2" x14ac:dyDescent="0.2">
      <c r="A151" s="1">
        <f t="shared" si="2"/>
        <v>40634</v>
      </c>
      <c r="B151">
        <v>0.91</v>
      </c>
    </row>
    <row r="152" spans="1:2" x14ac:dyDescent="0.2">
      <c r="A152" s="1">
        <f t="shared" si="2"/>
        <v>40603</v>
      </c>
      <c r="B152">
        <v>0.89</v>
      </c>
    </row>
    <row r="153" spans="1:2" x14ac:dyDescent="0.2">
      <c r="A153" s="1">
        <f t="shared" si="2"/>
        <v>40575</v>
      </c>
      <c r="B153">
        <v>0.86</v>
      </c>
    </row>
    <row r="154" spans="1:2" x14ac:dyDescent="0.2">
      <c r="A154" s="1">
        <f t="shared" si="2"/>
        <v>40544</v>
      </c>
      <c r="B154">
        <v>0.93</v>
      </c>
    </row>
    <row r="155" spans="1:2" x14ac:dyDescent="0.2">
      <c r="A155" s="1">
        <f t="shared" si="2"/>
        <v>40513</v>
      </c>
      <c r="B155">
        <v>0.86</v>
      </c>
    </row>
    <row r="156" spans="1:2" x14ac:dyDescent="0.2">
      <c r="A156" s="1">
        <f t="shared" si="2"/>
        <v>40483</v>
      </c>
      <c r="B156">
        <v>0.8</v>
      </c>
    </row>
    <row r="157" spans="1:2" x14ac:dyDescent="0.2">
      <c r="A157" s="1">
        <f t="shared" si="2"/>
        <v>40452</v>
      </c>
      <c r="B157">
        <v>0.82</v>
      </c>
    </row>
    <row r="158" spans="1:2" x14ac:dyDescent="0.2">
      <c r="A158" s="1">
        <f t="shared" si="2"/>
        <v>40422</v>
      </c>
      <c r="B158">
        <v>0.78</v>
      </c>
    </row>
    <row r="159" spans="1:2" x14ac:dyDescent="0.2">
      <c r="A159" s="1">
        <f t="shared" si="2"/>
        <v>40391</v>
      </c>
      <c r="B159">
        <v>0.77</v>
      </c>
    </row>
    <row r="160" spans="1:2" x14ac:dyDescent="0.2">
      <c r="A160" s="1">
        <f t="shared" si="2"/>
        <v>40360</v>
      </c>
      <c r="B160">
        <v>0.78</v>
      </c>
    </row>
    <row r="161" spans="1:2" x14ac:dyDescent="0.2">
      <c r="A161" s="1">
        <f t="shared" si="2"/>
        <v>40330</v>
      </c>
      <c r="B161">
        <v>0.78</v>
      </c>
    </row>
    <row r="162" spans="1:2" x14ac:dyDescent="0.2">
      <c r="A162" s="1">
        <f t="shared" si="2"/>
        <v>40299</v>
      </c>
      <c r="B162">
        <v>0.76</v>
      </c>
    </row>
    <row r="163" spans="1:2" x14ac:dyDescent="0.2">
      <c r="A163" s="1">
        <f t="shared" si="2"/>
        <v>40269</v>
      </c>
      <c r="B163">
        <v>0.77</v>
      </c>
    </row>
    <row r="164" spans="1:2" x14ac:dyDescent="0.2">
      <c r="A164" s="1">
        <f t="shared" si="2"/>
        <v>40238</v>
      </c>
      <c r="B164">
        <v>0.74</v>
      </c>
    </row>
    <row r="165" spans="1:2" x14ac:dyDescent="0.2">
      <c r="A165" s="1">
        <f t="shared" si="2"/>
        <v>40210</v>
      </c>
      <c r="B165">
        <v>0.74</v>
      </c>
    </row>
    <row r="166" spans="1:2" x14ac:dyDescent="0.2">
      <c r="A166" s="1">
        <f t="shared" si="2"/>
        <v>40179</v>
      </c>
      <c r="B166">
        <v>0.8</v>
      </c>
    </row>
    <row r="167" spans="1:2" x14ac:dyDescent="0.2">
      <c r="A167" s="1">
        <f t="shared" si="2"/>
        <v>40148</v>
      </c>
      <c r="B167">
        <v>0.73</v>
      </c>
    </row>
    <row r="168" spans="1:2" x14ac:dyDescent="0.2">
      <c r="A168" s="1">
        <f t="shared" si="2"/>
        <v>40118</v>
      </c>
      <c r="B168">
        <v>0.72</v>
      </c>
    </row>
    <row r="169" spans="1:2" x14ac:dyDescent="0.2">
      <c r="A169" s="1">
        <f t="shared" si="2"/>
        <v>40087</v>
      </c>
      <c r="B169">
        <v>0.75</v>
      </c>
    </row>
    <row r="170" spans="1:2" x14ac:dyDescent="0.2">
      <c r="A170" s="1">
        <f t="shared" si="2"/>
        <v>40057</v>
      </c>
      <c r="B170">
        <v>0.74</v>
      </c>
    </row>
    <row r="171" spans="1:2" x14ac:dyDescent="0.2">
      <c r="A171" s="1">
        <f t="shared" si="2"/>
        <v>40026</v>
      </c>
      <c r="B171">
        <v>0.71</v>
      </c>
    </row>
    <row r="172" spans="1:2" x14ac:dyDescent="0.2">
      <c r="A172" s="1">
        <f t="shared" si="2"/>
        <v>39995</v>
      </c>
      <c r="B172">
        <v>0.74</v>
      </c>
    </row>
    <row r="173" spans="1:2" x14ac:dyDescent="0.2">
      <c r="A173" s="1">
        <f t="shared" si="2"/>
        <v>39965</v>
      </c>
      <c r="B173">
        <v>0.76</v>
      </c>
    </row>
    <row r="174" spans="1:2" x14ac:dyDescent="0.2">
      <c r="A174" s="1">
        <f t="shared" si="2"/>
        <v>39934</v>
      </c>
      <c r="B174">
        <v>0.73</v>
      </c>
    </row>
    <row r="175" spans="1:2" x14ac:dyDescent="0.2">
      <c r="A175" s="1">
        <f t="shared" si="2"/>
        <v>39904</v>
      </c>
      <c r="B175">
        <v>0.76</v>
      </c>
    </row>
    <row r="176" spans="1:2" x14ac:dyDescent="0.2">
      <c r="A176" s="1">
        <f t="shared" si="2"/>
        <v>39873</v>
      </c>
      <c r="B176">
        <v>0.82</v>
      </c>
    </row>
    <row r="177" spans="1:2" x14ac:dyDescent="0.2">
      <c r="A177" s="1">
        <f t="shared" si="2"/>
        <v>39845</v>
      </c>
      <c r="B177">
        <v>0.94</v>
      </c>
    </row>
    <row r="178" spans="1:2" x14ac:dyDescent="0.2">
      <c r="A178" s="1">
        <f t="shared" si="2"/>
        <v>39814</v>
      </c>
      <c r="B178">
        <v>1.1399999999999999</v>
      </c>
    </row>
    <row r="179" spans="1:2" x14ac:dyDescent="0.2">
      <c r="A179" s="1">
        <f t="shared" si="2"/>
        <v>39783</v>
      </c>
      <c r="B179">
        <v>1.59</v>
      </c>
    </row>
    <row r="180" spans="1:2" x14ac:dyDescent="0.2">
      <c r="A180" s="1">
        <f t="shared" si="2"/>
        <v>39753</v>
      </c>
      <c r="B180">
        <v>2.57</v>
      </c>
    </row>
    <row r="181" spans="1:2" x14ac:dyDescent="0.2">
      <c r="A181" s="1">
        <f t="shared" si="2"/>
        <v>39722</v>
      </c>
      <c r="B181">
        <v>3.03</v>
      </c>
    </row>
    <row r="182" spans="1:2" x14ac:dyDescent="0.2">
      <c r="A182" s="1">
        <f t="shared" si="2"/>
        <v>39692</v>
      </c>
      <c r="B182">
        <v>3.08</v>
      </c>
    </row>
    <row r="183" spans="1:2" x14ac:dyDescent="0.2">
      <c r="A183" s="1">
        <f t="shared" si="2"/>
        <v>39661</v>
      </c>
      <c r="B183">
        <v>3.1</v>
      </c>
    </row>
    <row r="184" spans="1:2" x14ac:dyDescent="0.2">
      <c r="A184" s="1">
        <f t="shared" si="2"/>
        <v>39630</v>
      </c>
      <c r="B184">
        <v>3.09</v>
      </c>
    </row>
    <row r="185" spans="1:2" x14ac:dyDescent="0.2">
      <c r="A185" s="1">
        <f t="shared" si="2"/>
        <v>39600</v>
      </c>
      <c r="B185">
        <v>3.01</v>
      </c>
    </row>
    <row r="186" spans="1:2" x14ac:dyDescent="0.2">
      <c r="A186" s="1">
        <f t="shared" si="2"/>
        <v>39569</v>
      </c>
      <c r="B186">
        <v>2.97</v>
      </c>
    </row>
    <row r="187" spans="1:2" x14ac:dyDescent="0.2">
      <c r="A187" s="1">
        <f t="shared" si="2"/>
        <v>39539</v>
      </c>
      <c r="B187">
        <v>3.11</v>
      </c>
    </row>
    <row r="188" spans="1:2" x14ac:dyDescent="0.2">
      <c r="A188" s="1">
        <f t="shared" si="2"/>
        <v>39508</v>
      </c>
      <c r="B188">
        <v>3.11</v>
      </c>
    </row>
    <row r="189" spans="1:2" x14ac:dyDescent="0.2">
      <c r="A189" s="1">
        <f t="shared" si="2"/>
        <v>39479</v>
      </c>
      <c r="B189">
        <v>3.29</v>
      </c>
    </row>
    <row r="190" spans="1:2" x14ac:dyDescent="0.2">
      <c r="A190" s="1">
        <f t="shared" si="2"/>
        <v>39448</v>
      </c>
      <c r="B190">
        <v>3.32</v>
      </c>
    </row>
    <row r="191" spans="1:2" x14ac:dyDescent="0.2">
      <c r="A191" s="1">
        <f t="shared" si="2"/>
        <v>39417</v>
      </c>
      <c r="B191">
        <v>3.45</v>
      </c>
    </row>
    <row r="192" spans="1:2" x14ac:dyDescent="0.2">
      <c r="A192" s="1">
        <f t="shared" si="2"/>
        <v>39387</v>
      </c>
      <c r="B192">
        <v>3.48</v>
      </c>
    </row>
    <row r="193" spans="1:2" x14ac:dyDescent="0.2">
      <c r="A193" s="1">
        <f t="shared" si="2"/>
        <v>39356</v>
      </c>
      <c r="B193">
        <v>3.51</v>
      </c>
    </row>
    <row r="194" spans="1:2" x14ac:dyDescent="0.2">
      <c r="A194" s="1">
        <f t="shared" si="2"/>
        <v>39326</v>
      </c>
      <c r="B194">
        <v>3.47</v>
      </c>
    </row>
    <row r="195" spans="1:2" x14ac:dyDescent="0.2">
      <c r="A195" s="1">
        <f t="shared" si="2"/>
        <v>39295</v>
      </c>
      <c r="B195">
        <v>3.46</v>
      </c>
    </row>
    <row r="196" spans="1:2" x14ac:dyDescent="0.2">
      <c r="A196" s="1">
        <f t="shared" si="2"/>
        <v>39264</v>
      </c>
      <c r="B196">
        <v>3.33</v>
      </c>
    </row>
    <row r="197" spans="1:2" x14ac:dyDescent="0.2">
      <c r="A197" s="1">
        <f t="shared" ref="A197:A260" si="3">EDATE(A196,-1)</f>
        <v>39234</v>
      </c>
      <c r="B197">
        <v>3.31</v>
      </c>
    </row>
    <row r="198" spans="1:2" x14ac:dyDescent="0.2">
      <c r="A198" s="1">
        <f t="shared" si="3"/>
        <v>39203</v>
      </c>
      <c r="B198">
        <v>3.14</v>
      </c>
    </row>
    <row r="199" spans="1:2" x14ac:dyDescent="0.2">
      <c r="A199" s="1">
        <f t="shared" si="3"/>
        <v>39173</v>
      </c>
      <c r="B199">
        <v>3.13</v>
      </c>
    </row>
    <row r="200" spans="1:2" x14ac:dyDescent="0.2">
      <c r="A200" s="1">
        <f t="shared" si="3"/>
        <v>39142</v>
      </c>
      <c r="B200">
        <v>3.1</v>
      </c>
    </row>
    <row r="201" spans="1:2" x14ac:dyDescent="0.2">
      <c r="A201" s="1">
        <f t="shared" si="3"/>
        <v>39114</v>
      </c>
      <c r="B201">
        <v>3.13</v>
      </c>
    </row>
    <row r="202" spans="1:2" x14ac:dyDescent="0.2">
      <c r="A202" s="1">
        <f t="shared" si="3"/>
        <v>39083</v>
      </c>
      <c r="B202">
        <v>2.99</v>
      </c>
    </row>
    <row r="203" spans="1:2" x14ac:dyDescent="0.2">
      <c r="A203" s="1">
        <f t="shared" si="3"/>
        <v>39052</v>
      </c>
      <c r="B203">
        <v>2.95</v>
      </c>
    </row>
    <row r="204" spans="1:2" x14ac:dyDescent="0.2">
      <c r="A204" s="1">
        <f t="shared" si="3"/>
        <v>39022</v>
      </c>
      <c r="B204">
        <v>2.87</v>
      </c>
    </row>
    <row r="205" spans="1:2" x14ac:dyDescent="0.2">
      <c r="A205" s="1">
        <f t="shared" si="3"/>
        <v>38991</v>
      </c>
      <c r="B205">
        <v>2.85</v>
      </c>
    </row>
    <row r="206" spans="1:2" x14ac:dyDescent="0.2">
      <c r="A206" s="1">
        <f t="shared" si="3"/>
        <v>38961</v>
      </c>
      <c r="B206">
        <v>2.84</v>
      </c>
    </row>
    <row r="207" spans="1:2" x14ac:dyDescent="0.2">
      <c r="A207" s="1">
        <f t="shared" si="3"/>
        <v>38930</v>
      </c>
      <c r="B207">
        <v>2.74</v>
      </c>
    </row>
    <row r="208" spans="1:2" x14ac:dyDescent="0.2">
      <c r="A208" s="1">
        <f t="shared" si="3"/>
        <v>38899</v>
      </c>
      <c r="B208">
        <v>2.71</v>
      </c>
    </row>
    <row r="209" spans="1:2" x14ac:dyDescent="0.2">
      <c r="A209" s="1">
        <f t="shared" si="3"/>
        <v>38869</v>
      </c>
      <c r="B209">
        <v>2.72</v>
      </c>
    </row>
    <row r="210" spans="1:2" x14ac:dyDescent="0.2">
      <c r="A210" s="1">
        <f t="shared" si="3"/>
        <v>38838</v>
      </c>
      <c r="B210">
        <v>2.69</v>
      </c>
    </row>
    <row r="211" spans="1:2" x14ac:dyDescent="0.2">
      <c r="A211" s="1">
        <f t="shared" si="3"/>
        <v>38808</v>
      </c>
      <c r="B211">
        <v>2.71</v>
      </c>
    </row>
    <row r="212" spans="1:2" x14ac:dyDescent="0.2">
      <c r="A212" s="1">
        <f t="shared" si="3"/>
        <v>38777</v>
      </c>
      <c r="B212">
        <v>2.73</v>
      </c>
    </row>
    <row r="213" spans="1:2" x14ac:dyDescent="0.2">
      <c r="A213" s="1">
        <f t="shared" si="3"/>
        <v>38749</v>
      </c>
      <c r="B213">
        <v>2.74</v>
      </c>
    </row>
    <row r="214" spans="1:2" x14ac:dyDescent="0.2">
      <c r="A214" s="1">
        <f t="shared" si="3"/>
        <v>38718</v>
      </c>
      <c r="B214">
        <v>2.7</v>
      </c>
    </row>
    <row r="215" spans="1:2" x14ac:dyDescent="0.2">
      <c r="A215" s="1">
        <f t="shared" si="3"/>
        <v>38687</v>
      </c>
      <c r="B215">
        <v>2.75</v>
      </c>
    </row>
    <row r="216" spans="1:2" x14ac:dyDescent="0.2">
      <c r="A216" s="1">
        <f t="shared" si="3"/>
        <v>38657</v>
      </c>
      <c r="B216">
        <v>2.87</v>
      </c>
    </row>
    <row r="217" spans="1:2" x14ac:dyDescent="0.2">
      <c r="A217" s="1">
        <f t="shared" si="3"/>
        <v>38626</v>
      </c>
      <c r="B217">
        <v>2.85</v>
      </c>
    </row>
    <row r="218" spans="1:2" x14ac:dyDescent="0.2">
      <c r="A218" s="1">
        <f t="shared" si="3"/>
        <v>38596</v>
      </c>
      <c r="B218">
        <v>2.89</v>
      </c>
    </row>
    <row r="219" spans="1:2" x14ac:dyDescent="0.2">
      <c r="A219" s="1">
        <f t="shared" si="3"/>
        <v>38565</v>
      </c>
      <c r="B219">
        <v>3.01</v>
      </c>
    </row>
    <row r="220" spans="1:2" x14ac:dyDescent="0.2">
      <c r="A220" s="1">
        <f t="shared" si="3"/>
        <v>38534</v>
      </c>
      <c r="B220">
        <v>3.06</v>
      </c>
    </row>
    <row r="221" spans="1:2" x14ac:dyDescent="0.2">
      <c r="A221" s="1">
        <f t="shared" si="3"/>
        <v>38504</v>
      </c>
      <c r="B221">
        <v>3.03</v>
      </c>
    </row>
    <row r="222" spans="1:2" x14ac:dyDescent="0.2">
      <c r="A222" s="1">
        <f t="shared" si="3"/>
        <v>38473</v>
      </c>
      <c r="B222">
        <v>3.07</v>
      </c>
    </row>
    <row r="223" spans="1:2" x14ac:dyDescent="0.2">
      <c r="A223" s="1">
        <f t="shared" si="3"/>
        <v>38443</v>
      </c>
      <c r="B223">
        <v>3.06</v>
      </c>
    </row>
    <row r="224" spans="1:2" x14ac:dyDescent="0.2">
      <c r="A224" s="1">
        <f t="shared" si="3"/>
        <v>38412</v>
      </c>
      <c r="B224">
        <v>3.07</v>
      </c>
    </row>
    <row r="225" spans="1:2" x14ac:dyDescent="0.2">
      <c r="A225" s="1">
        <f t="shared" si="3"/>
        <v>38384</v>
      </c>
      <c r="B225">
        <v>3.06</v>
      </c>
    </row>
    <row r="226" spans="1:2" x14ac:dyDescent="0.2">
      <c r="A226" s="1">
        <f t="shared" si="3"/>
        <v>38353</v>
      </c>
      <c r="B226">
        <v>3.05</v>
      </c>
    </row>
    <row r="227" spans="1:2" x14ac:dyDescent="0.2">
      <c r="A227" s="1">
        <f t="shared" si="3"/>
        <v>38322</v>
      </c>
      <c r="B227">
        <v>3.05</v>
      </c>
    </row>
    <row r="228" spans="1:2" x14ac:dyDescent="0.2">
      <c r="A228" s="1">
        <f t="shared" si="3"/>
        <v>38292</v>
      </c>
      <c r="B228">
        <v>3.02</v>
      </c>
    </row>
    <row r="229" spans="1:2" x14ac:dyDescent="0.2">
      <c r="A229" s="1">
        <f t="shared" si="3"/>
        <v>38261</v>
      </c>
      <c r="B229">
        <v>3.06</v>
      </c>
    </row>
    <row r="230" spans="1:2" x14ac:dyDescent="0.2">
      <c r="A230" s="1">
        <f t="shared" si="3"/>
        <v>38231</v>
      </c>
      <c r="B230">
        <v>3.05</v>
      </c>
    </row>
    <row r="231" spans="1:2" x14ac:dyDescent="0.2">
      <c r="A231" s="1">
        <f t="shared" si="3"/>
        <v>38200</v>
      </c>
      <c r="B231">
        <v>2.87</v>
      </c>
    </row>
    <row r="232" spans="1:2" x14ac:dyDescent="0.2">
      <c r="A232" s="1">
        <f t="shared" si="3"/>
        <v>38169</v>
      </c>
      <c r="B232">
        <v>2.81</v>
      </c>
    </row>
    <row r="233" spans="1:2" x14ac:dyDescent="0.2">
      <c r="A233" s="1">
        <f t="shared" si="3"/>
        <v>38139</v>
      </c>
      <c r="B233">
        <v>2.5099999999999998</v>
      </c>
    </row>
    <row r="234" spans="1:2" x14ac:dyDescent="0.2">
      <c r="A234" s="1">
        <f t="shared" si="3"/>
        <v>38108</v>
      </c>
      <c r="B234">
        <v>2.35</v>
      </c>
    </row>
    <row r="235" spans="1:2" x14ac:dyDescent="0.2">
      <c r="A235" s="1">
        <f t="shared" si="3"/>
        <v>38078</v>
      </c>
      <c r="B235">
        <v>2.2599999999999998</v>
      </c>
    </row>
    <row r="236" spans="1:2" x14ac:dyDescent="0.2">
      <c r="A236" s="1">
        <f t="shared" si="3"/>
        <v>38047</v>
      </c>
      <c r="B236">
        <v>2.2599999999999998</v>
      </c>
    </row>
    <row r="237" spans="1:2" x14ac:dyDescent="0.2">
      <c r="A237" s="1">
        <f t="shared" si="3"/>
        <v>38018</v>
      </c>
      <c r="B237">
        <v>2.16</v>
      </c>
    </row>
    <row r="238" spans="1:2" x14ac:dyDescent="0.2">
      <c r="A238" s="1">
        <f t="shared" si="3"/>
        <v>37987</v>
      </c>
      <c r="B238">
        <v>2.0499999999999998</v>
      </c>
    </row>
    <row r="239" spans="1:2" x14ac:dyDescent="0.2">
      <c r="A239" s="1">
        <f t="shared" si="3"/>
        <v>37956</v>
      </c>
      <c r="B239">
        <v>1.76</v>
      </c>
    </row>
    <row r="240" spans="1:2" x14ac:dyDescent="0.2">
      <c r="A240" s="1">
        <f t="shared" si="3"/>
        <v>37926</v>
      </c>
      <c r="B240">
        <v>1.63</v>
      </c>
    </row>
    <row r="241" spans="1:2" x14ac:dyDescent="0.2">
      <c r="A241" s="1">
        <f t="shared" si="3"/>
        <v>37895</v>
      </c>
      <c r="B241">
        <v>1.61</v>
      </c>
    </row>
    <row r="242" spans="1:2" x14ac:dyDescent="0.2">
      <c r="A242" s="1">
        <f t="shared" si="3"/>
        <v>37865</v>
      </c>
      <c r="B242">
        <v>1.62</v>
      </c>
    </row>
    <row r="243" spans="1:2" x14ac:dyDescent="0.2">
      <c r="A243" s="1">
        <f t="shared" si="3"/>
        <v>37834</v>
      </c>
      <c r="B243">
        <v>1.61</v>
      </c>
    </row>
    <row r="244" spans="1:2" x14ac:dyDescent="0.2">
      <c r="A244" s="1">
        <f t="shared" si="3"/>
        <v>37803</v>
      </c>
      <c r="B244">
        <v>1.71</v>
      </c>
    </row>
    <row r="245" spans="1:2" x14ac:dyDescent="0.2">
      <c r="A245" s="1">
        <f t="shared" si="3"/>
        <v>37773</v>
      </c>
      <c r="B245">
        <v>1.79</v>
      </c>
    </row>
    <row r="246" spans="1:2" x14ac:dyDescent="0.2">
      <c r="A246" s="1">
        <f t="shared" si="3"/>
        <v>37742</v>
      </c>
      <c r="B246">
        <v>1.78</v>
      </c>
    </row>
    <row r="247" spans="1:2" x14ac:dyDescent="0.2">
      <c r="A247" s="1">
        <f t="shared" si="3"/>
        <v>37712</v>
      </c>
      <c r="B247">
        <v>1.79</v>
      </c>
    </row>
    <row r="248" spans="1:2" x14ac:dyDescent="0.2">
      <c r="A248" s="1">
        <f t="shared" si="3"/>
        <v>37681</v>
      </c>
      <c r="B248">
        <v>1.81</v>
      </c>
    </row>
    <row r="249" spans="1:2" x14ac:dyDescent="0.2">
      <c r="A249" s="1">
        <f t="shared" si="3"/>
        <v>37653</v>
      </c>
      <c r="B249">
        <v>1.89</v>
      </c>
    </row>
    <row r="250" spans="1:2" x14ac:dyDescent="0.2">
      <c r="A250" s="1">
        <f t="shared" si="3"/>
        <v>37622</v>
      </c>
      <c r="B250">
        <v>1.9</v>
      </c>
    </row>
    <row r="251" spans="1:2" x14ac:dyDescent="0.2">
      <c r="A251" s="1">
        <f t="shared" si="3"/>
        <v>37591</v>
      </c>
      <c r="B251">
        <v>1.86</v>
      </c>
    </row>
    <row r="252" spans="1:2" x14ac:dyDescent="0.2">
      <c r="A252" s="1">
        <f t="shared" si="3"/>
        <v>37561</v>
      </c>
      <c r="B252">
        <v>1.86</v>
      </c>
    </row>
    <row r="253" spans="1:2" x14ac:dyDescent="0.2">
      <c r="A253" s="1">
        <f t="shared" si="3"/>
        <v>37530</v>
      </c>
      <c r="B253">
        <v>1.73</v>
      </c>
    </row>
    <row r="254" spans="1:2" x14ac:dyDescent="0.2">
      <c r="A254" s="1">
        <f t="shared" si="3"/>
        <v>37500</v>
      </c>
      <c r="B254">
        <v>1.89</v>
      </c>
    </row>
    <row r="255" spans="1:2" x14ac:dyDescent="0.2">
      <c r="A255" s="1">
        <f t="shared" si="3"/>
        <v>37469</v>
      </c>
      <c r="B255">
        <v>1.87</v>
      </c>
    </row>
    <row r="256" spans="1:2" x14ac:dyDescent="0.2">
      <c r="A256" s="1">
        <f t="shared" si="3"/>
        <v>37438</v>
      </c>
      <c r="B256">
        <v>1.82</v>
      </c>
    </row>
    <row r="257" spans="1:2" x14ac:dyDescent="0.2">
      <c r="A257" s="1">
        <f t="shared" si="3"/>
        <v>37408</v>
      </c>
      <c r="B257">
        <v>1.77</v>
      </c>
    </row>
    <row r="258" spans="1:2" x14ac:dyDescent="0.2">
      <c r="A258" s="1">
        <f t="shared" si="3"/>
        <v>37377</v>
      </c>
      <c r="B258">
        <v>1.77</v>
      </c>
    </row>
    <row r="259" spans="1:2" x14ac:dyDescent="0.2">
      <c r="A259" s="1">
        <f t="shared" si="3"/>
        <v>37347</v>
      </c>
      <c r="B259">
        <v>1.76</v>
      </c>
    </row>
    <row r="260" spans="1:2" x14ac:dyDescent="0.2">
      <c r="A260" s="1">
        <f t="shared" si="3"/>
        <v>37316</v>
      </c>
      <c r="B260">
        <v>1.69</v>
      </c>
    </row>
    <row r="261" spans="1:2" x14ac:dyDescent="0.2">
      <c r="A261" s="1">
        <f t="shared" ref="A261:A298" si="4">EDATE(A260,-1)</f>
        <v>37288</v>
      </c>
      <c r="B261">
        <v>1.72</v>
      </c>
    </row>
    <row r="262" spans="1:2" x14ac:dyDescent="0.2">
      <c r="A262" s="1">
        <f t="shared" si="4"/>
        <v>37257</v>
      </c>
      <c r="B262">
        <v>1.71</v>
      </c>
    </row>
    <row r="263" spans="1:2" x14ac:dyDescent="0.2">
      <c r="A263" s="1">
        <f t="shared" si="4"/>
        <v>37226</v>
      </c>
      <c r="B263">
        <v>1.71</v>
      </c>
    </row>
    <row r="264" spans="1:2" x14ac:dyDescent="0.2">
      <c r="A264" s="1">
        <f t="shared" si="4"/>
        <v>37196</v>
      </c>
      <c r="B264">
        <v>2.0099999999999998</v>
      </c>
    </row>
    <row r="265" spans="1:2" x14ac:dyDescent="0.2">
      <c r="A265" s="1">
        <f t="shared" si="4"/>
        <v>37165</v>
      </c>
      <c r="B265">
        <v>2.19</v>
      </c>
    </row>
    <row r="266" spans="1:2" x14ac:dyDescent="0.2">
      <c r="A266" s="1">
        <f t="shared" si="4"/>
        <v>37135</v>
      </c>
      <c r="B266">
        <v>2.36</v>
      </c>
    </row>
    <row r="267" spans="1:2" x14ac:dyDescent="0.2">
      <c r="A267" s="1">
        <f t="shared" si="4"/>
        <v>37104</v>
      </c>
      <c r="B267">
        <v>2.56</v>
      </c>
    </row>
    <row r="268" spans="1:2" x14ac:dyDescent="0.2">
      <c r="A268" s="1">
        <f t="shared" si="4"/>
        <v>37073</v>
      </c>
      <c r="B268">
        <v>2.58</v>
      </c>
    </row>
    <row r="269" spans="1:2" x14ac:dyDescent="0.2">
      <c r="A269" s="1">
        <f t="shared" si="4"/>
        <v>37043</v>
      </c>
      <c r="B269">
        <v>2.56</v>
      </c>
    </row>
    <row r="270" spans="1:2" x14ac:dyDescent="0.2">
      <c r="A270" s="1">
        <f t="shared" si="4"/>
        <v>37012</v>
      </c>
      <c r="B270">
        <v>2.68</v>
      </c>
    </row>
    <row r="271" spans="1:2" x14ac:dyDescent="0.2">
      <c r="A271" s="1">
        <f t="shared" si="4"/>
        <v>36982</v>
      </c>
      <c r="B271">
        <v>2.88</v>
      </c>
    </row>
    <row r="272" spans="1:2" x14ac:dyDescent="0.2">
      <c r="A272" s="1">
        <f t="shared" si="4"/>
        <v>36951</v>
      </c>
      <c r="B272">
        <v>2.88</v>
      </c>
    </row>
    <row r="273" spans="1:2" x14ac:dyDescent="0.2">
      <c r="A273" s="1">
        <f t="shared" si="4"/>
        <v>36923</v>
      </c>
      <c r="B273">
        <v>3.06</v>
      </c>
    </row>
    <row r="274" spans="1:2" x14ac:dyDescent="0.2">
      <c r="A274" s="1">
        <f t="shared" si="4"/>
        <v>36892</v>
      </c>
      <c r="B274">
        <v>3.11</v>
      </c>
    </row>
    <row r="275" spans="1:2" x14ac:dyDescent="0.2">
      <c r="A275" s="1">
        <f t="shared" si="4"/>
        <v>36861</v>
      </c>
      <c r="B275">
        <v>3.1</v>
      </c>
    </row>
    <row r="276" spans="1:2" x14ac:dyDescent="0.2">
      <c r="A276" s="1">
        <f t="shared" si="4"/>
        <v>36831</v>
      </c>
      <c r="B276">
        <v>3.08</v>
      </c>
    </row>
    <row r="277" spans="1:2" x14ac:dyDescent="0.2">
      <c r="A277" s="1">
        <f t="shared" si="4"/>
        <v>36800</v>
      </c>
      <c r="B277">
        <v>3.08</v>
      </c>
    </row>
    <row r="278" spans="1:2" x14ac:dyDescent="0.2">
      <c r="A278" s="1">
        <f t="shared" si="4"/>
        <v>36770</v>
      </c>
      <c r="B278">
        <v>3.09</v>
      </c>
    </row>
    <row r="279" spans="1:2" x14ac:dyDescent="0.2">
      <c r="A279" s="1">
        <f t="shared" si="4"/>
        <v>36739</v>
      </c>
      <c r="B279">
        <v>2.94</v>
      </c>
    </row>
    <row r="280" spans="1:2" x14ac:dyDescent="0.2">
      <c r="A280" s="1">
        <f t="shared" si="4"/>
        <v>36708</v>
      </c>
      <c r="B280">
        <v>2.92</v>
      </c>
    </row>
    <row r="281" spans="1:2" x14ac:dyDescent="0.2">
      <c r="A281" s="1">
        <f t="shared" si="4"/>
        <v>36678</v>
      </c>
      <c r="B281">
        <v>2.92</v>
      </c>
    </row>
    <row r="282" spans="1:2" x14ac:dyDescent="0.2">
      <c r="A282" s="1">
        <f t="shared" si="4"/>
        <v>36647</v>
      </c>
      <c r="B282">
        <v>2.85</v>
      </c>
    </row>
    <row r="283" spans="1:2" x14ac:dyDescent="0.2">
      <c r="A283" s="1">
        <f t="shared" si="4"/>
        <v>36617</v>
      </c>
      <c r="B283">
        <v>2.98</v>
      </c>
    </row>
    <row r="284" spans="1:2" x14ac:dyDescent="0.2">
      <c r="A284" s="1">
        <f t="shared" si="4"/>
        <v>36586</v>
      </c>
      <c r="B284">
        <v>2.8</v>
      </c>
    </row>
    <row r="285" spans="1:2" x14ac:dyDescent="0.2">
      <c r="A285" s="1">
        <f t="shared" si="4"/>
        <v>36557</v>
      </c>
      <c r="B285">
        <v>2.73</v>
      </c>
    </row>
    <row r="286" spans="1:2" x14ac:dyDescent="0.2">
      <c r="A286" s="1">
        <f t="shared" si="4"/>
        <v>36526</v>
      </c>
      <c r="B286">
        <v>2.64</v>
      </c>
    </row>
    <row r="287" spans="1:2" x14ac:dyDescent="0.2">
      <c r="A287" s="1">
        <f t="shared" si="4"/>
        <v>36495</v>
      </c>
      <c r="B287">
        <v>2.5299999999999998</v>
      </c>
    </row>
    <row r="288" spans="1:2" x14ac:dyDescent="0.2">
      <c r="A288" s="1">
        <f t="shared" si="4"/>
        <v>36465</v>
      </c>
      <c r="B288">
        <v>2.38</v>
      </c>
    </row>
    <row r="289" spans="1:2" x14ac:dyDescent="0.2">
      <c r="A289" s="1">
        <f t="shared" si="4"/>
        <v>36434</v>
      </c>
      <c r="B289">
        <v>2.37</v>
      </c>
    </row>
    <row r="290" spans="1:2" x14ac:dyDescent="0.2">
      <c r="A290" s="1">
        <f t="shared" si="4"/>
        <v>36404</v>
      </c>
      <c r="B290">
        <v>2.3199999999999998</v>
      </c>
    </row>
    <row r="291" spans="1:2" x14ac:dyDescent="0.2">
      <c r="A291" s="1">
        <f t="shared" si="4"/>
        <v>36373</v>
      </c>
      <c r="B291">
        <v>2.25</v>
      </c>
    </row>
    <row r="292" spans="1:2" x14ac:dyDescent="0.2">
      <c r="A292" s="1">
        <f t="shared" si="4"/>
        <v>36342</v>
      </c>
      <c r="B292">
        <v>2.2599999999999998</v>
      </c>
    </row>
    <row r="293" spans="1:2" x14ac:dyDescent="0.2">
      <c r="A293" s="1">
        <f t="shared" si="4"/>
        <v>36312</v>
      </c>
      <c r="B293">
        <v>2.29</v>
      </c>
    </row>
    <row r="294" spans="1:2" x14ac:dyDescent="0.2">
      <c r="A294" s="1">
        <f t="shared" si="4"/>
        <v>36281</v>
      </c>
      <c r="B294">
        <v>2.31</v>
      </c>
    </row>
    <row r="295" spans="1:2" x14ac:dyDescent="0.2">
      <c r="A295" s="1">
        <f t="shared" si="4"/>
        <v>36251</v>
      </c>
      <c r="B295">
        <v>2.48</v>
      </c>
    </row>
    <row r="296" spans="1:2" x14ac:dyDescent="0.2">
      <c r="A296" s="1">
        <f t="shared" si="4"/>
        <v>36220</v>
      </c>
      <c r="B296">
        <v>2.4900000000000002</v>
      </c>
    </row>
    <row r="297" spans="1:2" x14ac:dyDescent="0.2">
      <c r="A297" s="1">
        <f t="shared" si="4"/>
        <v>36192</v>
      </c>
      <c r="B297">
        <v>2.74</v>
      </c>
    </row>
    <row r="298" spans="1:2" x14ac:dyDescent="0.2">
      <c r="A298" s="1">
        <f t="shared" si="4"/>
        <v>36161</v>
      </c>
      <c r="B298">
        <v>3.07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GDP</vt:lpstr>
      <vt:lpstr>M1</vt:lpstr>
      <vt:lpstr>Inflation</vt:lpstr>
      <vt:lpstr>Commercial Loan Rate</vt:lpstr>
      <vt:lpstr>Deposit Cost</vt:lpstr>
      <vt:lpstr>CB Cost</vt:lpstr>
      <vt:lpstr>Deposits</vt:lpstr>
      <vt:lpstr>Assets</vt:lpstr>
      <vt:lpstr>Payments</vt:lpstr>
      <vt:lpstr>Online Retail</vt:lpstr>
      <vt:lpstr>Yield5M</vt:lpstr>
      <vt:lpstr>Loan Rate</vt:lpstr>
      <vt:lpstr>Bank Rate</vt:lpstr>
      <vt:lpstr>Deposit 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Venturi, Giulio Carlo</dc:creator>
  <cp:lastModifiedBy>Venturi, Giulio Carlo</cp:lastModifiedBy>
  <dcterms:created xsi:type="dcterms:W3CDTF">2023-10-18T13:55:47Z</dcterms:created>
  <dcterms:modified xsi:type="dcterms:W3CDTF">2023-11-01T08:32:38Z</dcterms:modified>
</cp:coreProperties>
</file>