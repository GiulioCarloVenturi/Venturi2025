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uliocarloventuri/Documents/Imperial College/CBDC_Paper/Payment Systems/Code/US_costless/"/>
    </mc:Choice>
  </mc:AlternateContent>
  <xr:revisionPtr revIDLastSave="0" documentId="13_ncr:1_{3758D1D1-2D91-234D-A60E-CDF09FFAF68E}" xr6:coauthVersionLast="47" xr6:coauthVersionMax="47" xr10:uidLastSave="{00000000-0000-0000-0000-000000000000}"/>
  <bookViews>
    <workbookView xWindow="29000" yWindow="12040" windowWidth="44440" windowHeight="24980" activeTab="9" xr2:uid="{C0B1980D-4BFB-224A-BD97-17BC013D5471}"/>
  </bookViews>
  <sheets>
    <sheet name="GDP" sheetId="1" r:id="rId1"/>
    <sheet name="M1" sheetId="2" r:id="rId2"/>
    <sheet name="Inflation" sheetId="3" r:id="rId3"/>
    <sheet name="Yield3M" sheetId="4" r:id="rId4"/>
    <sheet name="Deposit Rate" sheetId="5" r:id="rId5"/>
    <sheet name="Loan Rate" sheetId="6" r:id="rId6"/>
    <sheet name="Required Reserves" sheetId="7" r:id="rId7"/>
    <sheet name="Commercial Loan Rate" sheetId="9" r:id="rId8"/>
    <sheet name="M1GDP" sheetId="10" r:id="rId9"/>
    <sheet name="Payments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9" l="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G3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A843" i="9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842" i="9"/>
  <c r="B19" i="11"/>
  <c r="J11" i="11"/>
  <c r="J10" i="11"/>
  <c r="J13" i="11"/>
  <c r="B16" i="11" s="1"/>
  <c r="B10" i="11"/>
  <c r="F10" i="11"/>
  <c r="D11" i="11"/>
  <c r="B12" i="11"/>
  <c r="F12" i="11"/>
  <c r="D13" i="11"/>
  <c r="E13" i="11"/>
  <c r="E9" i="11"/>
  <c r="D9" i="11"/>
  <c r="G2" i="11"/>
  <c r="G10" i="11" s="1"/>
  <c r="F2" i="11"/>
  <c r="F11" i="11" s="1"/>
  <c r="E2" i="11"/>
  <c r="E11" i="11" s="1"/>
  <c r="D2" i="11"/>
  <c r="D10" i="11" s="1"/>
  <c r="C2" i="11"/>
  <c r="C10" i="11" s="1"/>
  <c r="B2" i="11"/>
  <c r="B11" i="11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D148" i="7"/>
  <c r="B148" i="7"/>
  <c r="F147" i="7"/>
  <c r="E147" i="7"/>
  <c r="F146" i="7"/>
  <c r="E146" i="7"/>
  <c r="H145" i="7"/>
  <c r="L145" i="7" s="1"/>
  <c r="F145" i="7"/>
  <c r="N145" i="7" s="1"/>
  <c r="E145" i="7"/>
  <c r="M145" i="7" s="1"/>
  <c r="H144" i="7"/>
  <c r="L144" i="7" s="1"/>
  <c r="F144" i="7"/>
  <c r="N144" i="7" s="1"/>
  <c r="E144" i="7"/>
  <c r="M144" i="7" s="1"/>
  <c r="H143" i="7"/>
  <c r="L143" i="7" s="1"/>
  <c r="F143" i="7"/>
  <c r="N143" i="7" s="1"/>
  <c r="E143" i="7"/>
  <c r="M143" i="7" s="1"/>
  <c r="M142" i="7"/>
  <c r="H142" i="7"/>
  <c r="L142" i="7" s="1"/>
  <c r="F142" i="7"/>
  <c r="N142" i="7" s="1"/>
  <c r="E142" i="7"/>
  <c r="M141" i="7"/>
  <c r="H141" i="7"/>
  <c r="L141" i="7" s="1"/>
  <c r="F141" i="7"/>
  <c r="N141" i="7" s="1"/>
  <c r="E141" i="7"/>
  <c r="M140" i="7"/>
  <c r="H140" i="7"/>
  <c r="L140" i="7" s="1"/>
  <c r="F140" i="7"/>
  <c r="N140" i="7" s="1"/>
  <c r="E140" i="7"/>
  <c r="M139" i="7"/>
  <c r="H139" i="7"/>
  <c r="L139" i="7" s="1"/>
  <c r="F139" i="7"/>
  <c r="N139" i="7" s="1"/>
  <c r="E139" i="7"/>
  <c r="M138" i="7"/>
  <c r="H138" i="7"/>
  <c r="L138" i="7" s="1"/>
  <c r="F138" i="7"/>
  <c r="N138" i="7" s="1"/>
  <c r="E138" i="7"/>
  <c r="M137" i="7"/>
  <c r="H137" i="7"/>
  <c r="L137" i="7" s="1"/>
  <c r="F137" i="7"/>
  <c r="N137" i="7" s="1"/>
  <c r="E137" i="7"/>
  <c r="M136" i="7"/>
  <c r="H136" i="7"/>
  <c r="L136" i="7" s="1"/>
  <c r="F136" i="7"/>
  <c r="N136" i="7" s="1"/>
  <c r="E136" i="7"/>
  <c r="M135" i="7"/>
  <c r="H135" i="7"/>
  <c r="L135" i="7" s="1"/>
  <c r="F135" i="7"/>
  <c r="N135" i="7" s="1"/>
  <c r="E135" i="7"/>
  <c r="M134" i="7"/>
  <c r="H134" i="7"/>
  <c r="L134" i="7" s="1"/>
  <c r="F134" i="7"/>
  <c r="N134" i="7" s="1"/>
  <c r="E134" i="7"/>
  <c r="M133" i="7"/>
  <c r="H133" i="7"/>
  <c r="L133" i="7" s="1"/>
  <c r="F133" i="7"/>
  <c r="N133" i="7" s="1"/>
  <c r="E133" i="7"/>
  <c r="M132" i="7"/>
  <c r="H132" i="7"/>
  <c r="L132" i="7" s="1"/>
  <c r="F132" i="7"/>
  <c r="N132" i="7" s="1"/>
  <c r="E132" i="7"/>
  <c r="M131" i="7"/>
  <c r="H131" i="7"/>
  <c r="L131" i="7" s="1"/>
  <c r="F131" i="7"/>
  <c r="N131" i="7" s="1"/>
  <c r="E131" i="7"/>
  <c r="M130" i="7"/>
  <c r="H130" i="7"/>
  <c r="L130" i="7" s="1"/>
  <c r="F130" i="7"/>
  <c r="N130" i="7" s="1"/>
  <c r="E130" i="7"/>
  <c r="M129" i="7"/>
  <c r="H129" i="7"/>
  <c r="L129" i="7" s="1"/>
  <c r="F129" i="7"/>
  <c r="N129" i="7" s="1"/>
  <c r="E129" i="7"/>
  <c r="M128" i="7"/>
  <c r="H128" i="7"/>
  <c r="L128" i="7" s="1"/>
  <c r="F128" i="7"/>
  <c r="N128" i="7" s="1"/>
  <c r="E128" i="7"/>
  <c r="M127" i="7"/>
  <c r="H127" i="7"/>
  <c r="L127" i="7" s="1"/>
  <c r="F127" i="7"/>
  <c r="N127" i="7" s="1"/>
  <c r="E127" i="7"/>
  <c r="M126" i="7"/>
  <c r="H126" i="7"/>
  <c r="L126" i="7" s="1"/>
  <c r="F126" i="7"/>
  <c r="N126" i="7" s="1"/>
  <c r="E126" i="7"/>
  <c r="M125" i="7"/>
  <c r="H125" i="7"/>
  <c r="L125" i="7" s="1"/>
  <c r="F125" i="7"/>
  <c r="N125" i="7" s="1"/>
  <c r="E125" i="7"/>
  <c r="M124" i="7"/>
  <c r="H124" i="7"/>
  <c r="L124" i="7" s="1"/>
  <c r="F124" i="7"/>
  <c r="N124" i="7" s="1"/>
  <c r="E124" i="7"/>
  <c r="M123" i="7"/>
  <c r="H123" i="7"/>
  <c r="L123" i="7" s="1"/>
  <c r="F123" i="7"/>
  <c r="N123" i="7" s="1"/>
  <c r="E123" i="7"/>
  <c r="M122" i="7"/>
  <c r="H122" i="7"/>
  <c r="L122" i="7" s="1"/>
  <c r="L150" i="7" s="1"/>
  <c r="F122" i="7"/>
  <c r="N122" i="7" s="1"/>
  <c r="E122" i="7"/>
  <c r="M121" i="7"/>
  <c r="H121" i="7"/>
  <c r="L121" i="7" s="1"/>
  <c r="F121" i="7"/>
  <c r="N121" i="7" s="1"/>
  <c r="E121" i="7"/>
  <c r="M120" i="7"/>
  <c r="H120" i="7"/>
  <c r="L120" i="7" s="1"/>
  <c r="F120" i="7"/>
  <c r="N120" i="7" s="1"/>
  <c r="E120" i="7"/>
  <c r="M119" i="7"/>
  <c r="H119" i="7"/>
  <c r="L119" i="7" s="1"/>
  <c r="F119" i="7"/>
  <c r="N119" i="7" s="1"/>
  <c r="E119" i="7"/>
  <c r="M118" i="7"/>
  <c r="H118" i="7"/>
  <c r="L118" i="7" s="1"/>
  <c r="F118" i="7"/>
  <c r="N118" i="7" s="1"/>
  <c r="E118" i="7"/>
  <c r="M117" i="7"/>
  <c r="H117" i="7"/>
  <c r="L117" i="7" s="1"/>
  <c r="F117" i="7"/>
  <c r="N117" i="7" s="1"/>
  <c r="E117" i="7"/>
  <c r="M116" i="7"/>
  <c r="H116" i="7"/>
  <c r="L116" i="7" s="1"/>
  <c r="F116" i="7"/>
  <c r="N116" i="7" s="1"/>
  <c r="E116" i="7"/>
  <c r="M115" i="7"/>
  <c r="H115" i="7"/>
  <c r="L115" i="7" s="1"/>
  <c r="F115" i="7"/>
  <c r="N115" i="7" s="1"/>
  <c r="E115" i="7"/>
  <c r="M114" i="7"/>
  <c r="H114" i="7"/>
  <c r="L114" i="7" s="1"/>
  <c r="F114" i="7"/>
  <c r="N114" i="7" s="1"/>
  <c r="E114" i="7"/>
  <c r="M113" i="7"/>
  <c r="H113" i="7"/>
  <c r="L113" i="7" s="1"/>
  <c r="F113" i="7"/>
  <c r="N113" i="7" s="1"/>
  <c r="E113" i="7"/>
  <c r="M112" i="7"/>
  <c r="H112" i="7"/>
  <c r="L112" i="7" s="1"/>
  <c r="F112" i="7"/>
  <c r="N112" i="7" s="1"/>
  <c r="E112" i="7"/>
  <c r="M111" i="7"/>
  <c r="H111" i="7"/>
  <c r="L111" i="7" s="1"/>
  <c r="F111" i="7"/>
  <c r="N111" i="7" s="1"/>
  <c r="E111" i="7"/>
  <c r="M110" i="7"/>
  <c r="H110" i="7"/>
  <c r="L110" i="7" s="1"/>
  <c r="F110" i="7"/>
  <c r="N110" i="7" s="1"/>
  <c r="E110" i="7"/>
  <c r="M109" i="7"/>
  <c r="H109" i="7"/>
  <c r="L109" i="7" s="1"/>
  <c r="F109" i="7"/>
  <c r="N109" i="7" s="1"/>
  <c r="E109" i="7"/>
  <c r="M108" i="7"/>
  <c r="H108" i="7"/>
  <c r="L108" i="7" s="1"/>
  <c r="F108" i="7"/>
  <c r="N108" i="7" s="1"/>
  <c r="E108" i="7"/>
  <c r="M107" i="7"/>
  <c r="H107" i="7"/>
  <c r="L107" i="7" s="1"/>
  <c r="F107" i="7"/>
  <c r="N107" i="7" s="1"/>
  <c r="E107" i="7"/>
  <c r="M106" i="7"/>
  <c r="H106" i="7"/>
  <c r="L106" i="7" s="1"/>
  <c r="F106" i="7"/>
  <c r="N106" i="7" s="1"/>
  <c r="E106" i="7"/>
  <c r="M105" i="7"/>
  <c r="H105" i="7"/>
  <c r="F105" i="7"/>
  <c r="N105" i="7" s="1"/>
  <c r="E105" i="7"/>
  <c r="M104" i="7"/>
  <c r="H104" i="7"/>
  <c r="F104" i="7"/>
  <c r="N104" i="7" s="1"/>
  <c r="E104" i="7"/>
  <c r="H103" i="7"/>
  <c r="F103" i="7"/>
  <c r="N103" i="7" s="1"/>
  <c r="E103" i="7"/>
  <c r="M103" i="7" s="1"/>
  <c r="H102" i="7"/>
  <c r="J102" i="7" s="1"/>
  <c r="F102" i="7"/>
  <c r="N102" i="7" s="1"/>
  <c r="E102" i="7"/>
  <c r="M102" i="7" s="1"/>
  <c r="L101" i="7"/>
  <c r="H101" i="7"/>
  <c r="J101" i="7" s="1"/>
  <c r="F101" i="7"/>
  <c r="N101" i="7" s="1"/>
  <c r="E101" i="7"/>
  <c r="M101" i="7" s="1"/>
  <c r="H100" i="7"/>
  <c r="J100" i="7" s="1"/>
  <c r="F100" i="7"/>
  <c r="N100" i="7" s="1"/>
  <c r="E100" i="7"/>
  <c r="M100" i="7" s="1"/>
  <c r="H99" i="7"/>
  <c r="J99" i="7" s="1"/>
  <c r="F99" i="7"/>
  <c r="N99" i="7" s="1"/>
  <c r="E99" i="7"/>
  <c r="M99" i="7" s="1"/>
  <c r="H98" i="7"/>
  <c r="J98" i="7" s="1"/>
  <c r="F98" i="7"/>
  <c r="N98" i="7" s="1"/>
  <c r="E98" i="7"/>
  <c r="M98" i="7" s="1"/>
  <c r="K97" i="7"/>
  <c r="H97" i="7"/>
  <c r="J97" i="7" s="1"/>
  <c r="F97" i="7"/>
  <c r="N97" i="7" s="1"/>
  <c r="E97" i="7"/>
  <c r="M97" i="7" s="1"/>
  <c r="L96" i="7"/>
  <c r="H96" i="7"/>
  <c r="J96" i="7" s="1"/>
  <c r="F96" i="7"/>
  <c r="N96" i="7" s="1"/>
  <c r="E96" i="7"/>
  <c r="M96" i="7" s="1"/>
  <c r="H95" i="7"/>
  <c r="J95" i="7" s="1"/>
  <c r="F95" i="7"/>
  <c r="N95" i="7" s="1"/>
  <c r="E95" i="7"/>
  <c r="M95" i="7" s="1"/>
  <c r="H94" i="7"/>
  <c r="J94" i="7" s="1"/>
  <c r="F94" i="7"/>
  <c r="N94" i="7" s="1"/>
  <c r="E94" i="7"/>
  <c r="M94" i="7" s="1"/>
  <c r="H93" i="7"/>
  <c r="J93" i="7" s="1"/>
  <c r="F93" i="7"/>
  <c r="N93" i="7" s="1"/>
  <c r="E93" i="7"/>
  <c r="M93" i="7" s="1"/>
  <c r="H92" i="7"/>
  <c r="J92" i="7" s="1"/>
  <c r="F92" i="7"/>
  <c r="N92" i="7" s="1"/>
  <c r="E92" i="7"/>
  <c r="M92" i="7" s="1"/>
  <c r="H91" i="7"/>
  <c r="J91" i="7" s="1"/>
  <c r="F91" i="7"/>
  <c r="N91" i="7" s="1"/>
  <c r="E91" i="7"/>
  <c r="M91" i="7" s="1"/>
  <c r="H90" i="7"/>
  <c r="J90" i="7" s="1"/>
  <c r="F90" i="7"/>
  <c r="N90" i="7" s="1"/>
  <c r="E90" i="7"/>
  <c r="M90" i="7" s="1"/>
  <c r="H89" i="7"/>
  <c r="J89" i="7" s="1"/>
  <c r="F89" i="7"/>
  <c r="N89" i="7" s="1"/>
  <c r="E89" i="7"/>
  <c r="M89" i="7" s="1"/>
  <c r="H88" i="7"/>
  <c r="K88" i="7" s="1"/>
  <c r="F88" i="7"/>
  <c r="N88" i="7" s="1"/>
  <c r="E88" i="7"/>
  <c r="M88" i="7" s="1"/>
  <c r="H87" i="7"/>
  <c r="J87" i="7" s="1"/>
  <c r="F87" i="7"/>
  <c r="N87" i="7" s="1"/>
  <c r="E87" i="7"/>
  <c r="M87" i="7" s="1"/>
  <c r="H86" i="7"/>
  <c r="J86" i="7" s="1"/>
  <c r="F86" i="7"/>
  <c r="N86" i="7" s="1"/>
  <c r="E86" i="7"/>
  <c r="M86" i="7" s="1"/>
  <c r="H85" i="7"/>
  <c r="J85" i="7" s="1"/>
  <c r="F85" i="7"/>
  <c r="N85" i="7" s="1"/>
  <c r="E85" i="7"/>
  <c r="M85" i="7" s="1"/>
  <c r="H84" i="7"/>
  <c r="J84" i="7" s="1"/>
  <c r="F84" i="7"/>
  <c r="N84" i="7" s="1"/>
  <c r="E84" i="7"/>
  <c r="M84" i="7" s="1"/>
  <c r="H83" i="7"/>
  <c r="J83" i="7" s="1"/>
  <c r="F83" i="7"/>
  <c r="N83" i="7" s="1"/>
  <c r="E83" i="7"/>
  <c r="M83" i="7" s="1"/>
  <c r="H82" i="7"/>
  <c r="J82" i="7" s="1"/>
  <c r="F82" i="7"/>
  <c r="N82" i="7" s="1"/>
  <c r="E82" i="7"/>
  <c r="M82" i="7" s="1"/>
  <c r="H81" i="7"/>
  <c r="J81" i="7" s="1"/>
  <c r="F81" i="7"/>
  <c r="N81" i="7" s="1"/>
  <c r="E81" i="7"/>
  <c r="M81" i="7" s="1"/>
  <c r="H80" i="7"/>
  <c r="J80" i="7" s="1"/>
  <c r="F80" i="7"/>
  <c r="N80" i="7" s="1"/>
  <c r="E80" i="7"/>
  <c r="M80" i="7" s="1"/>
  <c r="H79" i="7"/>
  <c r="J79" i="7" s="1"/>
  <c r="F79" i="7"/>
  <c r="N79" i="7" s="1"/>
  <c r="E79" i="7"/>
  <c r="M79" i="7" s="1"/>
  <c r="H78" i="7"/>
  <c r="J78" i="7" s="1"/>
  <c r="F78" i="7"/>
  <c r="N78" i="7" s="1"/>
  <c r="E78" i="7"/>
  <c r="M78" i="7" s="1"/>
  <c r="H77" i="7"/>
  <c r="J77" i="7" s="1"/>
  <c r="F77" i="7"/>
  <c r="N77" i="7" s="1"/>
  <c r="E77" i="7"/>
  <c r="M77" i="7" s="1"/>
  <c r="H76" i="7"/>
  <c r="K76" i="7" s="1"/>
  <c r="F76" i="7"/>
  <c r="N76" i="7" s="1"/>
  <c r="E76" i="7"/>
  <c r="M76" i="7" s="1"/>
  <c r="H75" i="7"/>
  <c r="K75" i="7" s="1"/>
  <c r="F75" i="7"/>
  <c r="N75" i="7" s="1"/>
  <c r="E75" i="7"/>
  <c r="M75" i="7" s="1"/>
  <c r="L74" i="7"/>
  <c r="K74" i="7"/>
  <c r="H74" i="7"/>
  <c r="J74" i="7" s="1"/>
  <c r="F74" i="7"/>
  <c r="N74" i="7" s="1"/>
  <c r="E74" i="7"/>
  <c r="M74" i="7" s="1"/>
  <c r="H73" i="7"/>
  <c r="K73" i="7" s="1"/>
  <c r="F73" i="7"/>
  <c r="N73" i="7" s="1"/>
  <c r="E73" i="7"/>
  <c r="M73" i="7" s="1"/>
  <c r="H72" i="7"/>
  <c r="K72" i="7" s="1"/>
  <c r="F72" i="7"/>
  <c r="N72" i="7" s="1"/>
  <c r="E72" i="7"/>
  <c r="M72" i="7" s="1"/>
  <c r="L71" i="7"/>
  <c r="H71" i="7"/>
  <c r="J71" i="7" s="1"/>
  <c r="F71" i="7"/>
  <c r="N71" i="7" s="1"/>
  <c r="E71" i="7"/>
  <c r="M71" i="7" s="1"/>
  <c r="H70" i="7"/>
  <c r="J70" i="7" s="1"/>
  <c r="F70" i="7"/>
  <c r="N70" i="7" s="1"/>
  <c r="E70" i="7"/>
  <c r="M70" i="7" s="1"/>
  <c r="H69" i="7"/>
  <c r="J69" i="7" s="1"/>
  <c r="F69" i="7"/>
  <c r="N69" i="7" s="1"/>
  <c r="E69" i="7"/>
  <c r="M69" i="7" s="1"/>
  <c r="H68" i="7"/>
  <c r="J68" i="7" s="1"/>
  <c r="F68" i="7"/>
  <c r="N68" i="7" s="1"/>
  <c r="E68" i="7"/>
  <c r="M68" i="7" s="1"/>
  <c r="H67" i="7"/>
  <c r="J67" i="7" s="1"/>
  <c r="F67" i="7"/>
  <c r="N67" i="7" s="1"/>
  <c r="E67" i="7"/>
  <c r="M67" i="7" s="1"/>
  <c r="H66" i="7"/>
  <c r="L66" i="7" s="1"/>
  <c r="F66" i="7"/>
  <c r="N66" i="7" s="1"/>
  <c r="E66" i="7"/>
  <c r="M66" i="7" s="1"/>
  <c r="H65" i="7"/>
  <c r="J65" i="7" s="1"/>
  <c r="F65" i="7"/>
  <c r="N65" i="7" s="1"/>
  <c r="E65" i="7"/>
  <c r="M65" i="7" s="1"/>
  <c r="H64" i="7"/>
  <c r="L64" i="7" s="1"/>
  <c r="F64" i="7"/>
  <c r="N64" i="7" s="1"/>
  <c r="E64" i="7"/>
  <c r="M64" i="7" s="1"/>
  <c r="H63" i="7"/>
  <c r="J63" i="7" s="1"/>
  <c r="F63" i="7"/>
  <c r="N63" i="7" s="1"/>
  <c r="E63" i="7"/>
  <c r="M63" i="7" s="1"/>
  <c r="H62" i="7"/>
  <c r="J62" i="7" s="1"/>
  <c r="F62" i="7"/>
  <c r="N62" i="7" s="1"/>
  <c r="E62" i="7"/>
  <c r="M62" i="7" s="1"/>
  <c r="H61" i="7"/>
  <c r="J61" i="7" s="1"/>
  <c r="F61" i="7"/>
  <c r="N61" i="7" s="1"/>
  <c r="E61" i="7"/>
  <c r="M61" i="7" s="1"/>
  <c r="H60" i="7"/>
  <c r="J60" i="7" s="1"/>
  <c r="F60" i="7"/>
  <c r="N60" i="7" s="1"/>
  <c r="E60" i="7"/>
  <c r="M60" i="7" s="1"/>
  <c r="K59" i="7"/>
  <c r="H59" i="7"/>
  <c r="J59" i="7" s="1"/>
  <c r="F59" i="7"/>
  <c r="N59" i="7" s="1"/>
  <c r="E59" i="7"/>
  <c r="M59" i="7" s="1"/>
  <c r="H58" i="7"/>
  <c r="L58" i="7" s="1"/>
  <c r="F58" i="7"/>
  <c r="N58" i="7" s="1"/>
  <c r="E58" i="7"/>
  <c r="M58" i="7" s="1"/>
  <c r="H57" i="7"/>
  <c r="J57" i="7" s="1"/>
  <c r="F57" i="7"/>
  <c r="N57" i="7" s="1"/>
  <c r="E57" i="7"/>
  <c r="M57" i="7" s="1"/>
  <c r="H56" i="7"/>
  <c r="J56" i="7" s="1"/>
  <c r="F56" i="7"/>
  <c r="N56" i="7" s="1"/>
  <c r="E56" i="7"/>
  <c r="M56" i="7" s="1"/>
  <c r="H55" i="7"/>
  <c r="J55" i="7" s="1"/>
  <c r="F55" i="7"/>
  <c r="N55" i="7" s="1"/>
  <c r="E55" i="7"/>
  <c r="M55" i="7" s="1"/>
  <c r="H54" i="7"/>
  <c r="J54" i="7" s="1"/>
  <c r="F54" i="7"/>
  <c r="N54" i="7" s="1"/>
  <c r="E54" i="7"/>
  <c r="M54" i="7" s="1"/>
  <c r="H53" i="7"/>
  <c r="L53" i="7" s="1"/>
  <c r="F53" i="7"/>
  <c r="N53" i="7" s="1"/>
  <c r="E53" i="7"/>
  <c r="M53" i="7" s="1"/>
  <c r="H52" i="7"/>
  <c r="K52" i="7" s="1"/>
  <c r="F52" i="7"/>
  <c r="N52" i="7" s="1"/>
  <c r="E52" i="7"/>
  <c r="M52" i="7" s="1"/>
  <c r="N51" i="7"/>
  <c r="H51" i="7"/>
  <c r="J51" i="7" s="1"/>
  <c r="F51" i="7"/>
  <c r="E51" i="7"/>
  <c r="M51" i="7" s="1"/>
  <c r="L50" i="7"/>
  <c r="K50" i="7"/>
  <c r="H50" i="7"/>
  <c r="J50" i="7" s="1"/>
  <c r="F50" i="7"/>
  <c r="N50" i="7" s="1"/>
  <c r="E50" i="7"/>
  <c r="M50" i="7" s="1"/>
  <c r="H49" i="7"/>
  <c r="L49" i="7" s="1"/>
  <c r="F49" i="7"/>
  <c r="N49" i="7" s="1"/>
  <c r="E49" i="7"/>
  <c r="M49" i="7" s="1"/>
  <c r="H48" i="7"/>
  <c r="K48" i="7" s="1"/>
  <c r="F48" i="7"/>
  <c r="N48" i="7" s="1"/>
  <c r="E48" i="7"/>
  <c r="M48" i="7" s="1"/>
  <c r="N47" i="7"/>
  <c r="H47" i="7"/>
  <c r="J47" i="7" s="1"/>
  <c r="F47" i="7"/>
  <c r="E47" i="7"/>
  <c r="M47" i="7" s="1"/>
  <c r="L46" i="7"/>
  <c r="H46" i="7"/>
  <c r="J46" i="7" s="1"/>
  <c r="F46" i="7"/>
  <c r="N46" i="7" s="1"/>
  <c r="E46" i="7"/>
  <c r="M46" i="7" s="1"/>
  <c r="H45" i="7"/>
  <c r="L45" i="7" s="1"/>
  <c r="F45" i="7"/>
  <c r="N45" i="7" s="1"/>
  <c r="E45" i="7"/>
  <c r="M45" i="7" s="1"/>
  <c r="H44" i="7"/>
  <c r="K44" i="7" s="1"/>
  <c r="F44" i="7"/>
  <c r="N44" i="7" s="1"/>
  <c r="E44" i="7"/>
  <c r="M44" i="7" s="1"/>
  <c r="H43" i="7"/>
  <c r="J43" i="7" s="1"/>
  <c r="F43" i="7"/>
  <c r="N43" i="7" s="1"/>
  <c r="E43" i="7"/>
  <c r="M43" i="7" s="1"/>
  <c r="K42" i="7"/>
  <c r="H42" i="7"/>
  <c r="J42" i="7" s="1"/>
  <c r="F42" i="7"/>
  <c r="N42" i="7" s="1"/>
  <c r="E42" i="7"/>
  <c r="M42" i="7" s="1"/>
  <c r="H41" i="7"/>
  <c r="L41" i="7" s="1"/>
  <c r="F41" i="7"/>
  <c r="N41" i="7" s="1"/>
  <c r="E41" i="7"/>
  <c r="M41" i="7" s="1"/>
  <c r="H40" i="7"/>
  <c r="K40" i="7" s="1"/>
  <c r="F40" i="7"/>
  <c r="N40" i="7" s="1"/>
  <c r="E40" i="7"/>
  <c r="M40" i="7" s="1"/>
  <c r="H39" i="7"/>
  <c r="J39" i="7" s="1"/>
  <c r="F39" i="7"/>
  <c r="N39" i="7" s="1"/>
  <c r="E39" i="7"/>
  <c r="M39" i="7" s="1"/>
  <c r="L38" i="7"/>
  <c r="K38" i="7"/>
  <c r="H38" i="7"/>
  <c r="J38" i="7" s="1"/>
  <c r="F38" i="7"/>
  <c r="N38" i="7" s="1"/>
  <c r="E38" i="7"/>
  <c r="M38" i="7" s="1"/>
  <c r="H37" i="7"/>
  <c r="L37" i="7" s="1"/>
  <c r="F37" i="7"/>
  <c r="N37" i="7" s="1"/>
  <c r="E37" i="7"/>
  <c r="M37" i="7" s="1"/>
  <c r="H36" i="7"/>
  <c r="K36" i="7" s="1"/>
  <c r="F36" i="7"/>
  <c r="N36" i="7" s="1"/>
  <c r="E36" i="7"/>
  <c r="M36" i="7" s="1"/>
  <c r="H35" i="7"/>
  <c r="J35" i="7" s="1"/>
  <c r="F35" i="7"/>
  <c r="N35" i="7" s="1"/>
  <c r="E35" i="7"/>
  <c r="M35" i="7" s="1"/>
  <c r="K34" i="7"/>
  <c r="H34" i="7"/>
  <c r="J34" i="7" s="1"/>
  <c r="F34" i="7"/>
  <c r="N34" i="7" s="1"/>
  <c r="E34" i="7"/>
  <c r="M34" i="7" s="1"/>
  <c r="H33" i="7"/>
  <c r="L33" i="7" s="1"/>
  <c r="F33" i="7"/>
  <c r="N33" i="7" s="1"/>
  <c r="E33" i="7"/>
  <c r="M33" i="7" s="1"/>
  <c r="H32" i="7"/>
  <c r="K32" i="7" s="1"/>
  <c r="F32" i="7"/>
  <c r="N32" i="7" s="1"/>
  <c r="E32" i="7"/>
  <c r="M32" i="7" s="1"/>
  <c r="H31" i="7"/>
  <c r="J31" i="7" s="1"/>
  <c r="F31" i="7"/>
  <c r="N31" i="7" s="1"/>
  <c r="E31" i="7"/>
  <c r="M31" i="7" s="1"/>
  <c r="L30" i="7"/>
  <c r="K30" i="7"/>
  <c r="H30" i="7"/>
  <c r="J30" i="7" s="1"/>
  <c r="F30" i="7"/>
  <c r="N30" i="7" s="1"/>
  <c r="E30" i="7"/>
  <c r="M30" i="7" s="1"/>
  <c r="H29" i="7"/>
  <c r="L29" i="7" s="1"/>
  <c r="F29" i="7"/>
  <c r="N29" i="7" s="1"/>
  <c r="E29" i="7"/>
  <c r="M29" i="7" s="1"/>
  <c r="H28" i="7"/>
  <c r="K28" i="7" s="1"/>
  <c r="F28" i="7"/>
  <c r="N28" i="7" s="1"/>
  <c r="E28" i="7"/>
  <c r="M28" i="7" s="1"/>
  <c r="H27" i="7"/>
  <c r="J27" i="7" s="1"/>
  <c r="F27" i="7"/>
  <c r="N27" i="7" s="1"/>
  <c r="E27" i="7"/>
  <c r="M27" i="7" s="1"/>
  <c r="K26" i="7"/>
  <c r="H26" i="7"/>
  <c r="J26" i="7" s="1"/>
  <c r="F26" i="7"/>
  <c r="N26" i="7" s="1"/>
  <c r="E26" i="7"/>
  <c r="M26" i="7" s="1"/>
  <c r="H25" i="7"/>
  <c r="L25" i="7" s="1"/>
  <c r="F25" i="7"/>
  <c r="N25" i="7" s="1"/>
  <c r="E25" i="7"/>
  <c r="M25" i="7" s="1"/>
  <c r="H24" i="7"/>
  <c r="K24" i="7" s="1"/>
  <c r="F24" i="7"/>
  <c r="N24" i="7" s="1"/>
  <c r="E24" i="7"/>
  <c r="M24" i="7" s="1"/>
  <c r="H23" i="7"/>
  <c r="J23" i="7" s="1"/>
  <c r="F23" i="7"/>
  <c r="N23" i="7" s="1"/>
  <c r="E23" i="7"/>
  <c r="M23" i="7" s="1"/>
  <c r="L22" i="7"/>
  <c r="K22" i="7"/>
  <c r="H22" i="7"/>
  <c r="J22" i="7" s="1"/>
  <c r="F22" i="7"/>
  <c r="N22" i="7" s="1"/>
  <c r="E22" i="7"/>
  <c r="M22" i="7" s="1"/>
  <c r="H21" i="7"/>
  <c r="L21" i="7" s="1"/>
  <c r="F21" i="7"/>
  <c r="N21" i="7" s="1"/>
  <c r="E21" i="7"/>
  <c r="M21" i="7" s="1"/>
  <c r="H20" i="7"/>
  <c r="K20" i="7" s="1"/>
  <c r="F20" i="7"/>
  <c r="N20" i="7" s="1"/>
  <c r="E20" i="7"/>
  <c r="M20" i="7" s="1"/>
  <c r="H19" i="7"/>
  <c r="J19" i="7" s="1"/>
  <c r="F19" i="7"/>
  <c r="N19" i="7" s="1"/>
  <c r="E19" i="7"/>
  <c r="M19" i="7" s="1"/>
  <c r="K18" i="7"/>
  <c r="H18" i="7"/>
  <c r="J18" i="7" s="1"/>
  <c r="F18" i="7"/>
  <c r="N18" i="7" s="1"/>
  <c r="E18" i="7"/>
  <c r="M18" i="7" s="1"/>
  <c r="H17" i="7"/>
  <c r="L17" i="7" s="1"/>
  <c r="F17" i="7"/>
  <c r="N17" i="7" s="1"/>
  <c r="E17" i="7"/>
  <c r="M17" i="7" s="1"/>
  <c r="H16" i="7"/>
  <c r="K16" i="7" s="1"/>
  <c r="F16" i="7"/>
  <c r="N16" i="7" s="1"/>
  <c r="E16" i="7"/>
  <c r="M16" i="7" s="1"/>
  <c r="H15" i="7"/>
  <c r="J15" i="7" s="1"/>
  <c r="F15" i="7"/>
  <c r="N15" i="7" s="1"/>
  <c r="E15" i="7"/>
  <c r="M15" i="7" s="1"/>
  <c r="L14" i="7"/>
  <c r="K14" i="7"/>
  <c r="H14" i="7"/>
  <c r="J14" i="7" s="1"/>
  <c r="F14" i="7"/>
  <c r="N14" i="7" s="1"/>
  <c r="E14" i="7"/>
  <c r="M14" i="7" s="1"/>
  <c r="L13" i="7"/>
  <c r="F13" i="7"/>
  <c r="E13" i="7"/>
  <c r="L12" i="7"/>
  <c r="F12" i="7"/>
  <c r="E12" i="7"/>
  <c r="L11" i="7"/>
  <c r="F11" i="7"/>
  <c r="E11" i="7"/>
  <c r="L10" i="7"/>
  <c r="F10" i="7"/>
  <c r="E10" i="7"/>
  <c r="L9" i="7"/>
  <c r="F9" i="7"/>
  <c r="E9" i="7"/>
  <c r="L8" i="7"/>
  <c r="F8" i="7"/>
  <c r="E8" i="7"/>
  <c r="L7" i="7"/>
  <c r="F7" i="7"/>
  <c r="E7" i="7"/>
  <c r="L6" i="7"/>
  <c r="F6" i="7"/>
  <c r="E6" i="7"/>
  <c r="L5" i="7"/>
  <c r="F5" i="7"/>
  <c r="E5" i="7"/>
  <c r="L4" i="7"/>
  <c r="F4" i="7"/>
  <c r="E4" i="7"/>
  <c r="L3" i="7"/>
  <c r="F3" i="7"/>
  <c r="E3" i="7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B9" i="11" l="1"/>
  <c r="F9" i="11"/>
  <c r="G13" i="11"/>
  <c r="C13" i="11"/>
  <c r="E12" i="11"/>
  <c r="G11" i="11"/>
  <c r="C11" i="11"/>
  <c r="H11" i="11" s="1"/>
  <c r="E10" i="11"/>
  <c r="H10" i="11" s="1"/>
  <c r="C9" i="11"/>
  <c r="G9" i="11"/>
  <c r="F13" i="11"/>
  <c r="B13" i="11"/>
  <c r="D12" i="11"/>
  <c r="G12" i="11"/>
  <c r="C12" i="11"/>
  <c r="H12" i="11" s="1"/>
  <c r="K87" i="7"/>
  <c r="N150" i="7"/>
  <c r="K46" i="7"/>
  <c r="K56" i="7"/>
  <c r="K57" i="7"/>
  <c r="L63" i="7"/>
  <c r="K83" i="7"/>
  <c r="L87" i="7"/>
  <c r="L92" i="7"/>
  <c r="L18" i="7"/>
  <c r="L26" i="7"/>
  <c r="L34" i="7"/>
  <c r="L42" i="7"/>
  <c r="L86" i="7"/>
  <c r="L97" i="7"/>
  <c r="L16" i="7"/>
  <c r="L20" i="7"/>
  <c r="L24" i="7"/>
  <c r="L28" i="7"/>
  <c r="L32" i="7"/>
  <c r="L36" i="7"/>
  <c r="L40" i="7"/>
  <c r="L44" i="7"/>
  <c r="L48" i="7"/>
  <c r="L52" i="7"/>
  <c r="K61" i="7"/>
  <c r="L62" i="7"/>
  <c r="K63" i="7"/>
  <c r="K65" i="7"/>
  <c r="L68" i="7"/>
  <c r="L72" i="7"/>
  <c r="L73" i="7"/>
  <c r="L76" i="7"/>
  <c r="L79" i="7"/>
  <c r="L89" i="7"/>
  <c r="L100" i="7"/>
  <c r="K101" i="7"/>
  <c r="K15" i="7"/>
  <c r="K19" i="7"/>
  <c r="K23" i="7"/>
  <c r="K27" i="7"/>
  <c r="K31" i="7"/>
  <c r="K35" i="7"/>
  <c r="K39" i="7"/>
  <c r="K43" i="7"/>
  <c r="K47" i="7"/>
  <c r="K51" i="7"/>
  <c r="J72" i="7"/>
  <c r="L75" i="7"/>
  <c r="J76" i="7"/>
  <c r="L82" i="7"/>
  <c r="K93" i="7"/>
  <c r="J16" i="7"/>
  <c r="J20" i="7"/>
  <c r="J154" i="7" s="1"/>
  <c r="J24" i="7"/>
  <c r="J28" i="7"/>
  <c r="J32" i="7"/>
  <c r="J36" i="7"/>
  <c r="J40" i="7"/>
  <c r="J44" i="7"/>
  <c r="J48" i="7"/>
  <c r="J52" i="7"/>
  <c r="K54" i="7"/>
  <c r="L67" i="7"/>
  <c r="K68" i="7"/>
  <c r="L78" i="7"/>
  <c r="K79" i="7"/>
  <c r="L83" i="7"/>
  <c r="L88" i="7"/>
  <c r="K89" i="7"/>
  <c r="L93" i="7"/>
  <c r="L15" i="7"/>
  <c r="J17" i="7"/>
  <c r="L19" i="7"/>
  <c r="J21" i="7"/>
  <c r="L23" i="7"/>
  <c r="J25" i="7"/>
  <c r="L27" i="7"/>
  <c r="J29" i="7"/>
  <c r="L31" i="7"/>
  <c r="J33" i="7"/>
  <c r="L35" i="7"/>
  <c r="J37" i="7"/>
  <c r="L39" i="7"/>
  <c r="J41" i="7"/>
  <c r="L43" i="7"/>
  <c r="J45" i="7"/>
  <c r="L47" i="7"/>
  <c r="J49" i="7"/>
  <c r="L51" i="7"/>
  <c r="J53" i="7"/>
  <c r="L54" i="7"/>
  <c r="K55" i="7"/>
  <c r="L57" i="7"/>
  <c r="J58" i="7"/>
  <c r="L59" i="7"/>
  <c r="K60" i="7"/>
  <c r="J64" i="7"/>
  <c r="L65" i="7"/>
  <c r="J66" i="7"/>
  <c r="K69" i="7"/>
  <c r="K80" i="7"/>
  <c r="K84" i="7"/>
  <c r="K90" i="7"/>
  <c r="K94" i="7"/>
  <c r="K98" i="7"/>
  <c r="K102" i="7"/>
  <c r="K17" i="7"/>
  <c r="K21" i="7"/>
  <c r="K25" i="7"/>
  <c r="K29" i="7"/>
  <c r="K33" i="7"/>
  <c r="K37" i="7"/>
  <c r="K41" i="7"/>
  <c r="K45" i="7"/>
  <c r="K49" i="7"/>
  <c r="K53" i="7"/>
  <c r="L55" i="7"/>
  <c r="K58" i="7"/>
  <c r="L60" i="7"/>
  <c r="K64" i="7"/>
  <c r="K66" i="7"/>
  <c r="L69" i="7"/>
  <c r="K70" i="7"/>
  <c r="J73" i="7"/>
  <c r="J75" i="7"/>
  <c r="K77" i="7"/>
  <c r="L80" i="7"/>
  <c r="K81" i="7"/>
  <c r="L84" i="7"/>
  <c r="K85" i="7"/>
  <c r="J88" i="7"/>
  <c r="L90" i="7"/>
  <c r="K91" i="7"/>
  <c r="L94" i="7"/>
  <c r="K95" i="7"/>
  <c r="L98" i="7"/>
  <c r="K99" i="7"/>
  <c r="L102" i="7"/>
  <c r="M150" i="7"/>
  <c r="L56" i="7"/>
  <c r="L61" i="7"/>
  <c r="K62" i="7"/>
  <c r="K67" i="7"/>
  <c r="L70" i="7"/>
  <c r="K71" i="7"/>
  <c r="L77" i="7"/>
  <c r="K78" i="7"/>
  <c r="L81" i="7"/>
  <c r="K82" i="7"/>
  <c r="L85" i="7"/>
  <c r="K86" i="7"/>
  <c r="L91" i="7"/>
  <c r="K92" i="7"/>
  <c r="L95" i="7"/>
  <c r="K96" i="7"/>
  <c r="L99" i="7"/>
  <c r="K100" i="7"/>
  <c r="L104" i="7"/>
  <c r="K104" i="7"/>
  <c r="J104" i="7"/>
  <c r="L105" i="7"/>
  <c r="K105" i="7"/>
  <c r="J105" i="7"/>
  <c r="L103" i="7"/>
  <c r="K103" i="7"/>
  <c r="J103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H13" i="11" l="1"/>
  <c r="H9" i="11"/>
  <c r="K154" i="7"/>
  <c r="J151" i="7"/>
  <c r="J150" i="7"/>
  <c r="J155" i="7"/>
  <c r="K155" i="7"/>
  <c r="K150" i="7"/>
  <c r="H14" i="11" l="1"/>
  <c r="I11" i="11" l="1"/>
  <c r="I12" i="11"/>
  <c r="I10" i="11"/>
  <c r="B17" i="11" s="1"/>
  <c r="I13" i="11"/>
  <c r="I9" i="11"/>
  <c r="B18" i="11" l="1"/>
</calcChain>
</file>

<file path=xl/sharedStrings.xml><?xml version="1.0" encoding="utf-8"?>
<sst xmlns="http://schemas.openxmlformats.org/spreadsheetml/2006/main" count="69" uniqueCount="56">
  <si>
    <t>Dates</t>
  </si>
  <si>
    <t>GDP</t>
  </si>
  <si>
    <t>FYGDP</t>
  </si>
  <si>
    <t>M1</t>
  </si>
  <si>
    <t>M1NS</t>
  </si>
  <si>
    <t>Inflation</t>
  </si>
  <si>
    <t>FPCPITOTLZGUSA</t>
  </si>
  <si>
    <t>Yield3M</t>
  </si>
  <si>
    <t>RIFSGFSM03NA</t>
  </si>
  <si>
    <t>Deposit Rate</t>
  </si>
  <si>
    <t>Loan Rate</t>
  </si>
  <si>
    <t>RESBALREQ</t>
  </si>
  <si>
    <t>Reserve Balances Required; Reserve Balance Requirements (DISCONTINUED), Millions of Dollars, Quarterly, Not Seasonally Adjusted</t>
  </si>
  <si>
    <t>observation_date</t>
  </si>
  <si>
    <t>Required reserve including Vault Cash(Billion)</t>
  </si>
  <si>
    <t>Excess reserve (Million Dollar)</t>
  </si>
  <si>
    <t>Total reserves excluding cash (million)</t>
  </si>
  <si>
    <t>Total reserves including vault (million)</t>
  </si>
  <si>
    <t>Total Transaction deposit (1000 Dollar)</t>
  </si>
  <si>
    <t>Total Transaction deposit (Millon Dollar)</t>
  </si>
  <si>
    <t>total_loans (1000 Dollar)</t>
  </si>
  <si>
    <t>Required reserve ratio (excluding Vault cash)</t>
  </si>
  <si>
    <t>Required reserve ratio (including Vault cash)</t>
  </si>
  <si>
    <t>Loan ratio (No cash)</t>
  </si>
  <si>
    <t>Loan ratio (cash)</t>
  </si>
  <si>
    <t>Average 2014-2019</t>
  </si>
  <si>
    <t>Average 1987-2008</t>
  </si>
  <si>
    <t>Average 1987-2019</t>
  </si>
  <si>
    <t>Average 1999-2012</t>
  </si>
  <si>
    <t>BUSLOANS</t>
  </si>
  <si>
    <t>MPRIME</t>
  </si>
  <si>
    <t>CPIAUCSL</t>
  </si>
  <si>
    <t>Log Real Rate</t>
  </si>
  <si>
    <t>Log Real Loans</t>
  </si>
  <si>
    <t>Commercial Loans</t>
  </si>
  <si>
    <t>Commercial Loan Rate</t>
  </si>
  <si>
    <t>CPI</t>
  </si>
  <si>
    <t>M1GDP</t>
  </si>
  <si>
    <t>Cash</t>
  </si>
  <si>
    <t>&lt;25</t>
  </si>
  <si>
    <t>25-49,99</t>
  </si>
  <si>
    <t>50-74,99</t>
  </si>
  <si>
    <t>75-99,99</t>
  </si>
  <si>
    <t>100-149,99</t>
  </si>
  <si>
    <t>&gt;150</t>
  </si>
  <si>
    <t>Credit Reward</t>
  </si>
  <si>
    <t>Credit non-reard</t>
  </si>
  <si>
    <t>Debit Reward</t>
  </si>
  <si>
    <t>Debit non-reward</t>
  </si>
  <si>
    <t>Credit non-reward</t>
  </si>
  <si>
    <t>Debit Cost</t>
  </si>
  <si>
    <t>Credit Cost</t>
  </si>
  <si>
    <t xml:space="preserve">Card Cost </t>
  </si>
  <si>
    <t>Cash Cost</t>
  </si>
  <si>
    <t>Shares</t>
  </si>
  <si>
    <t>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</si>
</sst>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73" formatCode="0.00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9" fontId="0" fillId="0" borderId="0" xfId="1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horizontal="right"/>
    </xf>
    <xf numFmtId="10" fontId="0" fillId="0" borderId="0" xfId="1" applyNumberFormat="1" applyFont="1"/>
    <xf numFmtId="10" fontId="0" fillId="0" borderId="0" xfId="0" applyNumberFormat="1"/>
    <xf numFmtId="173" fontId="0" fillId="0" borderId="0" xfId="0" applyNumberFormat="1"/>
    <xf numFmtId="2" fontId="0" fillId="0" borderId="0" xfId="0" applyNumberFormat="1"/>
    <xf numFmtId="0" fontId="2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'Commercial Loan Rate'!$B$1:$B$2</c:f>
              <c:strCache>
                <c:ptCount val="2"/>
                <c:pt idx="0">
                  <c:v>BUSLOANS</c:v>
                </c:pt>
                <c:pt idx="1">
                  <c:v>Commercial Loans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'Commercial Loan Rate'!$B$3:$B$900</c:f>
              <c:numCache>
                <c:formatCode>General</c:formatCode>
                <c:ptCount val="898"/>
                <c:pt idx="0">
                  <c:v>14925400000</c:v>
                </c:pt>
                <c:pt idx="1">
                  <c:v>14787400000</c:v>
                </c:pt>
                <c:pt idx="2">
                  <c:v>14662100000</c:v>
                </c:pt>
                <c:pt idx="3">
                  <c:v>14514900000</c:v>
                </c:pt>
                <c:pt idx="4">
                  <c:v>14345500000</c:v>
                </c:pt>
                <c:pt idx="5">
                  <c:v>14138600000</c:v>
                </c:pt>
                <c:pt idx="6">
                  <c:v>14021200000</c:v>
                </c:pt>
                <c:pt idx="7">
                  <c:v>13923000000</c:v>
                </c:pt>
                <c:pt idx="8">
                  <c:v>13824600000</c:v>
                </c:pt>
                <c:pt idx="9">
                  <c:v>13737600000</c:v>
                </c:pt>
                <c:pt idx="10">
                  <c:v>13654800000</c:v>
                </c:pt>
                <c:pt idx="11">
                  <c:v>13595700000</c:v>
                </c:pt>
                <c:pt idx="12">
                  <c:v>13649300000</c:v>
                </c:pt>
                <c:pt idx="13">
                  <c:v>13795700000</c:v>
                </c:pt>
                <c:pt idx="14">
                  <c:v>13953100000</c:v>
                </c:pt>
                <c:pt idx="15">
                  <c:v>14111900000</c:v>
                </c:pt>
                <c:pt idx="16">
                  <c:v>14251900000</c:v>
                </c:pt>
                <c:pt idx="17">
                  <c:v>14388000000</c:v>
                </c:pt>
                <c:pt idx="18">
                  <c:v>14771200000</c:v>
                </c:pt>
                <c:pt idx="19">
                  <c:v>15297500000</c:v>
                </c:pt>
                <c:pt idx="20">
                  <c:v>15807500000</c:v>
                </c:pt>
                <c:pt idx="21">
                  <c:v>16310400000.000002</c:v>
                </c:pt>
                <c:pt idx="22">
                  <c:v>16809200000</c:v>
                </c:pt>
                <c:pt idx="23">
                  <c:v>17306100000</c:v>
                </c:pt>
                <c:pt idx="24">
                  <c:v>17754200000</c:v>
                </c:pt>
                <c:pt idx="25">
                  <c:v>18186200000</c:v>
                </c:pt>
                <c:pt idx="26">
                  <c:v>18636300000</c:v>
                </c:pt>
                <c:pt idx="27">
                  <c:v>19103100000</c:v>
                </c:pt>
                <c:pt idx="28">
                  <c:v>19551200000</c:v>
                </c:pt>
                <c:pt idx="29">
                  <c:v>20003100000</c:v>
                </c:pt>
                <c:pt idx="30">
                  <c:v>20250900000</c:v>
                </c:pt>
                <c:pt idx="31">
                  <c:v>20367200000</c:v>
                </c:pt>
                <c:pt idx="32">
                  <c:v>20477500000</c:v>
                </c:pt>
                <c:pt idx="33">
                  <c:v>20605300000</c:v>
                </c:pt>
                <c:pt idx="34">
                  <c:v>20732900000</c:v>
                </c:pt>
                <c:pt idx="35">
                  <c:v>20965700000</c:v>
                </c:pt>
                <c:pt idx="36">
                  <c:v>22131900000</c:v>
                </c:pt>
                <c:pt idx="37">
                  <c:v>22431600000</c:v>
                </c:pt>
                <c:pt idx="38">
                  <c:v>22376300000</c:v>
                </c:pt>
                <c:pt idx="39">
                  <c:v>22138000000</c:v>
                </c:pt>
                <c:pt idx="40">
                  <c:v>21929300000</c:v>
                </c:pt>
                <c:pt idx="41">
                  <c:v>22052500000</c:v>
                </c:pt>
                <c:pt idx="42">
                  <c:v>22146100000</c:v>
                </c:pt>
                <c:pt idx="43">
                  <c:v>22393700000</c:v>
                </c:pt>
                <c:pt idx="44">
                  <c:v>22696700000</c:v>
                </c:pt>
                <c:pt idx="45">
                  <c:v>23068500000</c:v>
                </c:pt>
                <c:pt idx="46">
                  <c:v>23443500000</c:v>
                </c:pt>
                <c:pt idx="47">
                  <c:v>23230000000</c:v>
                </c:pt>
                <c:pt idx="48">
                  <c:v>23468700000</c:v>
                </c:pt>
                <c:pt idx="49">
                  <c:v>23622600000</c:v>
                </c:pt>
                <c:pt idx="50">
                  <c:v>23698300000</c:v>
                </c:pt>
                <c:pt idx="51">
                  <c:v>23822800000</c:v>
                </c:pt>
                <c:pt idx="52">
                  <c:v>23882700000</c:v>
                </c:pt>
                <c:pt idx="53">
                  <c:v>23760700000</c:v>
                </c:pt>
                <c:pt idx="54">
                  <c:v>23778200000</c:v>
                </c:pt>
                <c:pt idx="55">
                  <c:v>23995100000</c:v>
                </c:pt>
                <c:pt idx="56">
                  <c:v>24013800000</c:v>
                </c:pt>
                <c:pt idx="57">
                  <c:v>23982500000</c:v>
                </c:pt>
                <c:pt idx="58">
                  <c:v>23870000000</c:v>
                </c:pt>
                <c:pt idx="59">
                  <c:v>23168600000</c:v>
                </c:pt>
                <c:pt idx="60">
                  <c:v>23011200000</c:v>
                </c:pt>
                <c:pt idx="61">
                  <c:v>22952000000</c:v>
                </c:pt>
                <c:pt idx="62">
                  <c:v>22927000000</c:v>
                </c:pt>
                <c:pt idx="63">
                  <c:v>22798700000</c:v>
                </c:pt>
                <c:pt idx="64">
                  <c:v>22669400000</c:v>
                </c:pt>
                <c:pt idx="65">
                  <c:v>22513900000</c:v>
                </c:pt>
                <c:pt idx="66">
                  <c:v>22439000000</c:v>
                </c:pt>
                <c:pt idx="67">
                  <c:v>22442200000</c:v>
                </c:pt>
                <c:pt idx="68">
                  <c:v>22480500000</c:v>
                </c:pt>
                <c:pt idx="69">
                  <c:v>22578700000</c:v>
                </c:pt>
                <c:pt idx="70">
                  <c:v>22695600000</c:v>
                </c:pt>
                <c:pt idx="71">
                  <c:v>22538200000</c:v>
                </c:pt>
                <c:pt idx="72">
                  <c:v>22803600000</c:v>
                </c:pt>
                <c:pt idx="73">
                  <c:v>22990100000</c:v>
                </c:pt>
                <c:pt idx="74">
                  <c:v>23187600000</c:v>
                </c:pt>
                <c:pt idx="75">
                  <c:v>23372300000</c:v>
                </c:pt>
                <c:pt idx="76">
                  <c:v>23708500000</c:v>
                </c:pt>
                <c:pt idx="77">
                  <c:v>24110200000</c:v>
                </c:pt>
                <c:pt idx="78">
                  <c:v>24526300000</c:v>
                </c:pt>
                <c:pt idx="79">
                  <c:v>24963000000</c:v>
                </c:pt>
                <c:pt idx="80">
                  <c:v>25367200000</c:v>
                </c:pt>
                <c:pt idx="81">
                  <c:v>25754600000</c:v>
                </c:pt>
                <c:pt idx="82">
                  <c:v>26440400000</c:v>
                </c:pt>
                <c:pt idx="83">
                  <c:v>26716100000</c:v>
                </c:pt>
                <c:pt idx="84">
                  <c:v>27173600000</c:v>
                </c:pt>
                <c:pt idx="85">
                  <c:v>27656400000</c:v>
                </c:pt>
                <c:pt idx="86">
                  <c:v>28528900000</c:v>
                </c:pt>
                <c:pt idx="87">
                  <c:v>29285000000</c:v>
                </c:pt>
                <c:pt idx="88">
                  <c:v>29629900000</c:v>
                </c:pt>
                <c:pt idx="89">
                  <c:v>30263000000</c:v>
                </c:pt>
                <c:pt idx="90">
                  <c:v>30725200000</c:v>
                </c:pt>
                <c:pt idx="91">
                  <c:v>31085500000</c:v>
                </c:pt>
                <c:pt idx="92">
                  <c:v>31445100000</c:v>
                </c:pt>
                <c:pt idx="93">
                  <c:v>31889500000</c:v>
                </c:pt>
                <c:pt idx="94">
                  <c:v>32260900000</c:v>
                </c:pt>
                <c:pt idx="95">
                  <c:v>32473000000</c:v>
                </c:pt>
                <c:pt idx="96">
                  <c:v>32686999999.999996</c:v>
                </c:pt>
                <c:pt idx="97">
                  <c:v>32689500000.000004</c:v>
                </c:pt>
                <c:pt idx="98">
                  <c:v>33040700000</c:v>
                </c:pt>
                <c:pt idx="99">
                  <c:v>33385599999.999996</c:v>
                </c:pt>
                <c:pt idx="100">
                  <c:v>33636200000.000004</c:v>
                </c:pt>
                <c:pt idx="101">
                  <c:v>34059600000.000004</c:v>
                </c:pt>
                <c:pt idx="102">
                  <c:v>34374900000</c:v>
                </c:pt>
                <c:pt idx="103">
                  <c:v>34596100000</c:v>
                </c:pt>
                <c:pt idx="104">
                  <c:v>34547400000</c:v>
                </c:pt>
                <c:pt idx="105">
                  <c:v>34419700000</c:v>
                </c:pt>
                <c:pt idx="106">
                  <c:v>34332500000.000004</c:v>
                </c:pt>
                <c:pt idx="107">
                  <c:v>33885300000</c:v>
                </c:pt>
                <c:pt idx="108">
                  <c:v>34698800000</c:v>
                </c:pt>
                <c:pt idx="109">
                  <c:v>34862300000</c:v>
                </c:pt>
                <c:pt idx="110">
                  <c:v>34752800000</c:v>
                </c:pt>
                <c:pt idx="111">
                  <c:v>34571800000</c:v>
                </c:pt>
                <c:pt idx="112">
                  <c:v>34437500000</c:v>
                </c:pt>
                <c:pt idx="113">
                  <c:v>34271800000</c:v>
                </c:pt>
                <c:pt idx="114">
                  <c:v>34183100000.000004</c:v>
                </c:pt>
                <c:pt idx="115">
                  <c:v>34361200000</c:v>
                </c:pt>
                <c:pt idx="116">
                  <c:v>34523700000</c:v>
                </c:pt>
                <c:pt idx="117">
                  <c:v>34751800000</c:v>
                </c:pt>
                <c:pt idx="118">
                  <c:v>34915600000</c:v>
                </c:pt>
                <c:pt idx="119">
                  <c:v>34948900000</c:v>
                </c:pt>
                <c:pt idx="120">
                  <c:v>35213000000</c:v>
                </c:pt>
                <c:pt idx="121">
                  <c:v>35220100000</c:v>
                </c:pt>
                <c:pt idx="122">
                  <c:v>35130400000</c:v>
                </c:pt>
                <c:pt idx="123">
                  <c:v>35558100000</c:v>
                </c:pt>
                <c:pt idx="124">
                  <c:v>36306400000</c:v>
                </c:pt>
                <c:pt idx="125">
                  <c:v>37140400000</c:v>
                </c:pt>
                <c:pt idx="126">
                  <c:v>37664500000</c:v>
                </c:pt>
                <c:pt idx="127">
                  <c:v>38089000000</c:v>
                </c:pt>
                <c:pt idx="128">
                  <c:v>38260500000</c:v>
                </c:pt>
                <c:pt idx="129">
                  <c:v>38411300000</c:v>
                </c:pt>
                <c:pt idx="130">
                  <c:v>38697800000</c:v>
                </c:pt>
                <c:pt idx="131">
                  <c:v>39293200000</c:v>
                </c:pt>
                <c:pt idx="132">
                  <c:v>39629100000</c:v>
                </c:pt>
                <c:pt idx="133">
                  <c:v>39787200000</c:v>
                </c:pt>
                <c:pt idx="134">
                  <c:v>40018000000</c:v>
                </c:pt>
                <c:pt idx="135">
                  <c:v>40515200000</c:v>
                </c:pt>
                <c:pt idx="136">
                  <c:v>40892600000</c:v>
                </c:pt>
                <c:pt idx="137">
                  <c:v>41356400000</c:v>
                </c:pt>
                <c:pt idx="138">
                  <c:v>41395800000</c:v>
                </c:pt>
                <c:pt idx="139">
                  <c:v>41324900000</c:v>
                </c:pt>
                <c:pt idx="140">
                  <c:v>41400600000</c:v>
                </c:pt>
                <c:pt idx="141">
                  <c:v>41524700000</c:v>
                </c:pt>
                <c:pt idx="142">
                  <c:v>41682700000</c:v>
                </c:pt>
                <c:pt idx="143">
                  <c:v>42105100000</c:v>
                </c:pt>
                <c:pt idx="144">
                  <c:v>42035800000</c:v>
                </c:pt>
                <c:pt idx="145">
                  <c:v>41950300000</c:v>
                </c:pt>
                <c:pt idx="146">
                  <c:v>42051800000</c:v>
                </c:pt>
                <c:pt idx="147">
                  <c:v>42212700000</c:v>
                </c:pt>
                <c:pt idx="148">
                  <c:v>42134200000</c:v>
                </c:pt>
                <c:pt idx="149">
                  <c:v>42451900000</c:v>
                </c:pt>
                <c:pt idx="150">
                  <c:v>42581300000</c:v>
                </c:pt>
                <c:pt idx="151">
                  <c:v>42656700000</c:v>
                </c:pt>
                <c:pt idx="152">
                  <c:v>42770700000</c:v>
                </c:pt>
                <c:pt idx="153">
                  <c:v>42977800000</c:v>
                </c:pt>
                <c:pt idx="154">
                  <c:v>43133700000</c:v>
                </c:pt>
                <c:pt idx="155">
                  <c:v>43799700000</c:v>
                </c:pt>
                <c:pt idx="156">
                  <c:v>43985300000</c:v>
                </c:pt>
                <c:pt idx="157">
                  <c:v>43868800000</c:v>
                </c:pt>
                <c:pt idx="158">
                  <c:v>44101200000</c:v>
                </c:pt>
                <c:pt idx="159">
                  <c:v>44539800000</c:v>
                </c:pt>
                <c:pt idx="160">
                  <c:v>44841300000</c:v>
                </c:pt>
                <c:pt idx="161">
                  <c:v>45541900000</c:v>
                </c:pt>
                <c:pt idx="162">
                  <c:v>45726800000</c:v>
                </c:pt>
                <c:pt idx="163">
                  <c:v>45923400000</c:v>
                </c:pt>
                <c:pt idx="164">
                  <c:v>46373600000</c:v>
                </c:pt>
                <c:pt idx="165">
                  <c:v>46848700000</c:v>
                </c:pt>
                <c:pt idx="166">
                  <c:v>47199800000</c:v>
                </c:pt>
                <c:pt idx="167">
                  <c:v>47437600000</c:v>
                </c:pt>
                <c:pt idx="168">
                  <c:v>47662300000</c:v>
                </c:pt>
                <c:pt idx="169">
                  <c:v>47829400000</c:v>
                </c:pt>
                <c:pt idx="170">
                  <c:v>47973900000</c:v>
                </c:pt>
                <c:pt idx="171">
                  <c:v>48391700000</c:v>
                </c:pt>
                <c:pt idx="172">
                  <c:v>48649000000</c:v>
                </c:pt>
                <c:pt idx="173">
                  <c:v>49246900000</c:v>
                </c:pt>
                <c:pt idx="174">
                  <c:v>49466400000</c:v>
                </c:pt>
                <c:pt idx="175">
                  <c:v>49476800000</c:v>
                </c:pt>
                <c:pt idx="176">
                  <c:v>49822500000</c:v>
                </c:pt>
                <c:pt idx="177">
                  <c:v>50411100000</c:v>
                </c:pt>
                <c:pt idx="178">
                  <c:v>51238200000</c:v>
                </c:pt>
                <c:pt idx="179">
                  <c:v>52174100000</c:v>
                </c:pt>
                <c:pt idx="180">
                  <c:v>52418600000</c:v>
                </c:pt>
                <c:pt idx="181">
                  <c:v>52548200000</c:v>
                </c:pt>
                <c:pt idx="182">
                  <c:v>52713900000</c:v>
                </c:pt>
                <c:pt idx="183">
                  <c:v>53229000000</c:v>
                </c:pt>
                <c:pt idx="184">
                  <c:v>53744500000</c:v>
                </c:pt>
                <c:pt idx="185">
                  <c:v>54293700000</c:v>
                </c:pt>
                <c:pt idx="186">
                  <c:v>54715900000</c:v>
                </c:pt>
                <c:pt idx="187">
                  <c:v>55104600000</c:v>
                </c:pt>
                <c:pt idx="188">
                  <c:v>55774900000</c:v>
                </c:pt>
                <c:pt idx="189">
                  <c:v>56290800000</c:v>
                </c:pt>
                <c:pt idx="190">
                  <c:v>56862800000</c:v>
                </c:pt>
                <c:pt idx="191">
                  <c:v>58348100000</c:v>
                </c:pt>
                <c:pt idx="192">
                  <c:v>59241000000</c:v>
                </c:pt>
                <c:pt idx="193">
                  <c:v>60069300000</c:v>
                </c:pt>
                <c:pt idx="194">
                  <c:v>61148900000</c:v>
                </c:pt>
                <c:pt idx="195">
                  <c:v>62133100000</c:v>
                </c:pt>
                <c:pt idx="196">
                  <c:v>62925000000</c:v>
                </c:pt>
                <c:pt idx="197">
                  <c:v>64151100000</c:v>
                </c:pt>
                <c:pt idx="198">
                  <c:v>64890400000</c:v>
                </c:pt>
                <c:pt idx="199">
                  <c:v>65479200000.000008</c:v>
                </c:pt>
                <c:pt idx="200">
                  <c:v>66388300000</c:v>
                </c:pt>
                <c:pt idx="201">
                  <c:v>67050000000</c:v>
                </c:pt>
                <c:pt idx="202">
                  <c:v>67754000000.000008</c:v>
                </c:pt>
                <c:pt idx="203">
                  <c:v>69157700000</c:v>
                </c:pt>
                <c:pt idx="204">
                  <c:v>69983100000</c:v>
                </c:pt>
                <c:pt idx="205">
                  <c:v>70683000000</c:v>
                </c:pt>
                <c:pt idx="206">
                  <c:v>71521000000</c:v>
                </c:pt>
                <c:pt idx="207">
                  <c:v>72372800000</c:v>
                </c:pt>
                <c:pt idx="208">
                  <c:v>73327300000</c:v>
                </c:pt>
                <c:pt idx="209">
                  <c:v>75391900000</c:v>
                </c:pt>
                <c:pt idx="210">
                  <c:v>76782600000</c:v>
                </c:pt>
                <c:pt idx="211">
                  <c:v>76993900000</c:v>
                </c:pt>
                <c:pt idx="212">
                  <c:v>77488300000</c:v>
                </c:pt>
                <c:pt idx="213">
                  <c:v>78010400000</c:v>
                </c:pt>
                <c:pt idx="214">
                  <c:v>78372600000</c:v>
                </c:pt>
                <c:pt idx="215">
                  <c:v>78976000000</c:v>
                </c:pt>
                <c:pt idx="216">
                  <c:v>79274000000</c:v>
                </c:pt>
                <c:pt idx="217">
                  <c:v>79558000000</c:v>
                </c:pt>
                <c:pt idx="218">
                  <c:v>80123100000</c:v>
                </c:pt>
                <c:pt idx="219">
                  <c:v>81185000000</c:v>
                </c:pt>
                <c:pt idx="220">
                  <c:v>81602200000</c:v>
                </c:pt>
                <c:pt idx="221">
                  <c:v>82692900000</c:v>
                </c:pt>
                <c:pt idx="222">
                  <c:v>83735100000</c:v>
                </c:pt>
                <c:pt idx="223">
                  <c:v>83512300000</c:v>
                </c:pt>
                <c:pt idx="224">
                  <c:v>83736500000</c:v>
                </c:pt>
                <c:pt idx="225">
                  <c:v>84104300000</c:v>
                </c:pt>
                <c:pt idx="226">
                  <c:v>84595900000</c:v>
                </c:pt>
                <c:pt idx="227">
                  <c:v>86139700000</c:v>
                </c:pt>
                <c:pt idx="228">
                  <c:v>86550900000</c:v>
                </c:pt>
                <c:pt idx="229">
                  <c:v>86598100000</c:v>
                </c:pt>
                <c:pt idx="230">
                  <c:v>87114000000</c:v>
                </c:pt>
                <c:pt idx="231">
                  <c:v>88421000000</c:v>
                </c:pt>
                <c:pt idx="232">
                  <c:v>88972600000</c:v>
                </c:pt>
                <c:pt idx="233">
                  <c:v>89929500000</c:v>
                </c:pt>
                <c:pt idx="234">
                  <c:v>91035800000</c:v>
                </c:pt>
                <c:pt idx="235">
                  <c:v>91238100000</c:v>
                </c:pt>
                <c:pt idx="236">
                  <c:v>91845200000</c:v>
                </c:pt>
                <c:pt idx="237">
                  <c:v>92812500000</c:v>
                </c:pt>
                <c:pt idx="238">
                  <c:v>94470000000</c:v>
                </c:pt>
                <c:pt idx="239">
                  <c:v>96206500000</c:v>
                </c:pt>
                <c:pt idx="240">
                  <c:v>97148100000</c:v>
                </c:pt>
                <c:pt idx="241">
                  <c:v>98296300000</c:v>
                </c:pt>
                <c:pt idx="242">
                  <c:v>99238300000</c:v>
                </c:pt>
                <c:pt idx="243">
                  <c:v>100771500000</c:v>
                </c:pt>
                <c:pt idx="244">
                  <c:v>101945400000</c:v>
                </c:pt>
                <c:pt idx="245">
                  <c:v>102540400000</c:v>
                </c:pt>
                <c:pt idx="246">
                  <c:v>103055700000</c:v>
                </c:pt>
                <c:pt idx="247">
                  <c:v>103306700000</c:v>
                </c:pt>
                <c:pt idx="248">
                  <c:v>103817600000</c:v>
                </c:pt>
                <c:pt idx="249">
                  <c:v>104337200000</c:v>
                </c:pt>
                <c:pt idx="250">
                  <c:v>105185400000</c:v>
                </c:pt>
                <c:pt idx="251">
                  <c:v>106597900000</c:v>
                </c:pt>
                <c:pt idx="252">
                  <c:v>106297900000</c:v>
                </c:pt>
                <c:pt idx="253">
                  <c:v>105695300000</c:v>
                </c:pt>
                <c:pt idx="254">
                  <c:v>105412800000</c:v>
                </c:pt>
                <c:pt idx="255">
                  <c:v>105676600000</c:v>
                </c:pt>
                <c:pt idx="256">
                  <c:v>106011800000</c:v>
                </c:pt>
                <c:pt idx="257">
                  <c:v>106835800000</c:v>
                </c:pt>
                <c:pt idx="258">
                  <c:v>107677000000</c:v>
                </c:pt>
                <c:pt idx="259">
                  <c:v>108540700000</c:v>
                </c:pt>
                <c:pt idx="260">
                  <c:v>109528900000</c:v>
                </c:pt>
                <c:pt idx="261">
                  <c:v>109774000000</c:v>
                </c:pt>
                <c:pt idx="262">
                  <c:v>110174400000</c:v>
                </c:pt>
                <c:pt idx="263">
                  <c:v>111357800000</c:v>
                </c:pt>
                <c:pt idx="264">
                  <c:v>111547900000</c:v>
                </c:pt>
                <c:pt idx="265">
                  <c:v>111895100000</c:v>
                </c:pt>
                <c:pt idx="266">
                  <c:v>111987700000</c:v>
                </c:pt>
                <c:pt idx="267">
                  <c:v>112149600000</c:v>
                </c:pt>
                <c:pt idx="268">
                  <c:v>113061500000</c:v>
                </c:pt>
                <c:pt idx="269">
                  <c:v>114126500000</c:v>
                </c:pt>
                <c:pt idx="270">
                  <c:v>114377200000</c:v>
                </c:pt>
                <c:pt idx="271">
                  <c:v>115680200000</c:v>
                </c:pt>
                <c:pt idx="272">
                  <c:v>116674500000</c:v>
                </c:pt>
                <c:pt idx="273">
                  <c:v>117268000000</c:v>
                </c:pt>
                <c:pt idx="274">
                  <c:v>117810400000</c:v>
                </c:pt>
                <c:pt idx="275">
                  <c:v>117796100000</c:v>
                </c:pt>
                <c:pt idx="276">
                  <c:v>118164500000</c:v>
                </c:pt>
                <c:pt idx="277">
                  <c:v>118898200000</c:v>
                </c:pt>
                <c:pt idx="278">
                  <c:v>119691000000</c:v>
                </c:pt>
                <c:pt idx="279">
                  <c:v>121231900000</c:v>
                </c:pt>
                <c:pt idx="280">
                  <c:v>122692000000</c:v>
                </c:pt>
                <c:pt idx="281">
                  <c:v>123767200000</c:v>
                </c:pt>
                <c:pt idx="282">
                  <c:v>124681700000</c:v>
                </c:pt>
                <c:pt idx="283">
                  <c:v>126008300000</c:v>
                </c:pt>
                <c:pt idx="284">
                  <c:v>126957400000</c:v>
                </c:pt>
                <c:pt idx="285">
                  <c:v>129090800000</c:v>
                </c:pt>
                <c:pt idx="286">
                  <c:v>131590100000</c:v>
                </c:pt>
                <c:pt idx="287">
                  <c:v>133109299999.99998</c:v>
                </c:pt>
                <c:pt idx="288">
                  <c:v>135413500000</c:v>
                </c:pt>
                <c:pt idx="289">
                  <c:v>140798300000</c:v>
                </c:pt>
                <c:pt idx="290">
                  <c:v>144957600000</c:v>
                </c:pt>
                <c:pt idx="291">
                  <c:v>147534300000</c:v>
                </c:pt>
                <c:pt idx="292">
                  <c:v>149965900000</c:v>
                </c:pt>
                <c:pt idx="293">
                  <c:v>152829200000</c:v>
                </c:pt>
                <c:pt idx="294">
                  <c:v>155329100000</c:v>
                </c:pt>
                <c:pt idx="295">
                  <c:v>158068100000</c:v>
                </c:pt>
                <c:pt idx="296">
                  <c:v>158506600000</c:v>
                </c:pt>
                <c:pt idx="297">
                  <c:v>159169400000</c:v>
                </c:pt>
                <c:pt idx="298">
                  <c:v>159935300000</c:v>
                </c:pt>
                <c:pt idx="299">
                  <c:v>161211300000</c:v>
                </c:pt>
                <c:pt idx="300">
                  <c:v>163022600000</c:v>
                </c:pt>
                <c:pt idx="301">
                  <c:v>164772000000</c:v>
                </c:pt>
                <c:pt idx="302">
                  <c:v>168816800000</c:v>
                </c:pt>
                <c:pt idx="303">
                  <c:v>174990900000</c:v>
                </c:pt>
                <c:pt idx="304">
                  <c:v>177630900000</c:v>
                </c:pt>
                <c:pt idx="305">
                  <c:v>180108200000</c:v>
                </c:pt>
                <c:pt idx="306">
                  <c:v>183987300000</c:v>
                </c:pt>
                <c:pt idx="307">
                  <c:v>186381900000</c:v>
                </c:pt>
                <c:pt idx="308">
                  <c:v>187994100000</c:v>
                </c:pt>
                <c:pt idx="309">
                  <c:v>189230200000</c:v>
                </c:pt>
                <c:pt idx="310">
                  <c:v>190404700000</c:v>
                </c:pt>
                <c:pt idx="311">
                  <c:v>191276100000</c:v>
                </c:pt>
                <c:pt idx="312">
                  <c:v>191586900000</c:v>
                </c:pt>
                <c:pt idx="313">
                  <c:v>190380500000</c:v>
                </c:pt>
                <c:pt idx="314">
                  <c:v>188119100000</c:v>
                </c:pt>
                <c:pt idx="315">
                  <c:v>187410900000</c:v>
                </c:pt>
                <c:pt idx="316">
                  <c:v>186074000000</c:v>
                </c:pt>
                <c:pt idx="317">
                  <c:v>184638000000</c:v>
                </c:pt>
                <c:pt idx="318">
                  <c:v>183651000000</c:v>
                </c:pt>
                <c:pt idx="319">
                  <c:v>182928200000</c:v>
                </c:pt>
                <c:pt idx="320">
                  <c:v>182822000000</c:v>
                </c:pt>
                <c:pt idx="321">
                  <c:v>182714200000</c:v>
                </c:pt>
                <c:pt idx="322">
                  <c:v>182618900000</c:v>
                </c:pt>
                <c:pt idx="323">
                  <c:v>183358600000</c:v>
                </c:pt>
                <c:pt idx="324">
                  <c:v>182648100000</c:v>
                </c:pt>
                <c:pt idx="325">
                  <c:v>182044400000</c:v>
                </c:pt>
                <c:pt idx="326">
                  <c:v>179487700000</c:v>
                </c:pt>
                <c:pt idx="327">
                  <c:v>177475500000</c:v>
                </c:pt>
                <c:pt idx="328">
                  <c:v>178432600000</c:v>
                </c:pt>
                <c:pt idx="329">
                  <c:v>179102000000</c:v>
                </c:pt>
                <c:pt idx="330">
                  <c:v>179142300000</c:v>
                </c:pt>
                <c:pt idx="331">
                  <c:v>179794900000</c:v>
                </c:pt>
                <c:pt idx="332">
                  <c:v>181173200000</c:v>
                </c:pt>
                <c:pt idx="333">
                  <c:v>182438300000</c:v>
                </c:pt>
                <c:pt idx="334">
                  <c:v>183900500000</c:v>
                </c:pt>
                <c:pt idx="335">
                  <c:v>185247800000</c:v>
                </c:pt>
                <c:pt idx="336">
                  <c:v>185787400000</c:v>
                </c:pt>
                <c:pt idx="337">
                  <c:v>187411300000</c:v>
                </c:pt>
                <c:pt idx="338">
                  <c:v>189154700000</c:v>
                </c:pt>
                <c:pt idx="339">
                  <c:v>190294800000</c:v>
                </c:pt>
                <c:pt idx="340">
                  <c:v>191779700000</c:v>
                </c:pt>
                <c:pt idx="341">
                  <c:v>193554800000</c:v>
                </c:pt>
                <c:pt idx="342">
                  <c:v>195183500000</c:v>
                </c:pt>
                <c:pt idx="343">
                  <c:v>197488100000</c:v>
                </c:pt>
                <c:pt idx="344">
                  <c:v>198999100000</c:v>
                </c:pt>
                <c:pt idx="345">
                  <c:v>201254500000</c:v>
                </c:pt>
                <c:pt idx="346">
                  <c:v>202939700000</c:v>
                </c:pt>
                <c:pt idx="347">
                  <c:v>204677400000</c:v>
                </c:pt>
                <c:pt idx="348">
                  <c:v>207293100000</c:v>
                </c:pt>
                <c:pt idx="349">
                  <c:v>210259000000</c:v>
                </c:pt>
                <c:pt idx="350">
                  <c:v>213605800000</c:v>
                </c:pt>
                <c:pt idx="351">
                  <c:v>216997900000</c:v>
                </c:pt>
                <c:pt idx="352">
                  <c:v>220400500000</c:v>
                </c:pt>
                <c:pt idx="353">
                  <c:v>223475900000</c:v>
                </c:pt>
                <c:pt idx="354">
                  <c:v>226225800000</c:v>
                </c:pt>
                <c:pt idx="355">
                  <c:v>228362300000</c:v>
                </c:pt>
                <c:pt idx="356">
                  <c:v>230501100000</c:v>
                </c:pt>
                <c:pt idx="357">
                  <c:v>232924900000</c:v>
                </c:pt>
                <c:pt idx="358">
                  <c:v>235806200000</c:v>
                </c:pt>
                <c:pt idx="359">
                  <c:v>237239400000</c:v>
                </c:pt>
                <c:pt idx="360">
                  <c:v>239757000000</c:v>
                </c:pt>
                <c:pt idx="361">
                  <c:v>243876600000</c:v>
                </c:pt>
                <c:pt idx="362">
                  <c:v>247893300000</c:v>
                </c:pt>
                <c:pt idx="363">
                  <c:v>253760900000</c:v>
                </c:pt>
                <c:pt idx="364">
                  <c:v>258734899999.99997</c:v>
                </c:pt>
                <c:pt idx="365">
                  <c:v>263481499999.99997</c:v>
                </c:pt>
                <c:pt idx="366">
                  <c:v>267863099999.99997</c:v>
                </c:pt>
                <c:pt idx="367">
                  <c:v>270645200000</c:v>
                </c:pt>
                <c:pt idx="368">
                  <c:v>274376100000</c:v>
                </c:pt>
                <c:pt idx="369">
                  <c:v>276150600000</c:v>
                </c:pt>
                <c:pt idx="370">
                  <c:v>277238200000</c:v>
                </c:pt>
                <c:pt idx="371">
                  <c:v>279725700000</c:v>
                </c:pt>
                <c:pt idx="372">
                  <c:v>281850100000</c:v>
                </c:pt>
                <c:pt idx="373">
                  <c:v>285673100000</c:v>
                </c:pt>
                <c:pt idx="374">
                  <c:v>289384400000</c:v>
                </c:pt>
                <c:pt idx="375">
                  <c:v>290601800000</c:v>
                </c:pt>
                <c:pt idx="376">
                  <c:v>287878400000</c:v>
                </c:pt>
                <c:pt idx="377">
                  <c:v>287037800000</c:v>
                </c:pt>
                <c:pt idx="378">
                  <c:v>288058300000</c:v>
                </c:pt>
                <c:pt idx="379">
                  <c:v>291449100000</c:v>
                </c:pt>
                <c:pt idx="380">
                  <c:v>294792500000</c:v>
                </c:pt>
                <c:pt idx="381">
                  <c:v>299957300000</c:v>
                </c:pt>
                <c:pt idx="382">
                  <c:v>307374300000</c:v>
                </c:pt>
                <c:pt idx="383">
                  <c:v>312038300000</c:v>
                </c:pt>
                <c:pt idx="384">
                  <c:v>312452200000</c:v>
                </c:pt>
                <c:pt idx="385">
                  <c:v>313117000000</c:v>
                </c:pt>
                <c:pt idx="386">
                  <c:v>314393300000</c:v>
                </c:pt>
                <c:pt idx="387">
                  <c:v>318502400000</c:v>
                </c:pt>
                <c:pt idx="388">
                  <c:v>324080000000</c:v>
                </c:pt>
                <c:pt idx="389">
                  <c:v>328172600000</c:v>
                </c:pt>
                <c:pt idx="390">
                  <c:v>331857100000</c:v>
                </c:pt>
                <c:pt idx="391">
                  <c:v>336523000000</c:v>
                </c:pt>
                <c:pt idx="392">
                  <c:v>338115500000</c:v>
                </c:pt>
                <c:pt idx="393">
                  <c:v>341198900000</c:v>
                </c:pt>
                <c:pt idx="394">
                  <c:v>345508800000</c:v>
                </c:pt>
                <c:pt idx="395">
                  <c:v>350307700000</c:v>
                </c:pt>
                <c:pt idx="396">
                  <c:v>354845500000</c:v>
                </c:pt>
                <c:pt idx="397">
                  <c:v>360713700000</c:v>
                </c:pt>
                <c:pt idx="398">
                  <c:v>363974600000</c:v>
                </c:pt>
                <c:pt idx="399">
                  <c:v>371056500000</c:v>
                </c:pt>
                <c:pt idx="400">
                  <c:v>375982300000</c:v>
                </c:pt>
                <c:pt idx="401">
                  <c:v>380564200000</c:v>
                </c:pt>
                <c:pt idx="402">
                  <c:v>384043700000</c:v>
                </c:pt>
                <c:pt idx="403">
                  <c:v>385859300000</c:v>
                </c:pt>
                <c:pt idx="404">
                  <c:v>391038500000</c:v>
                </c:pt>
                <c:pt idx="405">
                  <c:v>392391700000</c:v>
                </c:pt>
                <c:pt idx="406">
                  <c:v>391975100000</c:v>
                </c:pt>
                <c:pt idx="407">
                  <c:v>392041900000</c:v>
                </c:pt>
                <c:pt idx="408">
                  <c:v>393186400000</c:v>
                </c:pt>
                <c:pt idx="409">
                  <c:v>393355600000</c:v>
                </c:pt>
                <c:pt idx="410">
                  <c:v>393804800000</c:v>
                </c:pt>
                <c:pt idx="411">
                  <c:v>392425900000</c:v>
                </c:pt>
                <c:pt idx="412">
                  <c:v>391490600000</c:v>
                </c:pt>
                <c:pt idx="413">
                  <c:v>393839500000</c:v>
                </c:pt>
                <c:pt idx="414">
                  <c:v>397794500000</c:v>
                </c:pt>
                <c:pt idx="415">
                  <c:v>401586600000</c:v>
                </c:pt>
                <c:pt idx="416">
                  <c:v>402529000000</c:v>
                </c:pt>
                <c:pt idx="417">
                  <c:v>405748600000</c:v>
                </c:pt>
                <c:pt idx="418">
                  <c:v>409617400000</c:v>
                </c:pt>
                <c:pt idx="419">
                  <c:v>413940400000</c:v>
                </c:pt>
                <c:pt idx="420">
                  <c:v>415605400000</c:v>
                </c:pt>
                <c:pt idx="421">
                  <c:v>423580800000</c:v>
                </c:pt>
                <c:pt idx="422">
                  <c:v>430946300000</c:v>
                </c:pt>
                <c:pt idx="423">
                  <c:v>437837400000</c:v>
                </c:pt>
                <c:pt idx="424">
                  <c:v>446318300000</c:v>
                </c:pt>
                <c:pt idx="425">
                  <c:v>450972300000</c:v>
                </c:pt>
                <c:pt idx="426">
                  <c:v>455800900000</c:v>
                </c:pt>
                <c:pt idx="427">
                  <c:v>458792500000</c:v>
                </c:pt>
                <c:pt idx="428">
                  <c:v>461914800000</c:v>
                </c:pt>
                <c:pt idx="429">
                  <c:v>466354500000</c:v>
                </c:pt>
                <c:pt idx="430">
                  <c:v>470961800000</c:v>
                </c:pt>
                <c:pt idx="431">
                  <c:v>473352400000</c:v>
                </c:pt>
                <c:pt idx="432">
                  <c:v>472942500000</c:v>
                </c:pt>
                <c:pt idx="433">
                  <c:v>475725700000</c:v>
                </c:pt>
                <c:pt idx="434">
                  <c:v>480420300000</c:v>
                </c:pt>
                <c:pt idx="435">
                  <c:v>479176900000</c:v>
                </c:pt>
                <c:pt idx="436">
                  <c:v>480800400000</c:v>
                </c:pt>
                <c:pt idx="437">
                  <c:v>482247400000</c:v>
                </c:pt>
                <c:pt idx="438">
                  <c:v>487105100000</c:v>
                </c:pt>
                <c:pt idx="439">
                  <c:v>489919900000</c:v>
                </c:pt>
                <c:pt idx="440">
                  <c:v>494408100000</c:v>
                </c:pt>
                <c:pt idx="441">
                  <c:v>493249000000</c:v>
                </c:pt>
                <c:pt idx="442">
                  <c:v>497052500000</c:v>
                </c:pt>
                <c:pt idx="443">
                  <c:v>498852800000</c:v>
                </c:pt>
                <c:pt idx="444">
                  <c:v>500389500000</c:v>
                </c:pt>
                <c:pt idx="445">
                  <c:v>500695600000</c:v>
                </c:pt>
                <c:pt idx="446">
                  <c:v>505339500000</c:v>
                </c:pt>
                <c:pt idx="447">
                  <c:v>507766200000</c:v>
                </c:pt>
                <c:pt idx="448">
                  <c:v>507950200000</c:v>
                </c:pt>
                <c:pt idx="449">
                  <c:v>511186600000</c:v>
                </c:pt>
                <c:pt idx="450">
                  <c:v>513055100000.00006</c:v>
                </c:pt>
                <c:pt idx="451">
                  <c:v>515120400000</c:v>
                </c:pt>
                <c:pt idx="452">
                  <c:v>517697400000</c:v>
                </c:pt>
                <c:pt idx="453">
                  <c:v>517578499999.99994</c:v>
                </c:pt>
                <c:pt idx="454">
                  <c:v>523821200000</c:v>
                </c:pt>
                <c:pt idx="455">
                  <c:v>539182199999.99994</c:v>
                </c:pt>
                <c:pt idx="456">
                  <c:v>548773400000.00006</c:v>
                </c:pt>
                <c:pt idx="457">
                  <c:v>546878700000</c:v>
                </c:pt>
                <c:pt idx="458">
                  <c:v>548301100000</c:v>
                </c:pt>
                <c:pt idx="459">
                  <c:v>549605100000</c:v>
                </c:pt>
                <c:pt idx="460">
                  <c:v>551562800000</c:v>
                </c:pt>
                <c:pt idx="461">
                  <c:v>554493600000</c:v>
                </c:pt>
                <c:pt idx="462">
                  <c:v>553469300000</c:v>
                </c:pt>
                <c:pt idx="463">
                  <c:v>554141200000</c:v>
                </c:pt>
                <c:pt idx="464">
                  <c:v>561331000000</c:v>
                </c:pt>
                <c:pt idx="465">
                  <c:v>563085700000</c:v>
                </c:pt>
                <c:pt idx="466">
                  <c:v>562479000000</c:v>
                </c:pt>
                <c:pt idx="467">
                  <c:v>565097400000</c:v>
                </c:pt>
                <c:pt idx="468">
                  <c:v>567065900000</c:v>
                </c:pt>
                <c:pt idx="469">
                  <c:v>568216400000</c:v>
                </c:pt>
                <c:pt idx="470">
                  <c:v>571364500000</c:v>
                </c:pt>
                <c:pt idx="471">
                  <c:v>577427000000</c:v>
                </c:pt>
                <c:pt idx="472">
                  <c:v>583828900000</c:v>
                </c:pt>
                <c:pt idx="473">
                  <c:v>588981400000</c:v>
                </c:pt>
                <c:pt idx="474">
                  <c:v>593974400000</c:v>
                </c:pt>
                <c:pt idx="475">
                  <c:v>594557700000</c:v>
                </c:pt>
                <c:pt idx="476">
                  <c:v>595477800000</c:v>
                </c:pt>
                <c:pt idx="477">
                  <c:v>599031800000</c:v>
                </c:pt>
                <c:pt idx="478">
                  <c:v>601037800000</c:v>
                </c:pt>
                <c:pt idx="479">
                  <c:v>604603300000</c:v>
                </c:pt>
                <c:pt idx="480">
                  <c:v>606270900000</c:v>
                </c:pt>
                <c:pt idx="481">
                  <c:v>617092700000</c:v>
                </c:pt>
                <c:pt idx="482">
                  <c:v>616481000000</c:v>
                </c:pt>
                <c:pt idx="483">
                  <c:v>619041200000</c:v>
                </c:pt>
                <c:pt idx="484">
                  <c:v>624309600000</c:v>
                </c:pt>
                <c:pt idx="485">
                  <c:v>624266800000</c:v>
                </c:pt>
                <c:pt idx="486">
                  <c:v>631040300000</c:v>
                </c:pt>
                <c:pt idx="487">
                  <c:v>635265400000</c:v>
                </c:pt>
                <c:pt idx="488">
                  <c:v>637189600000</c:v>
                </c:pt>
                <c:pt idx="489">
                  <c:v>639341600000</c:v>
                </c:pt>
                <c:pt idx="490">
                  <c:v>639666400000</c:v>
                </c:pt>
                <c:pt idx="491">
                  <c:v>637573400000</c:v>
                </c:pt>
                <c:pt idx="492">
                  <c:v>635748400000</c:v>
                </c:pt>
                <c:pt idx="493">
                  <c:v>636527500000</c:v>
                </c:pt>
                <c:pt idx="494">
                  <c:v>638358700000</c:v>
                </c:pt>
                <c:pt idx="495">
                  <c:v>640851000000</c:v>
                </c:pt>
                <c:pt idx="496">
                  <c:v>639760800000</c:v>
                </c:pt>
                <c:pt idx="497">
                  <c:v>641532100000</c:v>
                </c:pt>
                <c:pt idx="498">
                  <c:v>639921600000</c:v>
                </c:pt>
                <c:pt idx="499">
                  <c:v>640373000000</c:v>
                </c:pt>
                <c:pt idx="500">
                  <c:v>639479600000</c:v>
                </c:pt>
                <c:pt idx="501">
                  <c:v>637525000000</c:v>
                </c:pt>
                <c:pt idx="502">
                  <c:v>639180100000</c:v>
                </c:pt>
                <c:pt idx="503">
                  <c:v>641546900000</c:v>
                </c:pt>
                <c:pt idx="504">
                  <c:v>636137500000</c:v>
                </c:pt>
                <c:pt idx="505">
                  <c:v>635960700000</c:v>
                </c:pt>
                <c:pt idx="506">
                  <c:v>635289100000</c:v>
                </c:pt>
                <c:pt idx="507">
                  <c:v>631268100000</c:v>
                </c:pt>
                <c:pt idx="508">
                  <c:v>627742100000</c:v>
                </c:pt>
                <c:pt idx="509">
                  <c:v>626379500000</c:v>
                </c:pt>
                <c:pt idx="510">
                  <c:v>623221600000</c:v>
                </c:pt>
                <c:pt idx="511">
                  <c:v>618382200000</c:v>
                </c:pt>
                <c:pt idx="512">
                  <c:v>620561900000</c:v>
                </c:pt>
                <c:pt idx="513">
                  <c:v>620969800000</c:v>
                </c:pt>
                <c:pt idx="514">
                  <c:v>618416600000</c:v>
                </c:pt>
                <c:pt idx="515">
                  <c:v>618354200000</c:v>
                </c:pt>
                <c:pt idx="516">
                  <c:v>613599600000</c:v>
                </c:pt>
                <c:pt idx="517">
                  <c:v>609738200000</c:v>
                </c:pt>
                <c:pt idx="518">
                  <c:v>607376800000</c:v>
                </c:pt>
                <c:pt idx="519">
                  <c:v>604401900000</c:v>
                </c:pt>
                <c:pt idx="520">
                  <c:v>602216300000</c:v>
                </c:pt>
                <c:pt idx="521">
                  <c:v>601063300000</c:v>
                </c:pt>
                <c:pt idx="522">
                  <c:v>599261300000</c:v>
                </c:pt>
                <c:pt idx="523">
                  <c:v>597255600000</c:v>
                </c:pt>
                <c:pt idx="524">
                  <c:v>598409600000</c:v>
                </c:pt>
                <c:pt idx="525">
                  <c:v>596855700000</c:v>
                </c:pt>
                <c:pt idx="526">
                  <c:v>596894700000</c:v>
                </c:pt>
                <c:pt idx="527">
                  <c:v>596463400000</c:v>
                </c:pt>
                <c:pt idx="528">
                  <c:v>595492200000</c:v>
                </c:pt>
                <c:pt idx="529">
                  <c:v>593512200000</c:v>
                </c:pt>
                <c:pt idx="530">
                  <c:v>591274600000</c:v>
                </c:pt>
                <c:pt idx="531">
                  <c:v>585663100000</c:v>
                </c:pt>
                <c:pt idx="532">
                  <c:v>588000700000</c:v>
                </c:pt>
                <c:pt idx="533">
                  <c:v>590243700000</c:v>
                </c:pt>
                <c:pt idx="534">
                  <c:v>587896000000</c:v>
                </c:pt>
                <c:pt idx="535">
                  <c:v>587714600000</c:v>
                </c:pt>
                <c:pt idx="536">
                  <c:v>585419100000</c:v>
                </c:pt>
                <c:pt idx="537">
                  <c:v>583902500000</c:v>
                </c:pt>
                <c:pt idx="538">
                  <c:v>584010400000</c:v>
                </c:pt>
                <c:pt idx="539">
                  <c:v>583670100000</c:v>
                </c:pt>
                <c:pt idx="540">
                  <c:v>587439800000</c:v>
                </c:pt>
                <c:pt idx="541">
                  <c:v>588041500000</c:v>
                </c:pt>
                <c:pt idx="542">
                  <c:v>594801100000</c:v>
                </c:pt>
                <c:pt idx="543">
                  <c:v>600527100000</c:v>
                </c:pt>
                <c:pt idx="544">
                  <c:v>604813100000</c:v>
                </c:pt>
                <c:pt idx="545">
                  <c:v>609049400000</c:v>
                </c:pt>
                <c:pt idx="546">
                  <c:v>616477900000</c:v>
                </c:pt>
                <c:pt idx="547">
                  <c:v>622103200000</c:v>
                </c:pt>
                <c:pt idx="548">
                  <c:v>624935200000</c:v>
                </c:pt>
                <c:pt idx="549">
                  <c:v>631565600000</c:v>
                </c:pt>
                <c:pt idx="550">
                  <c:v>638367500000</c:v>
                </c:pt>
                <c:pt idx="551">
                  <c:v>643789400000</c:v>
                </c:pt>
                <c:pt idx="552">
                  <c:v>654337100000</c:v>
                </c:pt>
                <c:pt idx="553">
                  <c:v>666572200000</c:v>
                </c:pt>
                <c:pt idx="554">
                  <c:v>673561000000</c:v>
                </c:pt>
                <c:pt idx="555">
                  <c:v>677612700000</c:v>
                </c:pt>
                <c:pt idx="556">
                  <c:v>686272900000</c:v>
                </c:pt>
                <c:pt idx="557">
                  <c:v>690672800000</c:v>
                </c:pt>
                <c:pt idx="558">
                  <c:v>698499400000</c:v>
                </c:pt>
                <c:pt idx="559">
                  <c:v>702803400000</c:v>
                </c:pt>
                <c:pt idx="560">
                  <c:v>705986100000</c:v>
                </c:pt>
                <c:pt idx="561">
                  <c:v>706266000000</c:v>
                </c:pt>
                <c:pt idx="562">
                  <c:v>712581500000</c:v>
                </c:pt>
                <c:pt idx="563">
                  <c:v>715072500000</c:v>
                </c:pt>
                <c:pt idx="564">
                  <c:v>721795900000</c:v>
                </c:pt>
                <c:pt idx="565">
                  <c:v>724168600000</c:v>
                </c:pt>
                <c:pt idx="566">
                  <c:v>727381600000</c:v>
                </c:pt>
                <c:pt idx="567">
                  <c:v>732166600000</c:v>
                </c:pt>
                <c:pt idx="568">
                  <c:v>736579900000</c:v>
                </c:pt>
                <c:pt idx="569">
                  <c:v>741490800000</c:v>
                </c:pt>
                <c:pt idx="570">
                  <c:v>744971000000</c:v>
                </c:pt>
                <c:pt idx="571">
                  <c:v>747772300000</c:v>
                </c:pt>
                <c:pt idx="572">
                  <c:v>758460100000</c:v>
                </c:pt>
                <c:pt idx="573">
                  <c:v>765913100000</c:v>
                </c:pt>
                <c:pt idx="574">
                  <c:v>772027500000</c:v>
                </c:pt>
                <c:pt idx="575">
                  <c:v>778613800000</c:v>
                </c:pt>
                <c:pt idx="576">
                  <c:v>782376400000</c:v>
                </c:pt>
                <c:pt idx="577">
                  <c:v>789222600000</c:v>
                </c:pt>
                <c:pt idx="578">
                  <c:v>795684500000</c:v>
                </c:pt>
                <c:pt idx="579">
                  <c:v>803980600000</c:v>
                </c:pt>
                <c:pt idx="580">
                  <c:v>809460900000</c:v>
                </c:pt>
                <c:pt idx="581">
                  <c:v>813461900000</c:v>
                </c:pt>
                <c:pt idx="582">
                  <c:v>816453700000</c:v>
                </c:pt>
                <c:pt idx="583">
                  <c:v>822428800000</c:v>
                </c:pt>
                <c:pt idx="584">
                  <c:v>829823400000</c:v>
                </c:pt>
                <c:pt idx="585">
                  <c:v>833845600000</c:v>
                </c:pt>
                <c:pt idx="586">
                  <c:v>839873400000</c:v>
                </c:pt>
                <c:pt idx="587">
                  <c:v>845112700000</c:v>
                </c:pt>
                <c:pt idx="588">
                  <c:v>855637500000</c:v>
                </c:pt>
                <c:pt idx="589">
                  <c:v>862418000000</c:v>
                </c:pt>
                <c:pt idx="590">
                  <c:v>866171400000</c:v>
                </c:pt>
                <c:pt idx="591">
                  <c:v>864427800000</c:v>
                </c:pt>
                <c:pt idx="592">
                  <c:v>876112500000</c:v>
                </c:pt>
                <c:pt idx="593">
                  <c:v>891197400000</c:v>
                </c:pt>
                <c:pt idx="594">
                  <c:v>897605800000</c:v>
                </c:pt>
                <c:pt idx="595">
                  <c:v>903866700000</c:v>
                </c:pt>
                <c:pt idx="596">
                  <c:v>912242300000</c:v>
                </c:pt>
                <c:pt idx="597">
                  <c:v>931272100000</c:v>
                </c:pt>
                <c:pt idx="598">
                  <c:v>942230500000</c:v>
                </c:pt>
                <c:pt idx="599">
                  <c:v>939216100000</c:v>
                </c:pt>
                <c:pt idx="600">
                  <c:v>937874800000</c:v>
                </c:pt>
                <c:pt idx="601">
                  <c:v>936038500000</c:v>
                </c:pt>
                <c:pt idx="602">
                  <c:v>944490100000</c:v>
                </c:pt>
                <c:pt idx="603">
                  <c:v>947242200000</c:v>
                </c:pt>
                <c:pt idx="604">
                  <c:v>942459100000</c:v>
                </c:pt>
                <c:pt idx="605">
                  <c:v>949832900000</c:v>
                </c:pt>
                <c:pt idx="606">
                  <c:v>958487100000</c:v>
                </c:pt>
                <c:pt idx="607">
                  <c:v>969009600000</c:v>
                </c:pt>
                <c:pt idx="608">
                  <c:v>975027700000</c:v>
                </c:pt>
                <c:pt idx="609">
                  <c:v>978187100000</c:v>
                </c:pt>
                <c:pt idx="610">
                  <c:v>1000278000000</c:v>
                </c:pt>
                <c:pt idx="611">
                  <c:v>1001089300000</c:v>
                </c:pt>
                <c:pt idx="612">
                  <c:v>1003694300000</c:v>
                </c:pt>
                <c:pt idx="613">
                  <c:v>1016726200000</c:v>
                </c:pt>
                <c:pt idx="614">
                  <c:v>1026311800000</c:v>
                </c:pt>
                <c:pt idx="615">
                  <c:v>1035145000000</c:v>
                </c:pt>
                <c:pt idx="616">
                  <c:v>1052093200000</c:v>
                </c:pt>
                <c:pt idx="617">
                  <c:v>1062874300000</c:v>
                </c:pt>
                <c:pt idx="618">
                  <c:v>1068579099999.9999</c:v>
                </c:pt>
                <c:pt idx="619">
                  <c:v>1071608900000</c:v>
                </c:pt>
                <c:pt idx="620">
                  <c:v>1072825100000</c:v>
                </c:pt>
                <c:pt idx="621">
                  <c:v>1077858900000</c:v>
                </c:pt>
                <c:pt idx="622">
                  <c:v>1080442500000.0001</c:v>
                </c:pt>
                <c:pt idx="623">
                  <c:v>1085317600000.0001</c:v>
                </c:pt>
                <c:pt idx="624">
                  <c:v>1094172900000</c:v>
                </c:pt>
                <c:pt idx="625">
                  <c:v>1094409799999.9999</c:v>
                </c:pt>
                <c:pt idx="626">
                  <c:v>1092069199999.9999</c:v>
                </c:pt>
                <c:pt idx="627">
                  <c:v>1089096600000.0001</c:v>
                </c:pt>
                <c:pt idx="628">
                  <c:v>1084191900000</c:v>
                </c:pt>
                <c:pt idx="629">
                  <c:v>1072134100000</c:v>
                </c:pt>
                <c:pt idx="630">
                  <c:v>1063982600000</c:v>
                </c:pt>
                <c:pt idx="631">
                  <c:v>1055815499999.9999</c:v>
                </c:pt>
                <c:pt idx="632">
                  <c:v>1059167999999.9999</c:v>
                </c:pt>
                <c:pt idx="633">
                  <c:v>1044502400000.0001</c:v>
                </c:pt>
                <c:pt idx="634">
                  <c:v>1033978200000</c:v>
                </c:pt>
                <c:pt idx="635">
                  <c:v>1021807700000</c:v>
                </c:pt>
                <c:pt idx="636">
                  <c:v>1012195600000</c:v>
                </c:pt>
                <c:pt idx="637">
                  <c:v>1016893000000</c:v>
                </c:pt>
                <c:pt idx="638">
                  <c:v>1011882900000</c:v>
                </c:pt>
                <c:pt idx="639">
                  <c:v>1000217600000</c:v>
                </c:pt>
                <c:pt idx="640">
                  <c:v>991020600000</c:v>
                </c:pt>
                <c:pt idx="641">
                  <c:v>984178700000</c:v>
                </c:pt>
                <c:pt idx="642">
                  <c:v>976675000000</c:v>
                </c:pt>
                <c:pt idx="643">
                  <c:v>972433700000</c:v>
                </c:pt>
                <c:pt idx="644">
                  <c:v>966239500000</c:v>
                </c:pt>
                <c:pt idx="645">
                  <c:v>962773400000</c:v>
                </c:pt>
                <c:pt idx="646">
                  <c:v>960468600000</c:v>
                </c:pt>
                <c:pt idx="647">
                  <c:v>957811300000</c:v>
                </c:pt>
                <c:pt idx="648">
                  <c:v>950441600000</c:v>
                </c:pt>
                <c:pt idx="649">
                  <c:v>941670000000</c:v>
                </c:pt>
                <c:pt idx="650">
                  <c:v>937562100000</c:v>
                </c:pt>
                <c:pt idx="651">
                  <c:v>935077700000</c:v>
                </c:pt>
                <c:pt idx="652">
                  <c:v>924145500000</c:v>
                </c:pt>
                <c:pt idx="653">
                  <c:v>917454100000</c:v>
                </c:pt>
                <c:pt idx="654">
                  <c:v>921483200000</c:v>
                </c:pt>
                <c:pt idx="655">
                  <c:v>909655000000</c:v>
                </c:pt>
                <c:pt idx="656">
                  <c:v>899851100000</c:v>
                </c:pt>
                <c:pt idx="657">
                  <c:v>886915900000</c:v>
                </c:pt>
                <c:pt idx="658">
                  <c:v>881723300000</c:v>
                </c:pt>
                <c:pt idx="659">
                  <c:v>883570200000</c:v>
                </c:pt>
                <c:pt idx="660">
                  <c:v>876472200000</c:v>
                </c:pt>
                <c:pt idx="661">
                  <c:v>874601400000</c:v>
                </c:pt>
                <c:pt idx="662">
                  <c:v>869420200000</c:v>
                </c:pt>
                <c:pt idx="663">
                  <c:v>864500100000</c:v>
                </c:pt>
                <c:pt idx="664">
                  <c:v>862933700000</c:v>
                </c:pt>
                <c:pt idx="665">
                  <c:v>869232800000</c:v>
                </c:pt>
                <c:pt idx="666">
                  <c:v>878074000000</c:v>
                </c:pt>
                <c:pt idx="667">
                  <c:v>882991000000</c:v>
                </c:pt>
                <c:pt idx="668">
                  <c:v>886799800000</c:v>
                </c:pt>
                <c:pt idx="669">
                  <c:v>889270400000</c:v>
                </c:pt>
                <c:pt idx="670">
                  <c:v>897558000000</c:v>
                </c:pt>
                <c:pt idx="671">
                  <c:v>906369300000</c:v>
                </c:pt>
                <c:pt idx="672">
                  <c:v>921521700000</c:v>
                </c:pt>
                <c:pt idx="673">
                  <c:v>931898300000</c:v>
                </c:pt>
                <c:pt idx="674">
                  <c:v>945892600000</c:v>
                </c:pt>
                <c:pt idx="675">
                  <c:v>958563900000</c:v>
                </c:pt>
                <c:pt idx="676">
                  <c:v>968737200000</c:v>
                </c:pt>
                <c:pt idx="677">
                  <c:v>975152200000</c:v>
                </c:pt>
                <c:pt idx="678">
                  <c:v>989571200000</c:v>
                </c:pt>
                <c:pt idx="679">
                  <c:v>995836900000</c:v>
                </c:pt>
                <c:pt idx="680">
                  <c:v>1000940700000</c:v>
                </c:pt>
                <c:pt idx="681">
                  <c:v>1014438700000</c:v>
                </c:pt>
                <c:pt idx="682">
                  <c:v>1022526500000</c:v>
                </c:pt>
                <c:pt idx="683">
                  <c:v>1036105800000</c:v>
                </c:pt>
                <c:pt idx="684">
                  <c:v>1048889100000.0001</c:v>
                </c:pt>
                <c:pt idx="685">
                  <c:v>1058545800000.0001</c:v>
                </c:pt>
                <c:pt idx="686">
                  <c:v>1068765400000</c:v>
                </c:pt>
                <c:pt idx="687">
                  <c:v>1084967400000</c:v>
                </c:pt>
                <c:pt idx="688">
                  <c:v>1103268200000</c:v>
                </c:pt>
                <c:pt idx="689">
                  <c:v>1118878000000</c:v>
                </c:pt>
                <c:pt idx="690">
                  <c:v>1130561400000</c:v>
                </c:pt>
                <c:pt idx="691">
                  <c:v>1152266200000</c:v>
                </c:pt>
                <c:pt idx="692">
                  <c:v>1151229500000</c:v>
                </c:pt>
                <c:pt idx="693">
                  <c:v>1161271000000</c:v>
                </c:pt>
                <c:pt idx="694">
                  <c:v>1169872200000</c:v>
                </c:pt>
                <c:pt idx="695">
                  <c:v>1182517100000</c:v>
                </c:pt>
                <c:pt idx="696">
                  <c:v>1192525600000</c:v>
                </c:pt>
                <c:pt idx="697">
                  <c:v>1205150800000</c:v>
                </c:pt>
                <c:pt idx="698">
                  <c:v>1215870800000</c:v>
                </c:pt>
                <c:pt idx="699">
                  <c:v>1226428000000</c:v>
                </c:pt>
                <c:pt idx="700">
                  <c:v>1244509400000</c:v>
                </c:pt>
                <c:pt idx="701">
                  <c:v>1263956900000</c:v>
                </c:pt>
                <c:pt idx="702">
                  <c:v>1281706100000</c:v>
                </c:pt>
                <c:pt idx="703">
                  <c:v>1307661300000</c:v>
                </c:pt>
                <c:pt idx="704">
                  <c:v>1350097400000</c:v>
                </c:pt>
                <c:pt idx="705">
                  <c:v>1374713600000</c:v>
                </c:pt>
                <c:pt idx="706">
                  <c:v>1393576200000</c:v>
                </c:pt>
                <c:pt idx="707">
                  <c:v>1417601600000</c:v>
                </c:pt>
                <c:pt idx="708">
                  <c:v>1441076500000</c:v>
                </c:pt>
                <c:pt idx="709">
                  <c:v>1449241900000</c:v>
                </c:pt>
                <c:pt idx="710">
                  <c:v>1470842200000</c:v>
                </c:pt>
                <c:pt idx="711">
                  <c:v>1489996500000</c:v>
                </c:pt>
                <c:pt idx="712">
                  <c:v>1491213700000</c:v>
                </c:pt>
                <c:pt idx="713">
                  <c:v>1498320400000</c:v>
                </c:pt>
                <c:pt idx="714">
                  <c:v>1512103600000</c:v>
                </c:pt>
                <c:pt idx="715">
                  <c:v>1513761900000</c:v>
                </c:pt>
                <c:pt idx="716">
                  <c:v>1531026100000</c:v>
                </c:pt>
                <c:pt idx="717">
                  <c:v>1586423300000</c:v>
                </c:pt>
                <c:pt idx="718">
                  <c:v>1575381500000</c:v>
                </c:pt>
                <c:pt idx="719">
                  <c:v>1558687500000</c:v>
                </c:pt>
                <c:pt idx="720">
                  <c:v>1544892500000</c:v>
                </c:pt>
                <c:pt idx="721">
                  <c:v>1532816100000</c:v>
                </c:pt>
                <c:pt idx="722">
                  <c:v>1511375700000</c:v>
                </c:pt>
                <c:pt idx="723">
                  <c:v>1491510500000</c:v>
                </c:pt>
                <c:pt idx="724">
                  <c:v>1469404600000</c:v>
                </c:pt>
                <c:pt idx="725">
                  <c:v>1436391500000</c:v>
                </c:pt>
                <c:pt idx="726">
                  <c:v>1395397700000</c:v>
                </c:pt>
                <c:pt idx="727">
                  <c:v>1363590600000</c:v>
                </c:pt>
                <c:pt idx="728">
                  <c:v>1337791600000</c:v>
                </c:pt>
                <c:pt idx="729">
                  <c:v>1307743900000</c:v>
                </c:pt>
                <c:pt idx="730">
                  <c:v>1289979400000</c:v>
                </c:pt>
                <c:pt idx="731">
                  <c:v>1265163000000</c:v>
                </c:pt>
                <c:pt idx="732">
                  <c:v>1238737200000</c:v>
                </c:pt>
                <c:pt idx="733">
                  <c:v>1223659300000</c:v>
                </c:pt>
                <c:pt idx="734">
                  <c:v>1210135400000</c:v>
                </c:pt>
                <c:pt idx="735">
                  <c:v>1207424900000</c:v>
                </c:pt>
                <c:pt idx="736">
                  <c:v>1196725900000</c:v>
                </c:pt>
                <c:pt idx="737">
                  <c:v>1190170100000</c:v>
                </c:pt>
                <c:pt idx="738">
                  <c:v>1188996500000</c:v>
                </c:pt>
                <c:pt idx="739">
                  <c:v>1187900800000</c:v>
                </c:pt>
                <c:pt idx="740">
                  <c:v>1186026600000</c:v>
                </c:pt>
                <c:pt idx="741">
                  <c:v>1184828300000</c:v>
                </c:pt>
                <c:pt idx="742">
                  <c:v>1186984100000</c:v>
                </c:pt>
                <c:pt idx="743">
                  <c:v>1192366200000</c:v>
                </c:pt>
                <c:pt idx="744">
                  <c:v>1196077900000</c:v>
                </c:pt>
                <c:pt idx="745">
                  <c:v>1199816300000</c:v>
                </c:pt>
                <c:pt idx="746">
                  <c:v>1206919100000</c:v>
                </c:pt>
                <c:pt idx="747">
                  <c:v>1214783600000</c:v>
                </c:pt>
                <c:pt idx="748">
                  <c:v>1228896100000</c:v>
                </c:pt>
                <c:pt idx="749">
                  <c:v>1233649900000</c:v>
                </c:pt>
                <c:pt idx="750">
                  <c:v>1244302500000</c:v>
                </c:pt>
                <c:pt idx="751">
                  <c:v>1263385300000</c:v>
                </c:pt>
                <c:pt idx="752">
                  <c:v>1269780600000</c:v>
                </c:pt>
                <c:pt idx="753">
                  <c:v>1280053600000</c:v>
                </c:pt>
                <c:pt idx="754">
                  <c:v>1292808000000</c:v>
                </c:pt>
                <c:pt idx="755">
                  <c:v>1303767000000</c:v>
                </c:pt>
                <c:pt idx="756">
                  <c:v>1321418400000</c:v>
                </c:pt>
                <c:pt idx="757">
                  <c:v>1344506000000</c:v>
                </c:pt>
                <c:pt idx="758">
                  <c:v>1351014700000</c:v>
                </c:pt>
                <c:pt idx="759">
                  <c:v>1368455900000</c:v>
                </c:pt>
                <c:pt idx="760">
                  <c:v>1378876300000</c:v>
                </c:pt>
                <c:pt idx="761">
                  <c:v>1397966500000</c:v>
                </c:pt>
                <c:pt idx="762">
                  <c:v>1413657300000</c:v>
                </c:pt>
                <c:pt idx="763">
                  <c:v>1425888300000</c:v>
                </c:pt>
                <c:pt idx="764">
                  <c:v>1434439200000</c:v>
                </c:pt>
                <c:pt idx="765">
                  <c:v>1449293200000</c:v>
                </c:pt>
                <c:pt idx="766">
                  <c:v>1457239800000</c:v>
                </c:pt>
                <c:pt idx="767">
                  <c:v>1474458800000</c:v>
                </c:pt>
                <c:pt idx="768">
                  <c:v>1485096300000</c:v>
                </c:pt>
                <c:pt idx="769">
                  <c:v>1491563100000</c:v>
                </c:pt>
                <c:pt idx="770">
                  <c:v>1499821900000</c:v>
                </c:pt>
                <c:pt idx="771">
                  <c:v>1507239500000</c:v>
                </c:pt>
                <c:pt idx="772">
                  <c:v>1510247600000</c:v>
                </c:pt>
                <c:pt idx="773">
                  <c:v>1521714800000</c:v>
                </c:pt>
                <c:pt idx="774">
                  <c:v>1531738900000</c:v>
                </c:pt>
                <c:pt idx="775">
                  <c:v>1533318500000</c:v>
                </c:pt>
                <c:pt idx="776">
                  <c:v>1540026200000</c:v>
                </c:pt>
                <c:pt idx="777">
                  <c:v>1549421000000</c:v>
                </c:pt>
                <c:pt idx="778">
                  <c:v>1558597500000</c:v>
                </c:pt>
                <c:pt idx="779">
                  <c:v>1574334800000</c:v>
                </c:pt>
                <c:pt idx="780">
                  <c:v>1586730800000</c:v>
                </c:pt>
                <c:pt idx="781">
                  <c:v>1619903200000</c:v>
                </c:pt>
                <c:pt idx="782">
                  <c:v>1634193900000</c:v>
                </c:pt>
                <c:pt idx="783">
                  <c:v>1650867300000</c:v>
                </c:pt>
                <c:pt idx="784">
                  <c:v>1663465400000</c:v>
                </c:pt>
                <c:pt idx="785">
                  <c:v>1676709100000</c:v>
                </c:pt>
                <c:pt idx="786">
                  <c:v>1694736400000</c:v>
                </c:pt>
                <c:pt idx="787">
                  <c:v>1711916900000</c:v>
                </c:pt>
                <c:pt idx="788">
                  <c:v>1725709500000</c:v>
                </c:pt>
                <c:pt idx="789">
                  <c:v>1730654000000</c:v>
                </c:pt>
                <c:pt idx="790">
                  <c:v>1751464900000</c:v>
                </c:pt>
                <c:pt idx="791">
                  <c:v>1773328900000</c:v>
                </c:pt>
                <c:pt idx="792">
                  <c:v>1791464900000</c:v>
                </c:pt>
                <c:pt idx="793">
                  <c:v>1807969000000</c:v>
                </c:pt>
                <c:pt idx="794">
                  <c:v>1834657400000</c:v>
                </c:pt>
                <c:pt idx="795">
                  <c:v>1847464700000</c:v>
                </c:pt>
                <c:pt idx="796">
                  <c:v>1863215500000</c:v>
                </c:pt>
                <c:pt idx="797">
                  <c:v>1880010600000</c:v>
                </c:pt>
                <c:pt idx="798">
                  <c:v>1889397100000</c:v>
                </c:pt>
                <c:pt idx="799">
                  <c:v>1903497000000</c:v>
                </c:pt>
                <c:pt idx="800">
                  <c:v>1915333500000</c:v>
                </c:pt>
                <c:pt idx="801">
                  <c:v>1929990900000</c:v>
                </c:pt>
                <c:pt idx="802">
                  <c:v>1946139800000</c:v>
                </c:pt>
                <c:pt idx="803">
                  <c:v>1953028000000</c:v>
                </c:pt>
                <c:pt idx="804">
                  <c:v>1963861400000</c:v>
                </c:pt>
                <c:pt idx="805">
                  <c:v>1987096500000</c:v>
                </c:pt>
                <c:pt idx="806">
                  <c:v>2019064400000</c:v>
                </c:pt>
                <c:pt idx="807">
                  <c:v>2032870500000</c:v>
                </c:pt>
                <c:pt idx="808">
                  <c:v>2047680700000</c:v>
                </c:pt>
                <c:pt idx="809">
                  <c:v>2050602300000</c:v>
                </c:pt>
                <c:pt idx="810">
                  <c:v>2057739600000</c:v>
                </c:pt>
                <c:pt idx="811">
                  <c:v>2051359000000</c:v>
                </c:pt>
                <c:pt idx="812">
                  <c:v>2070334800000</c:v>
                </c:pt>
                <c:pt idx="813">
                  <c:v>2086044300000</c:v>
                </c:pt>
                <c:pt idx="814">
                  <c:v>2089240600000</c:v>
                </c:pt>
                <c:pt idx="815">
                  <c:v>2083858000000.0002</c:v>
                </c:pt>
                <c:pt idx="816">
                  <c:v>2082420500000.0002</c:v>
                </c:pt>
                <c:pt idx="817">
                  <c:v>2082446199999.9998</c:v>
                </c:pt>
                <c:pt idx="818">
                  <c:v>2066181900000</c:v>
                </c:pt>
                <c:pt idx="819">
                  <c:v>2066787500000</c:v>
                </c:pt>
                <c:pt idx="820">
                  <c:v>2071200200000.0002</c:v>
                </c:pt>
                <c:pt idx="821">
                  <c:v>2072764700000.0002</c:v>
                </c:pt>
                <c:pt idx="822">
                  <c:v>2076204200000.0002</c:v>
                </c:pt>
                <c:pt idx="823">
                  <c:v>2084091300000</c:v>
                </c:pt>
                <c:pt idx="824">
                  <c:v>2103009700000</c:v>
                </c:pt>
                <c:pt idx="825">
                  <c:v>2112353200000</c:v>
                </c:pt>
                <c:pt idx="826">
                  <c:v>2104825100000</c:v>
                </c:pt>
                <c:pt idx="827">
                  <c:v>2103386700000</c:v>
                </c:pt>
                <c:pt idx="828">
                  <c:v>2107418700000.0002</c:v>
                </c:pt>
                <c:pt idx="829">
                  <c:v>2108897000000</c:v>
                </c:pt>
                <c:pt idx="830">
                  <c:v>2121121900000</c:v>
                </c:pt>
                <c:pt idx="831">
                  <c:v>2163284700000.0002</c:v>
                </c:pt>
                <c:pt idx="832">
                  <c:v>2169920700000.0002</c:v>
                </c:pt>
                <c:pt idx="833">
                  <c:v>2187910700000</c:v>
                </c:pt>
                <c:pt idx="834">
                  <c:v>2201552000000</c:v>
                </c:pt>
                <c:pt idx="835">
                  <c:v>2206647800000</c:v>
                </c:pt>
                <c:pt idx="836">
                  <c:v>2223137600000</c:v>
                </c:pt>
                <c:pt idx="837">
                  <c:v>2248189100000</c:v>
                </c:pt>
                <c:pt idx="838">
                  <c:v>2272147500000</c:v>
                </c:pt>
                <c:pt idx="839">
                  <c:v>2301444700000</c:v>
                </c:pt>
                <c:pt idx="840">
                  <c:v>2322445000000</c:v>
                </c:pt>
                <c:pt idx="841">
                  <c:v>2328149300000</c:v>
                </c:pt>
                <c:pt idx="842">
                  <c:v>2334987300000</c:v>
                </c:pt>
                <c:pt idx="843">
                  <c:v>2326003000000</c:v>
                </c:pt>
                <c:pt idx="844">
                  <c:v>2330164800000</c:v>
                </c:pt>
                <c:pt idx="845">
                  <c:v>2335983600000</c:v>
                </c:pt>
                <c:pt idx="846">
                  <c:v>2343755400000</c:v>
                </c:pt>
                <c:pt idx="847">
                  <c:v>2362587600000</c:v>
                </c:pt>
                <c:pt idx="848">
                  <c:v>2369877900000</c:v>
                </c:pt>
                <c:pt idx="849">
                  <c:v>2369663400000</c:v>
                </c:pt>
                <c:pt idx="850">
                  <c:v>2367251800000</c:v>
                </c:pt>
                <c:pt idx="851">
                  <c:v>2355038200000</c:v>
                </c:pt>
                <c:pt idx="852">
                  <c:v>2351337300000</c:v>
                </c:pt>
                <c:pt idx="853">
                  <c:v>2347115500000</c:v>
                </c:pt>
                <c:pt idx="854">
                  <c:v>2561550700000</c:v>
                </c:pt>
                <c:pt idx="855">
                  <c:v>2919513600000</c:v>
                </c:pt>
                <c:pt idx="856">
                  <c:v>3034059100000</c:v>
                </c:pt>
                <c:pt idx="857">
                  <c:v>2925853200000</c:v>
                </c:pt>
                <c:pt idx="858">
                  <c:v>2857593200000</c:v>
                </c:pt>
                <c:pt idx="859">
                  <c:v>2815893800000</c:v>
                </c:pt>
                <c:pt idx="860">
                  <c:v>2760561700000</c:v>
                </c:pt>
                <c:pt idx="861">
                  <c:v>2697511000000</c:v>
                </c:pt>
                <c:pt idx="862">
                  <c:v>2637073400000</c:v>
                </c:pt>
                <c:pt idx="863">
                  <c:v>2590190700000</c:v>
                </c:pt>
                <c:pt idx="864">
                  <c:v>2563513400000</c:v>
                </c:pt>
                <c:pt idx="865">
                  <c:v>2587368500000</c:v>
                </c:pt>
                <c:pt idx="866">
                  <c:v>2587017000000</c:v>
                </c:pt>
                <c:pt idx="867">
                  <c:v>2555988300000</c:v>
                </c:pt>
                <c:pt idx="868">
                  <c:v>2545016300000</c:v>
                </c:pt>
                <c:pt idx="869">
                  <c:v>2481261400000</c:v>
                </c:pt>
                <c:pt idx="870">
                  <c:v>2452903700000</c:v>
                </c:pt>
                <c:pt idx="871">
                  <c:v>2430198700000</c:v>
                </c:pt>
                <c:pt idx="872">
                  <c:v>2417748400000</c:v>
                </c:pt>
                <c:pt idx="873">
                  <c:v>2420877500000</c:v>
                </c:pt>
                <c:pt idx="874">
                  <c:v>2434322000000</c:v>
                </c:pt>
                <c:pt idx="875">
                  <c:v>2473057700000</c:v>
                </c:pt>
                <c:pt idx="876">
                  <c:v>2485186200000</c:v>
                </c:pt>
                <c:pt idx="877">
                  <c:v>2496046700000</c:v>
                </c:pt>
                <c:pt idx="878">
                  <c:v>2533935800000</c:v>
                </c:pt>
                <c:pt idx="879">
                  <c:v>2566021600000</c:v>
                </c:pt>
                <c:pt idx="880">
                  <c:v>2609436300000</c:v>
                </c:pt>
                <c:pt idx="881">
                  <c:v>2672262300000</c:v>
                </c:pt>
                <c:pt idx="882">
                  <c:v>2706246600000</c:v>
                </c:pt>
                <c:pt idx="883">
                  <c:v>2729668400000</c:v>
                </c:pt>
                <c:pt idx="884">
                  <c:v>2751528500000</c:v>
                </c:pt>
                <c:pt idx="885">
                  <c:v>2777366200000</c:v>
                </c:pt>
                <c:pt idx="886">
                  <c:v>2794902600000</c:v>
                </c:pt>
                <c:pt idx="887">
                  <c:v>2806713100000</c:v>
                </c:pt>
                <c:pt idx="888">
                  <c:v>2814021700000</c:v>
                </c:pt>
                <c:pt idx="889">
                  <c:v>2807175200000</c:v>
                </c:pt>
                <c:pt idx="890">
                  <c:v>2795374000000</c:v>
                </c:pt>
                <c:pt idx="891">
                  <c:v>2774908500000</c:v>
                </c:pt>
                <c:pt idx="892">
                  <c:v>2769081400000</c:v>
                </c:pt>
                <c:pt idx="893">
                  <c:v>2764140900000</c:v>
                </c:pt>
                <c:pt idx="894">
                  <c:v>2762852700000</c:v>
                </c:pt>
                <c:pt idx="895">
                  <c:v>2762628600000</c:v>
                </c:pt>
                <c:pt idx="896">
                  <c:v>2763377100000</c:v>
                </c:pt>
                <c:pt idx="897">
                  <c:v>2774958400000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7F-354F-9AEC-093DC4B2C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5102751"/>
        <c:axId val="1510210271"/>
      </c:lineChart>
      <c:catAx>
        <c:axId val="1575102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510210271"/>
        <c:crosses val="autoZero"/>
        <c:auto val="1"/>
        <c:lblAlgn val="ctr"/>
        <c:lblOffset val="100"/>
        <c:noMultiLvlLbl val="0"/>
      </c:catAx>
      <c:valAx>
        <c:axId val="151021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57510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463550</xdr:colOff>
      <xdr:row>615</xdr:row>
      <xdr:rowOff>177800</xdr:rowOff>
    </xdr:from>
    <xdr:to>
      <xdr:col>17</xdr:col>
      <xdr:colOff>82550</xdr:colOff>
      <xdr:row>629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23F263-58CD-6182-DA1B-19F443C65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9D05-FC1B-7345-AE76-39A7D96B5421}">
  <dimension ref="A1:C95"/>
  <sheetViews>
    <sheetView workbookViewId="0">
      <selection activeCell="A3" sqref="A3:A95"/>
    </sheetView>
  </sheetViews>
  <sheetFormatPr baseColWidth="10" defaultRowHeight="16" x14ac:dyDescent="0.2"/>
  <sheetData>
    <row r="1" spans="1:3" x14ac:dyDescent="0.2">
      <c r="C1" t="s">
        <v>2</v>
      </c>
    </row>
    <row r="2" spans="1:3" x14ac:dyDescent="0.2">
      <c r="A2" t="s">
        <v>0</v>
      </c>
      <c r="B2" t="s">
        <v>1</v>
      </c>
    </row>
    <row r="3" spans="1:3" x14ac:dyDescent="0.2">
      <c r="A3" s="1">
        <v>11139</v>
      </c>
      <c r="B3">
        <v>98400000000</v>
      </c>
    </row>
    <row r="4" spans="1:3" x14ac:dyDescent="0.2">
      <c r="A4" s="1">
        <v>11504</v>
      </c>
      <c r="B4">
        <v>84800000000</v>
      </c>
    </row>
    <row r="5" spans="1:3" x14ac:dyDescent="0.2">
      <c r="A5" s="1">
        <v>11870</v>
      </c>
      <c r="B5">
        <v>68500000000</v>
      </c>
    </row>
    <row r="6" spans="1:3" x14ac:dyDescent="0.2">
      <c r="A6" s="1">
        <v>12235</v>
      </c>
      <c r="B6">
        <v>58300000000</v>
      </c>
    </row>
    <row r="7" spans="1:3" x14ac:dyDescent="0.2">
      <c r="A7" s="1">
        <v>12600</v>
      </c>
      <c r="B7">
        <v>62000000000</v>
      </c>
    </row>
    <row r="8" spans="1:3" x14ac:dyDescent="0.2">
      <c r="A8" s="1">
        <v>12965</v>
      </c>
      <c r="B8">
        <v>70500000000</v>
      </c>
    </row>
    <row r="9" spans="1:3" x14ac:dyDescent="0.2">
      <c r="A9" s="1">
        <v>13331</v>
      </c>
      <c r="B9">
        <v>79600000000</v>
      </c>
    </row>
    <row r="10" spans="1:3" x14ac:dyDescent="0.2">
      <c r="A10" s="1">
        <v>13696</v>
      </c>
      <c r="B10">
        <v>88900000000</v>
      </c>
    </row>
    <row r="11" spans="1:3" x14ac:dyDescent="0.2">
      <c r="A11" s="1">
        <v>14061</v>
      </c>
      <c r="B11">
        <v>90200000000</v>
      </c>
    </row>
    <row r="12" spans="1:3" x14ac:dyDescent="0.2">
      <c r="A12" s="1">
        <v>14426</v>
      </c>
      <c r="B12">
        <v>90400000000</v>
      </c>
    </row>
    <row r="13" spans="1:3" x14ac:dyDescent="0.2">
      <c r="A13" s="1">
        <v>14792</v>
      </c>
      <c r="B13">
        <v>98200000000</v>
      </c>
    </row>
    <row r="14" spans="1:3" x14ac:dyDescent="0.2">
      <c r="A14" s="1">
        <v>15157</v>
      </c>
      <c r="B14">
        <v>116200000000</v>
      </c>
    </row>
    <row r="15" spans="1:3" x14ac:dyDescent="0.2">
      <c r="A15" s="1">
        <v>15522</v>
      </c>
      <c r="B15">
        <v>147700000000</v>
      </c>
    </row>
    <row r="16" spans="1:3" x14ac:dyDescent="0.2">
      <c r="A16" s="1">
        <v>15887</v>
      </c>
      <c r="B16">
        <v>184600000000</v>
      </c>
    </row>
    <row r="17" spans="1:2" x14ac:dyDescent="0.2">
      <c r="A17" s="1">
        <v>16253</v>
      </c>
      <c r="B17">
        <v>213800000000</v>
      </c>
    </row>
    <row r="18" spans="1:2" x14ac:dyDescent="0.2">
      <c r="A18" s="1">
        <v>16618</v>
      </c>
      <c r="B18">
        <v>226400000000</v>
      </c>
    </row>
    <row r="19" spans="1:2" x14ac:dyDescent="0.2">
      <c r="A19" s="1">
        <v>16983</v>
      </c>
      <c r="B19">
        <v>228000000000</v>
      </c>
    </row>
    <row r="20" spans="1:2" x14ac:dyDescent="0.2">
      <c r="A20" s="1">
        <v>17348</v>
      </c>
      <c r="B20">
        <v>238900000000</v>
      </c>
    </row>
    <row r="21" spans="1:2" x14ac:dyDescent="0.2">
      <c r="A21" s="1">
        <v>17714</v>
      </c>
      <c r="B21">
        <v>261899999999.99997</v>
      </c>
    </row>
    <row r="22" spans="1:2" x14ac:dyDescent="0.2">
      <c r="A22" s="1">
        <v>18079</v>
      </c>
      <c r="B22">
        <v>276500000000</v>
      </c>
    </row>
    <row r="23" spans="1:2" x14ac:dyDescent="0.2">
      <c r="A23" s="1">
        <v>18444</v>
      </c>
      <c r="B23">
        <v>278675000000</v>
      </c>
    </row>
    <row r="24" spans="1:2" x14ac:dyDescent="0.2">
      <c r="A24" s="1">
        <v>18809</v>
      </c>
      <c r="B24">
        <v>327050000000</v>
      </c>
    </row>
    <row r="25" spans="1:2" x14ac:dyDescent="0.2">
      <c r="A25" s="1">
        <v>19175</v>
      </c>
      <c r="B25">
        <v>357100000000</v>
      </c>
    </row>
    <row r="26" spans="1:2" x14ac:dyDescent="0.2">
      <c r="A26" s="1">
        <v>19540</v>
      </c>
      <c r="B26">
        <v>382050000000</v>
      </c>
    </row>
    <row r="27" spans="1:2" x14ac:dyDescent="0.2">
      <c r="A27" s="1">
        <v>19905</v>
      </c>
      <c r="B27">
        <v>387150000000</v>
      </c>
    </row>
    <row r="28" spans="1:2" x14ac:dyDescent="0.2">
      <c r="A28" s="1">
        <v>20270</v>
      </c>
      <c r="B28">
        <v>406325000000</v>
      </c>
    </row>
    <row r="29" spans="1:2" x14ac:dyDescent="0.2">
      <c r="A29" s="1">
        <v>20636</v>
      </c>
      <c r="B29">
        <v>438250000000</v>
      </c>
    </row>
    <row r="30" spans="1:2" x14ac:dyDescent="0.2">
      <c r="A30" s="1">
        <v>21001</v>
      </c>
      <c r="B30">
        <v>463375000000</v>
      </c>
    </row>
    <row r="31" spans="1:2" x14ac:dyDescent="0.2">
      <c r="A31" s="1">
        <v>21366</v>
      </c>
      <c r="B31">
        <v>473475000000</v>
      </c>
    </row>
    <row r="32" spans="1:2" x14ac:dyDescent="0.2">
      <c r="A32" s="1">
        <v>21731</v>
      </c>
      <c r="B32">
        <v>504600000000</v>
      </c>
    </row>
    <row r="33" spans="1:2" x14ac:dyDescent="0.2">
      <c r="A33" s="1">
        <v>22097</v>
      </c>
      <c r="B33">
        <v>534325000000.00006</v>
      </c>
    </row>
    <row r="34" spans="1:2" x14ac:dyDescent="0.2">
      <c r="A34" s="1">
        <v>22462</v>
      </c>
      <c r="B34">
        <v>546575000000.00006</v>
      </c>
    </row>
    <row r="35" spans="1:2" x14ac:dyDescent="0.2">
      <c r="A35" s="1">
        <v>22827</v>
      </c>
      <c r="B35">
        <v>585675000000</v>
      </c>
    </row>
    <row r="36" spans="1:2" x14ac:dyDescent="0.2">
      <c r="A36" s="1">
        <v>23192</v>
      </c>
      <c r="B36">
        <v>618200000000</v>
      </c>
    </row>
    <row r="37" spans="1:2" x14ac:dyDescent="0.2">
      <c r="A37" s="1">
        <v>23558</v>
      </c>
      <c r="B37">
        <v>661700000000</v>
      </c>
    </row>
    <row r="38" spans="1:2" x14ac:dyDescent="0.2">
      <c r="A38" s="1">
        <v>23923</v>
      </c>
      <c r="B38">
        <v>709325000000</v>
      </c>
    </row>
    <row r="39" spans="1:2" x14ac:dyDescent="0.2">
      <c r="A39" s="1">
        <v>24288</v>
      </c>
      <c r="B39">
        <v>780475000000</v>
      </c>
    </row>
    <row r="40" spans="1:2" x14ac:dyDescent="0.2">
      <c r="A40" s="1">
        <v>24653</v>
      </c>
      <c r="B40">
        <v>836525000000</v>
      </c>
    </row>
    <row r="41" spans="1:2" x14ac:dyDescent="0.2">
      <c r="A41" s="1">
        <v>25019</v>
      </c>
      <c r="B41">
        <v>897575000000</v>
      </c>
    </row>
    <row r="42" spans="1:2" x14ac:dyDescent="0.2">
      <c r="A42" s="1">
        <v>25384</v>
      </c>
      <c r="B42">
        <v>980275000000</v>
      </c>
    </row>
    <row r="43" spans="1:2" x14ac:dyDescent="0.2">
      <c r="A43" s="1">
        <v>25749</v>
      </c>
      <c r="B43">
        <v>1046675000000</v>
      </c>
    </row>
    <row r="44" spans="1:2" x14ac:dyDescent="0.2">
      <c r="A44" s="1">
        <v>26114</v>
      </c>
      <c r="B44">
        <v>1116550000000</v>
      </c>
    </row>
    <row r="45" spans="1:2" x14ac:dyDescent="0.2">
      <c r="A45" s="1">
        <v>26480</v>
      </c>
      <c r="B45">
        <v>1216250000000</v>
      </c>
    </row>
    <row r="46" spans="1:2" x14ac:dyDescent="0.2">
      <c r="A46" s="1">
        <v>26845</v>
      </c>
      <c r="B46">
        <v>1352725000000</v>
      </c>
    </row>
    <row r="47" spans="1:2" x14ac:dyDescent="0.2">
      <c r="A47" s="1">
        <v>27210</v>
      </c>
      <c r="B47">
        <v>1482850000000</v>
      </c>
    </row>
    <row r="48" spans="1:2" x14ac:dyDescent="0.2">
      <c r="A48" s="1">
        <v>27575</v>
      </c>
      <c r="B48">
        <v>1606925000000</v>
      </c>
    </row>
    <row r="49" spans="1:2" x14ac:dyDescent="0.2">
      <c r="A49" s="1">
        <v>27941</v>
      </c>
      <c r="B49">
        <v>1786100000000</v>
      </c>
    </row>
    <row r="50" spans="1:2" x14ac:dyDescent="0.2">
      <c r="A50" s="1">
        <v>28306</v>
      </c>
      <c r="B50">
        <v>2024325000000</v>
      </c>
    </row>
    <row r="51" spans="1:2" x14ac:dyDescent="0.2">
      <c r="A51" s="1">
        <v>28671</v>
      </c>
      <c r="B51">
        <v>2273450000000</v>
      </c>
    </row>
    <row r="52" spans="1:2" x14ac:dyDescent="0.2">
      <c r="A52" s="1">
        <v>29036</v>
      </c>
      <c r="B52">
        <v>2565575000000</v>
      </c>
    </row>
    <row r="53" spans="1:2" x14ac:dyDescent="0.2">
      <c r="A53" s="1">
        <v>29402</v>
      </c>
      <c r="B53">
        <v>2791900000000</v>
      </c>
    </row>
    <row r="54" spans="1:2" x14ac:dyDescent="0.2">
      <c r="A54" s="1">
        <v>29767</v>
      </c>
      <c r="B54">
        <v>3133225000000</v>
      </c>
    </row>
    <row r="55" spans="1:2" x14ac:dyDescent="0.2">
      <c r="A55" s="1">
        <v>30132</v>
      </c>
      <c r="B55">
        <v>3313350000000</v>
      </c>
    </row>
    <row r="56" spans="1:2" x14ac:dyDescent="0.2">
      <c r="A56" s="1">
        <v>30497</v>
      </c>
      <c r="B56">
        <v>3536000000000</v>
      </c>
    </row>
    <row r="57" spans="1:2" x14ac:dyDescent="0.2">
      <c r="A57" s="1">
        <v>30863</v>
      </c>
      <c r="B57">
        <v>3949175000000</v>
      </c>
    </row>
    <row r="58" spans="1:2" x14ac:dyDescent="0.2">
      <c r="A58" s="1">
        <v>31228</v>
      </c>
      <c r="B58">
        <v>4265125000000</v>
      </c>
    </row>
    <row r="59" spans="1:2" x14ac:dyDescent="0.2">
      <c r="A59" s="1">
        <v>31593</v>
      </c>
      <c r="B59">
        <v>4526250000000</v>
      </c>
    </row>
    <row r="60" spans="1:2" x14ac:dyDescent="0.2">
      <c r="A60" s="1">
        <v>31958</v>
      </c>
      <c r="B60">
        <v>4767650000000</v>
      </c>
    </row>
    <row r="61" spans="1:2" x14ac:dyDescent="0.2">
      <c r="A61" s="1">
        <v>32324</v>
      </c>
      <c r="B61">
        <v>5138550000000</v>
      </c>
    </row>
    <row r="62" spans="1:2" x14ac:dyDescent="0.2">
      <c r="A62" s="1">
        <v>32689</v>
      </c>
      <c r="B62">
        <v>5554675000000</v>
      </c>
    </row>
    <row r="63" spans="1:2" x14ac:dyDescent="0.2">
      <c r="A63" s="1">
        <v>33054</v>
      </c>
      <c r="B63">
        <v>5898750000000</v>
      </c>
    </row>
    <row r="64" spans="1:2" x14ac:dyDescent="0.2">
      <c r="A64" s="1">
        <v>33419</v>
      </c>
      <c r="B64">
        <v>6093175000000</v>
      </c>
    </row>
    <row r="65" spans="1:2" x14ac:dyDescent="0.2">
      <c r="A65" s="1">
        <v>33785</v>
      </c>
      <c r="B65">
        <v>6416250000000</v>
      </c>
    </row>
    <row r="66" spans="1:2" x14ac:dyDescent="0.2">
      <c r="A66" s="1">
        <v>34150</v>
      </c>
      <c r="B66">
        <v>6775325000000</v>
      </c>
    </row>
    <row r="67" spans="1:2" x14ac:dyDescent="0.2">
      <c r="A67" s="1">
        <v>34515</v>
      </c>
      <c r="B67">
        <v>7176850000000</v>
      </c>
    </row>
    <row r="68" spans="1:2" x14ac:dyDescent="0.2">
      <c r="A68" s="1">
        <v>34880</v>
      </c>
      <c r="B68">
        <v>7560425000000</v>
      </c>
    </row>
    <row r="69" spans="1:2" x14ac:dyDescent="0.2">
      <c r="A69" s="1">
        <v>35246</v>
      </c>
      <c r="B69">
        <v>7951325000000</v>
      </c>
    </row>
    <row r="70" spans="1:2" x14ac:dyDescent="0.2">
      <c r="A70" s="1">
        <v>35611</v>
      </c>
      <c r="B70">
        <v>8451025000000</v>
      </c>
    </row>
    <row r="71" spans="1:2" x14ac:dyDescent="0.2">
      <c r="A71" s="1">
        <v>35976</v>
      </c>
      <c r="B71">
        <v>8930800000000</v>
      </c>
    </row>
    <row r="72" spans="1:2" x14ac:dyDescent="0.2">
      <c r="A72" s="1">
        <v>36341</v>
      </c>
      <c r="B72">
        <v>9479625000000</v>
      </c>
    </row>
    <row r="73" spans="1:2" x14ac:dyDescent="0.2">
      <c r="A73" s="1">
        <v>36707</v>
      </c>
      <c r="B73">
        <v>10117075000000</v>
      </c>
    </row>
    <row r="74" spans="1:2" x14ac:dyDescent="0.2">
      <c r="A74" s="1">
        <v>37072</v>
      </c>
      <c r="B74">
        <v>10525725000000</v>
      </c>
    </row>
    <row r="75" spans="1:2" x14ac:dyDescent="0.2">
      <c r="A75" s="1">
        <v>37437</v>
      </c>
      <c r="B75">
        <v>10828875000000</v>
      </c>
    </row>
    <row r="76" spans="1:2" x14ac:dyDescent="0.2">
      <c r="A76" s="1">
        <v>37802</v>
      </c>
      <c r="B76">
        <v>11278750000000</v>
      </c>
    </row>
    <row r="77" spans="1:2" x14ac:dyDescent="0.2">
      <c r="A77" s="1">
        <v>38168</v>
      </c>
      <c r="B77">
        <v>12028425000000</v>
      </c>
    </row>
    <row r="78" spans="1:2" x14ac:dyDescent="0.2">
      <c r="A78" s="1">
        <v>38533</v>
      </c>
      <c r="B78">
        <v>12839950000000</v>
      </c>
    </row>
    <row r="79" spans="1:2" x14ac:dyDescent="0.2">
      <c r="A79" s="1">
        <v>38898</v>
      </c>
      <c r="B79">
        <v>13636750000000</v>
      </c>
    </row>
    <row r="80" spans="1:2" x14ac:dyDescent="0.2">
      <c r="A80" s="1">
        <v>39263</v>
      </c>
      <c r="B80">
        <v>14305375000000</v>
      </c>
    </row>
    <row r="81" spans="1:2" x14ac:dyDescent="0.2">
      <c r="A81" s="1">
        <v>39629</v>
      </c>
      <c r="B81">
        <v>14796575000000</v>
      </c>
    </row>
    <row r="82" spans="1:2" x14ac:dyDescent="0.2">
      <c r="A82" s="1">
        <v>39994</v>
      </c>
      <c r="B82">
        <v>14467300000000</v>
      </c>
    </row>
    <row r="83" spans="1:2" x14ac:dyDescent="0.2">
      <c r="A83" s="1">
        <v>40359</v>
      </c>
      <c r="B83">
        <v>14884400000000</v>
      </c>
    </row>
    <row r="84" spans="1:2" x14ac:dyDescent="0.2">
      <c r="A84" s="1">
        <v>40724</v>
      </c>
      <c r="B84">
        <v>15466525000000</v>
      </c>
    </row>
    <row r="85" spans="1:2" x14ac:dyDescent="0.2">
      <c r="A85" s="1">
        <v>41090</v>
      </c>
      <c r="B85">
        <v>16109425000000</v>
      </c>
    </row>
    <row r="86" spans="1:2" x14ac:dyDescent="0.2">
      <c r="A86" s="1">
        <v>41455</v>
      </c>
      <c r="B86">
        <v>16665050000000</v>
      </c>
    </row>
    <row r="87" spans="1:2" x14ac:dyDescent="0.2">
      <c r="A87" s="1">
        <v>41820</v>
      </c>
      <c r="B87">
        <v>17370825000000</v>
      </c>
    </row>
    <row r="88" spans="1:2" x14ac:dyDescent="0.2">
      <c r="A88" s="1">
        <v>42185</v>
      </c>
      <c r="B88">
        <v>18086125000000</v>
      </c>
    </row>
    <row r="89" spans="1:2" x14ac:dyDescent="0.2">
      <c r="A89" s="1">
        <v>42551</v>
      </c>
      <c r="B89">
        <v>18536125000000</v>
      </c>
    </row>
    <row r="90" spans="1:2" x14ac:dyDescent="0.2">
      <c r="A90" s="1">
        <v>42916</v>
      </c>
      <c r="B90">
        <v>19245650000000</v>
      </c>
    </row>
    <row r="91" spans="1:2" x14ac:dyDescent="0.2">
      <c r="A91" s="1">
        <v>43281</v>
      </c>
      <c r="B91">
        <v>20301950000000</v>
      </c>
    </row>
    <row r="92" spans="1:2" x14ac:dyDescent="0.2">
      <c r="A92" s="1">
        <v>43646</v>
      </c>
      <c r="B92">
        <v>21159150000000</v>
      </c>
    </row>
    <row r="93" spans="1:2" x14ac:dyDescent="0.2">
      <c r="A93" s="1">
        <v>44012</v>
      </c>
      <c r="B93">
        <v>21060900000000</v>
      </c>
    </row>
    <row r="94" spans="1:2" x14ac:dyDescent="0.2">
      <c r="A94" s="1">
        <v>44377</v>
      </c>
      <c r="B94">
        <v>22653975000000</v>
      </c>
    </row>
    <row r="95" spans="1:2" x14ac:dyDescent="0.2">
      <c r="A95" s="1">
        <v>44742</v>
      </c>
      <c r="B95">
        <v>25000400000000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EDC8-0095-A54C-BAD3-E76D0F373B58}">
  <dimension ref="A1:C779"/>
  <sheetViews>
    <sheetView workbookViewId="0">
      <selection activeCell="C1" sqref="C1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4</v>
      </c>
    </row>
    <row r="2" spans="1:3" x14ac:dyDescent="0.2">
      <c r="A2" s="1" t="s">
        <v>0</v>
      </c>
      <c r="B2" t="s">
        <v>3</v>
      </c>
    </row>
    <row r="3" spans="1:3" x14ac:dyDescent="0.2">
      <c r="A3" s="1">
        <v>21551</v>
      </c>
      <c r="B3">
        <v>142200000000</v>
      </c>
    </row>
    <row r="4" spans="1:3" x14ac:dyDescent="0.2">
      <c r="A4" s="1">
        <v>21582</v>
      </c>
      <c r="B4">
        <v>139300000000</v>
      </c>
    </row>
    <row r="5" spans="1:3" x14ac:dyDescent="0.2">
      <c r="A5" s="1">
        <v>21610</v>
      </c>
      <c r="B5">
        <v>138400000000</v>
      </c>
    </row>
    <row r="6" spans="1:3" x14ac:dyDescent="0.2">
      <c r="A6" s="1">
        <v>21641</v>
      </c>
      <c r="B6">
        <v>139700000000</v>
      </c>
    </row>
    <row r="7" spans="1:3" x14ac:dyDescent="0.2">
      <c r="A7" s="1">
        <v>21671</v>
      </c>
      <c r="B7">
        <v>138700000000</v>
      </c>
    </row>
    <row r="8" spans="1:3" x14ac:dyDescent="0.2">
      <c r="A8" s="1">
        <v>21702</v>
      </c>
      <c r="B8">
        <v>139400000000</v>
      </c>
    </row>
    <row r="9" spans="1:3" x14ac:dyDescent="0.2">
      <c r="A9" s="1">
        <v>21732</v>
      </c>
      <c r="B9">
        <v>140300000000</v>
      </c>
    </row>
    <row r="10" spans="1:3" x14ac:dyDescent="0.2">
      <c r="A10" s="1">
        <v>21763</v>
      </c>
      <c r="B10">
        <v>140000000000</v>
      </c>
    </row>
    <row r="11" spans="1:3" x14ac:dyDescent="0.2">
      <c r="A11" s="1">
        <v>21794</v>
      </c>
      <c r="B11">
        <v>140300000000</v>
      </c>
    </row>
    <row r="12" spans="1:3" x14ac:dyDescent="0.2">
      <c r="A12" s="1">
        <v>21824</v>
      </c>
      <c r="B12">
        <v>140700000000</v>
      </c>
    </row>
    <row r="13" spans="1:3" x14ac:dyDescent="0.2">
      <c r="A13" s="1">
        <v>21855</v>
      </c>
      <c r="B13">
        <v>141800000000</v>
      </c>
    </row>
    <row r="14" spans="1:3" x14ac:dyDescent="0.2">
      <c r="A14" s="1">
        <v>21885</v>
      </c>
      <c r="B14">
        <v>143600000000</v>
      </c>
    </row>
    <row r="15" spans="1:3" x14ac:dyDescent="0.2">
      <c r="A15" s="1">
        <v>21916</v>
      </c>
      <c r="B15">
        <v>143300000000</v>
      </c>
    </row>
    <row r="16" spans="1:3" x14ac:dyDescent="0.2">
      <c r="A16" s="1">
        <v>21947</v>
      </c>
      <c r="B16">
        <v>139800000000</v>
      </c>
    </row>
    <row r="17" spans="1:2" x14ac:dyDescent="0.2">
      <c r="A17" s="1">
        <v>21976</v>
      </c>
      <c r="B17">
        <v>138500000000</v>
      </c>
    </row>
    <row r="18" spans="1:2" x14ac:dyDescent="0.2">
      <c r="A18" s="1">
        <v>22007</v>
      </c>
      <c r="B18">
        <v>139700000000</v>
      </c>
    </row>
    <row r="19" spans="1:2" x14ac:dyDescent="0.2">
      <c r="A19" s="1">
        <v>22037</v>
      </c>
      <c r="B19">
        <v>137600000000</v>
      </c>
    </row>
    <row r="20" spans="1:2" x14ac:dyDescent="0.2">
      <c r="A20" s="1">
        <v>22068</v>
      </c>
      <c r="B20">
        <v>137900000000</v>
      </c>
    </row>
    <row r="21" spans="1:2" x14ac:dyDescent="0.2">
      <c r="A21" s="1">
        <v>22098</v>
      </c>
      <c r="B21">
        <v>138900000000</v>
      </c>
    </row>
    <row r="22" spans="1:2" x14ac:dyDescent="0.2">
      <c r="A22" s="1">
        <v>22129</v>
      </c>
      <c r="B22">
        <v>139400000000</v>
      </c>
    </row>
    <row r="23" spans="1:2" x14ac:dyDescent="0.2">
      <c r="A23" s="1">
        <v>22160</v>
      </c>
      <c r="B23">
        <v>140500000000</v>
      </c>
    </row>
    <row r="24" spans="1:2" x14ac:dyDescent="0.2">
      <c r="A24" s="1">
        <v>22190</v>
      </c>
      <c r="B24">
        <v>141200000000</v>
      </c>
    </row>
    <row r="25" spans="1:2" x14ac:dyDescent="0.2">
      <c r="A25" s="1">
        <v>22221</v>
      </c>
      <c r="B25">
        <v>142300000000</v>
      </c>
    </row>
    <row r="26" spans="1:2" x14ac:dyDescent="0.2">
      <c r="A26" s="1">
        <v>22251</v>
      </c>
      <c r="B26">
        <v>144500000000</v>
      </c>
    </row>
    <row r="27" spans="1:2" x14ac:dyDescent="0.2">
      <c r="A27" s="1">
        <v>22282</v>
      </c>
      <c r="B27">
        <v>144500000000</v>
      </c>
    </row>
    <row r="28" spans="1:2" x14ac:dyDescent="0.2">
      <c r="A28" s="1">
        <v>22313</v>
      </c>
      <c r="B28">
        <v>141600000000</v>
      </c>
    </row>
    <row r="29" spans="1:2" x14ac:dyDescent="0.2">
      <c r="A29" s="1">
        <v>22341</v>
      </c>
      <c r="B29">
        <v>140600000000</v>
      </c>
    </row>
    <row r="30" spans="1:2" x14ac:dyDescent="0.2">
      <c r="A30" s="1">
        <v>22372</v>
      </c>
      <c r="B30">
        <v>142400000000</v>
      </c>
    </row>
    <row r="31" spans="1:2" x14ac:dyDescent="0.2">
      <c r="A31" s="1">
        <v>22402</v>
      </c>
      <c r="B31">
        <v>140600000000</v>
      </c>
    </row>
    <row r="32" spans="1:2" x14ac:dyDescent="0.2">
      <c r="A32" s="1">
        <v>22433</v>
      </c>
      <c r="B32">
        <v>141200000000</v>
      </c>
    </row>
    <row r="33" spans="1:2" x14ac:dyDescent="0.2">
      <c r="A33" s="1">
        <v>22463</v>
      </c>
      <c r="B33">
        <v>141500000000</v>
      </c>
    </row>
    <row r="34" spans="1:2" x14ac:dyDescent="0.2">
      <c r="A34" s="1">
        <v>22494</v>
      </c>
      <c r="B34">
        <v>141400000000</v>
      </c>
    </row>
    <row r="35" spans="1:2" x14ac:dyDescent="0.2">
      <c r="A35" s="1">
        <v>22525</v>
      </c>
      <c r="B35">
        <v>143100000000</v>
      </c>
    </row>
    <row r="36" spans="1:2" x14ac:dyDescent="0.2">
      <c r="A36" s="1">
        <v>22555</v>
      </c>
      <c r="B36">
        <v>144400000000</v>
      </c>
    </row>
    <row r="37" spans="1:2" x14ac:dyDescent="0.2">
      <c r="A37" s="1">
        <v>22586</v>
      </c>
      <c r="B37">
        <v>146300000000</v>
      </c>
    </row>
    <row r="38" spans="1:2" x14ac:dyDescent="0.2">
      <c r="A38" s="1">
        <v>22616</v>
      </c>
      <c r="B38">
        <v>149200000000</v>
      </c>
    </row>
    <row r="39" spans="1:2" x14ac:dyDescent="0.2">
      <c r="A39" s="1">
        <v>22647</v>
      </c>
      <c r="B39">
        <v>148900000000</v>
      </c>
    </row>
    <row r="40" spans="1:2" x14ac:dyDescent="0.2">
      <c r="A40" s="1">
        <v>22678</v>
      </c>
      <c r="B40">
        <v>145600000000</v>
      </c>
    </row>
    <row r="41" spans="1:2" x14ac:dyDescent="0.2">
      <c r="A41" s="1">
        <v>22706</v>
      </c>
      <c r="B41">
        <v>144600000000</v>
      </c>
    </row>
    <row r="42" spans="1:2" x14ac:dyDescent="0.2">
      <c r="A42" s="1">
        <v>22737</v>
      </c>
      <c r="B42">
        <v>146700000000</v>
      </c>
    </row>
    <row r="43" spans="1:2" x14ac:dyDescent="0.2">
      <c r="A43" s="1">
        <v>22767</v>
      </c>
      <c r="B43">
        <v>144500000000</v>
      </c>
    </row>
    <row r="44" spans="1:2" x14ac:dyDescent="0.2">
      <c r="A44" s="1">
        <v>22798</v>
      </c>
      <c r="B44">
        <v>144800000000</v>
      </c>
    </row>
    <row r="45" spans="1:2" x14ac:dyDescent="0.2">
      <c r="A45" s="1">
        <v>22828</v>
      </c>
      <c r="B45">
        <v>145000000000</v>
      </c>
    </row>
    <row r="46" spans="1:2" x14ac:dyDescent="0.2">
      <c r="A46" s="1">
        <v>22859</v>
      </c>
      <c r="B46">
        <v>144400000000</v>
      </c>
    </row>
    <row r="47" spans="1:2" x14ac:dyDescent="0.2">
      <c r="A47" s="1">
        <v>22890</v>
      </c>
      <c r="B47">
        <v>145500000000</v>
      </c>
    </row>
    <row r="48" spans="1:2" x14ac:dyDescent="0.2">
      <c r="A48" s="1">
        <v>22920</v>
      </c>
      <c r="B48">
        <v>147000000000</v>
      </c>
    </row>
    <row r="49" spans="1:2" x14ac:dyDescent="0.2">
      <c r="A49" s="1">
        <v>22951</v>
      </c>
      <c r="B49">
        <v>148800000000</v>
      </c>
    </row>
    <row r="50" spans="1:2" x14ac:dyDescent="0.2">
      <c r="A50" s="1">
        <v>22981</v>
      </c>
      <c r="B50">
        <v>151900000000</v>
      </c>
    </row>
    <row r="51" spans="1:2" x14ac:dyDescent="0.2">
      <c r="A51" s="1">
        <v>23012</v>
      </c>
      <c r="B51">
        <v>152100000000</v>
      </c>
    </row>
    <row r="52" spans="1:2" x14ac:dyDescent="0.2">
      <c r="A52" s="1">
        <v>23043</v>
      </c>
      <c r="B52">
        <v>148700000000</v>
      </c>
    </row>
    <row r="53" spans="1:2" x14ac:dyDescent="0.2">
      <c r="A53" s="1">
        <v>23071</v>
      </c>
      <c r="B53">
        <v>147800000000</v>
      </c>
    </row>
    <row r="54" spans="1:2" x14ac:dyDescent="0.2">
      <c r="A54" s="1">
        <v>23102</v>
      </c>
      <c r="B54">
        <v>150000000000</v>
      </c>
    </row>
    <row r="55" spans="1:2" x14ac:dyDescent="0.2">
      <c r="A55" s="1">
        <v>23132</v>
      </c>
      <c r="B55">
        <v>147900000000</v>
      </c>
    </row>
    <row r="56" spans="1:2" x14ac:dyDescent="0.2">
      <c r="A56" s="1">
        <v>23163</v>
      </c>
      <c r="B56">
        <v>148700000000</v>
      </c>
    </row>
    <row r="57" spans="1:2" x14ac:dyDescent="0.2">
      <c r="A57" s="1">
        <v>23193</v>
      </c>
      <c r="B57">
        <v>149900000000</v>
      </c>
    </row>
    <row r="58" spans="1:2" x14ac:dyDescent="0.2">
      <c r="A58" s="1">
        <v>23224</v>
      </c>
      <c r="B58">
        <v>149500000000</v>
      </c>
    </row>
    <row r="59" spans="1:2" x14ac:dyDescent="0.2">
      <c r="A59" s="1">
        <v>23255</v>
      </c>
      <c r="B59">
        <v>151000000000</v>
      </c>
    </row>
    <row r="60" spans="1:2" x14ac:dyDescent="0.2">
      <c r="A60" s="1">
        <v>23285</v>
      </c>
      <c r="B60">
        <v>152800000000</v>
      </c>
    </row>
    <row r="61" spans="1:2" x14ac:dyDescent="0.2">
      <c r="A61" s="1">
        <v>23316</v>
      </c>
      <c r="B61">
        <v>155200000000</v>
      </c>
    </row>
    <row r="62" spans="1:2" x14ac:dyDescent="0.2">
      <c r="A62" s="1">
        <v>23346</v>
      </c>
      <c r="B62">
        <v>157500000000</v>
      </c>
    </row>
    <row r="63" spans="1:2" x14ac:dyDescent="0.2">
      <c r="A63" s="1">
        <v>23377</v>
      </c>
      <c r="B63">
        <v>157900000000</v>
      </c>
    </row>
    <row r="64" spans="1:2" x14ac:dyDescent="0.2">
      <c r="A64" s="1">
        <v>23408</v>
      </c>
      <c r="B64">
        <v>153900000000</v>
      </c>
    </row>
    <row r="65" spans="1:2" x14ac:dyDescent="0.2">
      <c r="A65" s="1">
        <v>23437</v>
      </c>
      <c r="B65">
        <v>153100000000</v>
      </c>
    </row>
    <row r="66" spans="1:2" x14ac:dyDescent="0.2">
      <c r="A66" s="1">
        <v>23468</v>
      </c>
      <c r="B66">
        <v>155200000000</v>
      </c>
    </row>
    <row r="67" spans="1:2" x14ac:dyDescent="0.2">
      <c r="A67" s="1">
        <v>23498</v>
      </c>
      <c r="B67">
        <v>152700000000</v>
      </c>
    </row>
    <row r="68" spans="1:2" x14ac:dyDescent="0.2">
      <c r="A68" s="1">
        <v>23529</v>
      </c>
      <c r="B68">
        <v>153900000000</v>
      </c>
    </row>
    <row r="69" spans="1:2" x14ac:dyDescent="0.2">
      <c r="A69" s="1">
        <v>23559</v>
      </c>
      <c r="B69">
        <v>155500000000</v>
      </c>
    </row>
    <row r="70" spans="1:2" x14ac:dyDescent="0.2">
      <c r="A70" s="1">
        <v>23590</v>
      </c>
      <c r="B70">
        <v>155500000000</v>
      </c>
    </row>
    <row r="71" spans="1:2" x14ac:dyDescent="0.2">
      <c r="A71" s="1">
        <v>23621</v>
      </c>
      <c r="B71">
        <v>157800000000</v>
      </c>
    </row>
    <row r="72" spans="1:2" x14ac:dyDescent="0.2">
      <c r="A72" s="1">
        <v>23651</v>
      </c>
      <c r="B72">
        <v>159700000000</v>
      </c>
    </row>
    <row r="73" spans="1:2" x14ac:dyDescent="0.2">
      <c r="A73" s="1">
        <v>23682</v>
      </c>
      <c r="B73">
        <v>161600000000</v>
      </c>
    </row>
    <row r="74" spans="1:2" x14ac:dyDescent="0.2">
      <c r="A74" s="1">
        <v>23712</v>
      </c>
      <c r="B74">
        <v>164900000000</v>
      </c>
    </row>
    <row r="75" spans="1:2" x14ac:dyDescent="0.2">
      <c r="A75" s="1">
        <v>23743</v>
      </c>
      <c r="B75">
        <v>165300000000</v>
      </c>
    </row>
    <row r="76" spans="1:2" x14ac:dyDescent="0.2">
      <c r="A76" s="1">
        <v>23774</v>
      </c>
      <c r="B76">
        <v>160300000000</v>
      </c>
    </row>
    <row r="77" spans="1:2" x14ac:dyDescent="0.2">
      <c r="A77" s="1">
        <v>23802</v>
      </c>
      <c r="B77">
        <v>159900000000</v>
      </c>
    </row>
    <row r="78" spans="1:2" x14ac:dyDescent="0.2">
      <c r="A78" s="1">
        <v>23833</v>
      </c>
      <c r="B78">
        <v>162600000000</v>
      </c>
    </row>
    <row r="79" spans="1:2" x14ac:dyDescent="0.2">
      <c r="A79" s="1">
        <v>23863</v>
      </c>
      <c r="B79">
        <v>158700000000</v>
      </c>
    </row>
    <row r="80" spans="1:2" x14ac:dyDescent="0.2">
      <c r="A80" s="1">
        <v>23894</v>
      </c>
      <c r="B80">
        <v>160500000000</v>
      </c>
    </row>
    <row r="81" spans="1:2" x14ac:dyDescent="0.2">
      <c r="A81" s="1">
        <v>23924</v>
      </c>
      <c r="B81">
        <v>161800000000</v>
      </c>
    </row>
    <row r="82" spans="1:2" x14ac:dyDescent="0.2">
      <c r="A82" s="1">
        <v>23955</v>
      </c>
      <c r="B82">
        <v>161200000000</v>
      </c>
    </row>
    <row r="83" spans="1:2" x14ac:dyDescent="0.2">
      <c r="A83" s="1">
        <v>23986</v>
      </c>
      <c r="B83">
        <v>163900000000</v>
      </c>
    </row>
    <row r="84" spans="1:2" x14ac:dyDescent="0.2">
      <c r="A84" s="1">
        <v>24016</v>
      </c>
      <c r="B84">
        <v>166500000000</v>
      </c>
    </row>
    <row r="85" spans="1:2" x14ac:dyDescent="0.2">
      <c r="A85" s="1">
        <v>24047</v>
      </c>
      <c r="B85">
        <v>168200000000</v>
      </c>
    </row>
    <row r="86" spans="1:2" x14ac:dyDescent="0.2">
      <c r="A86" s="1">
        <v>24077</v>
      </c>
      <c r="B86">
        <v>172600000000</v>
      </c>
    </row>
    <row r="87" spans="1:2" x14ac:dyDescent="0.2">
      <c r="A87" s="1">
        <v>24108</v>
      </c>
      <c r="B87">
        <v>173800000000</v>
      </c>
    </row>
    <row r="88" spans="1:2" x14ac:dyDescent="0.2">
      <c r="A88" s="1">
        <v>24139</v>
      </c>
      <c r="B88">
        <v>168600000000</v>
      </c>
    </row>
    <row r="89" spans="1:2" x14ac:dyDescent="0.2">
      <c r="A89" s="1">
        <v>24167</v>
      </c>
      <c r="B89">
        <v>168700000000</v>
      </c>
    </row>
    <row r="90" spans="1:2" x14ac:dyDescent="0.2">
      <c r="A90" s="1">
        <v>24198</v>
      </c>
      <c r="B90">
        <v>172400000000</v>
      </c>
    </row>
    <row r="91" spans="1:2" x14ac:dyDescent="0.2">
      <c r="A91" s="1">
        <v>24228</v>
      </c>
      <c r="B91">
        <v>168000000000</v>
      </c>
    </row>
    <row r="92" spans="1:2" x14ac:dyDescent="0.2">
      <c r="A92" s="1">
        <v>24259</v>
      </c>
      <c r="B92">
        <v>170000000000</v>
      </c>
    </row>
    <row r="93" spans="1:2" x14ac:dyDescent="0.2">
      <c r="A93" s="1">
        <v>24289</v>
      </c>
      <c r="B93">
        <v>169200000000</v>
      </c>
    </row>
    <row r="94" spans="1:2" x14ac:dyDescent="0.2">
      <c r="A94" s="1">
        <v>24320</v>
      </c>
      <c r="B94">
        <v>168300000000</v>
      </c>
    </row>
    <row r="95" spans="1:2" x14ac:dyDescent="0.2">
      <c r="A95" s="1">
        <v>24351</v>
      </c>
      <c r="B95">
        <v>171100000000</v>
      </c>
    </row>
    <row r="96" spans="1:2" x14ac:dyDescent="0.2">
      <c r="A96" s="1">
        <v>24381</v>
      </c>
      <c r="B96">
        <v>171600000000</v>
      </c>
    </row>
    <row r="97" spans="1:2" x14ac:dyDescent="0.2">
      <c r="A97" s="1">
        <v>24412</v>
      </c>
      <c r="B97">
        <v>172900000000</v>
      </c>
    </row>
    <row r="98" spans="1:2" x14ac:dyDescent="0.2">
      <c r="A98" s="1">
        <v>24442</v>
      </c>
      <c r="B98">
        <v>176900000000</v>
      </c>
    </row>
    <row r="99" spans="1:2" x14ac:dyDescent="0.2">
      <c r="A99" s="1">
        <v>24473</v>
      </c>
      <c r="B99">
        <v>176600000000</v>
      </c>
    </row>
    <row r="100" spans="1:2" x14ac:dyDescent="0.2">
      <c r="A100" s="1">
        <v>24504</v>
      </c>
      <c r="B100">
        <v>171600000000</v>
      </c>
    </row>
    <row r="101" spans="1:2" x14ac:dyDescent="0.2">
      <c r="A101" s="1">
        <v>24532</v>
      </c>
      <c r="B101">
        <v>172900000000</v>
      </c>
    </row>
    <row r="102" spans="1:2" x14ac:dyDescent="0.2">
      <c r="A102" s="1">
        <v>24563</v>
      </c>
      <c r="B102">
        <v>174700000000</v>
      </c>
    </row>
    <row r="103" spans="1:2" x14ac:dyDescent="0.2">
      <c r="A103" s="1">
        <v>24593</v>
      </c>
      <c r="B103">
        <v>172300000000</v>
      </c>
    </row>
    <row r="104" spans="1:2" x14ac:dyDescent="0.2">
      <c r="A104" s="1">
        <v>24624</v>
      </c>
      <c r="B104">
        <v>175600000000</v>
      </c>
    </row>
    <row r="105" spans="1:2" x14ac:dyDescent="0.2">
      <c r="A105" s="1">
        <v>24654</v>
      </c>
      <c r="B105">
        <v>177200000000</v>
      </c>
    </row>
    <row r="106" spans="1:2" x14ac:dyDescent="0.2">
      <c r="A106" s="1">
        <v>24685</v>
      </c>
      <c r="B106">
        <v>177200000000</v>
      </c>
    </row>
    <row r="107" spans="1:2" x14ac:dyDescent="0.2">
      <c r="A107" s="1">
        <v>24716</v>
      </c>
      <c r="B107">
        <v>179800000000</v>
      </c>
    </row>
    <row r="108" spans="1:2" x14ac:dyDescent="0.2">
      <c r="A108" s="1">
        <v>24746</v>
      </c>
      <c r="B108">
        <v>181900000000</v>
      </c>
    </row>
    <row r="109" spans="1:2" x14ac:dyDescent="0.2">
      <c r="A109" s="1">
        <v>24777</v>
      </c>
      <c r="B109">
        <v>183800000000</v>
      </c>
    </row>
    <row r="110" spans="1:2" x14ac:dyDescent="0.2">
      <c r="A110" s="1">
        <v>24807</v>
      </c>
      <c r="B110">
        <v>188400000000</v>
      </c>
    </row>
    <row r="111" spans="1:2" x14ac:dyDescent="0.2">
      <c r="A111" s="1">
        <v>24838</v>
      </c>
      <c r="B111">
        <v>189200000000</v>
      </c>
    </row>
    <row r="112" spans="1:2" x14ac:dyDescent="0.2">
      <c r="A112" s="1">
        <v>24869</v>
      </c>
      <c r="B112">
        <v>183000000000</v>
      </c>
    </row>
    <row r="113" spans="1:2" x14ac:dyDescent="0.2">
      <c r="A113" s="1">
        <v>24898</v>
      </c>
      <c r="B113">
        <v>183500000000</v>
      </c>
    </row>
    <row r="114" spans="1:2" x14ac:dyDescent="0.2">
      <c r="A114" s="1">
        <v>24929</v>
      </c>
      <c r="B114">
        <v>187300000000</v>
      </c>
    </row>
    <row r="115" spans="1:2" x14ac:dyDescent="0.2">
      <c r="A115" s="1">
        <v>24959</v>
      </c>
      <c r="B115">
        <v>184600000000</v>
      </c>
    </row>
    <row r="116" spans="1:2" x14ac:dyDescent="0.2">
      <c r="A116" s="1">
        <v>24990</v>
      </c>
      <c r="B116">
        <v>188200000000</v>
      </c>
    </row>
    <row r="117" spans="1:2" x14ac:dyDescent="0.2">
      <c r="A117" s="1">
        <v>25020</v>
      </c>
      <c r="B117">
        <v>189800000000</v>
      </c>
    </row>
    <row r="118" spans="1:2" x14ac:dyDescent="0.2">
      <c r="A118" s="1">
        <v>25051</v>
      </c>
      <c r="B118">
        <v>189500000000</v>
      </c>
    </row>
    <row r="119" spans="1:2" x14ac:dyDescent="0.2">
      <c r="A119" s="1">
        <v>25082</v>
      </c>
      <c r="B119">
        <v>191900000000</v>
      </c>
    </row>
    <row r="120" spans="1:2" x14ac:dyDescent="0.2">
      <c r="A120" s="1">
        <v>25112</v>
      </c>
      <c r="B120">
        <v>194200000000</v>
      </c>
    </row>
    <row r="121" spans="1:2" x14ac:dyDescent="0.2">
      <c r="A121" s="1">
        <v>25143</v>
      </c>
      <c r="B121">
        <v>197600000000</v>
      </c>
    </row>
    <row r="122" spans="1:2" x14ac:dyDescent="0.2">
      <c r="A122" s="1">
        <v>25173</v>
      </c>
      <c r="B122">
        <v>202800000000</v>
      </c>
    </row>
    <row r="123" spans="1:2" x14ac:dyDescent="0.2">
      <c r="A123" s="1">
        <v>25204</v>
      </c>
      <c r="B123">
        <v>203800000000</v>
      </c>
    </row>
    <row r="124" spans="1:2" x14ac:dyDescent="0.2">
      <c r="A124" s="1">
        <v>25235</v>
      </c>
      <c r="B124">
        <v>197300000000</v>
      </c>
    </row>
    <row r="125" spans="1:2" x14ac:dyDescent="0.2">
      <c r="A125" s="1">
        <v>25263</v>
      </c>
      <c r="B125">
        <v>197800000000</v>
      </c>
    </row>
    <row r="126" spans="1:2" x14ac:dyDescent="0.2">
      <c r="A126" s="1">
        <v>25294</v>
      </c>
      <c r="B126">
        <v>201500000000</v>
      </c>
    </row>
    <row r="127" spans="1:2" x14ac:dyDescent="0.2">
      <c r="A127" s="1">
        <v>25324</v>
      </c>
      <c r="B127">
        <v>197400000000</v>
      </c>
    </row>
    <row r="128" spans="1:2" x14ac:dyDescent="0.2">
      <c r="A128" s="1">
        <v>25355</v>
      </c>
      <c r="B128">
        <v>200200000000</v>
      </c>
    </row>
    <row r="129" spans="1:2" x14ac:dyDescent="0.2">
      <c r="A129" s="1">
        <v>25385</v>
      </c>
      <c r="B129">
        <v>201200000000</v>
      </c>
    </row>
    <row r="130" spans="1:2" x14ac:dyDescent="0.2">
      <c r="A130" s="1">
        <v>25416</v>
      </c>
      <c r="B130">
        <v>199500000000</v>
      </c>
    </row>
    <row r="131" spans="1:2" x14ac:dyDescent="0.2">
      <c r="A131" s="1">
        <v>25447</v>
      </c>
      <c r="B131">
        <v>201200000000</v>
      </c>
    </row>
    <row r="132" spans="1:2" x14ac:dyDescent="0.2">
      <c r="A132" s="1">
        <v>25477</v>
      </c>
      <c r="B132">
        <v>202900000000</v>
      </c>
    </row>
    <row r="133" spans="1:2" x14ac:dyDescent="0.2">
      <c r="A133" s="1">
        <v>25508</v>
      </c>
      <c r="B133">
        <v>205000000000</v>
      </c>
    </row>
    <row r="134" spans="1:2" x14ac:dyDescent="0.2">
      <c r="A134" s="1">
        <v>25538</v>
      </c>
      <c r="B134">
        <v>209300000000</v>
      </c>
    </row>
    <row r="135" spans="1:2" x14ac:dyDescent="0.2">
      <c r="A135" s="1">
        <v>25569</v>
      </c>
      <c r="B135">
        <v>210800000000</v>
      </c>
    </row>
    <row r="136" spans="1:2" x14ac:dyDescent="0.2">
      <c r="A136" s="1">
        <v>25600</v>
      </c>
      <c r="B136">
        <v>202000000000</v>
      </c>
    </row>
    <row r="137" spans="1:2" x14ac:dyDescent="0.2">
      <c r="A137" s="1">
        <v>25628</v>
      </c>
      <c r="B137">
        <v>203500000000</v>
      </c>
    </row>
    <row r="138" spans="1:2" x14ac:dyDescent="0.2">
      <c r="A138" s="1">
        <v>25659</v>
      </c>
      <c r="B138">
        <v>208100000000</v>
      </c>
    </row>
    <row r="139" spans="1:2" x14ac:dyDescent="0.2">
      <c r="A139" s="1">
        <v>25689</v>
      </c>
      <c r="B139">
        <v>204300000000</v>
      </c>
    </row>
    <row r="140" spans="1:2" x14ac:dyDescent="0.2">
      <c r="A140" s="1">
        <v>25720</v>
      </c>
      <c r="B140">
        <v>206900000000</v>
      </c>
    </row>
    <row r="141" spans="1:2" x14ac:dyDescent="0.2">
      <c r="A141" s="1">
        <v>25750</v>
      </c>
      <c r="B141">
        <v>208100000000</v>
      </c>
    </row>
    <row r="142" spans="1:2" x14ac:dyDescent="0.2">
      <c r="A142" s="1">
        <v>25781</v>
      </c>
      <c r="B142">
        <v>208000000000</v>
      </c>
    </row>
    <row r="143" spans="1:2" x14ac:dyDescent="0.2">
      <c r="A143" s="1">
        <v>25812</v>
      </c>
      <c r="B143">
        <v>210800000000</v>
      </c>
    </row>
    <row r="144" spans="1:2" x14ac:dyDescent="0.2">
      <c r="A144" s="1">
        <v>25842</v>
      </c>
      <c r="B144">
        <v>212300000000</v>
      </c>
    </row>
    <row r="145" spans="1:2" x14ac:dyDescent="0.2">
      <c r="A145" s="1">
        <v>25873</v>
      </c>
      <c r="B145">
        <v>214500000000</v>
      </c>
    </row>
    <row r="146" spans="1:2" x14ac:dyDescent="0.2">
      <c r="A146" s="1">
        <v>25903</v>
      </c>
      <c r="B146">
        <v>220100000000</v>
      </c>
    </row>
    <row r="147" spans="1:2" x14ac:dyDescent="0.2">
      <c r="A147" s="1">
        <v>25934</v>
      </c>
      <c r="B147">
        <v>220400000000</v>
      </c>
    </row>
    <row r="148" spans="1:2" x14ac:dyDescent="0.2">
      <c r="A148" s="1">
        <v>25965</v>
      </c>
      <c r="B148">
        <v>214300000000</v>
      </c>
    </row>
    <row r="149" spans="1:2" x14ac:dyDescent="0.2">
      <c r="A149" s="1">
        <v>25993</v>
      </c>
      <c r="B149">
        <v>216400000000</v>
      </c>
    </row>
    <row r="150" spans="1:2" x14ac:dyDescent="0.2">
      <c r="A150" s="1">
        <v>26024</v>
      </c>
      <c r="B150">
        <v>221400000000</v>
      </c>
    </row>
    <row r="151" spans="1:2" x14ac:dyDescent="0.2">
      <c r="A151" s="1">
        <v>26054</v>
      </c>
      <c r="B151">
        <v>218800000000</v>
      </c>
    </row>
    <row r="152" spans="1:2" x14ac:dyDescent="0.2">
      <c r="A152" s="1">
        <v>26085</v>
      </c>
      <c r="B152">
        <v>222900000000</v>
      </c>
    </row>
    <row r="153" spans="1:2" x14ac:dyDescent="0.2">
      <c r="A153" s="1">
        <v>26115</v>
      </c>
      <c r="B153">
        <v>225100000000</v>
      </c>
    </row>
    <row r="154" spans="1:2" x14ac:dyDescent="0.2">
      <c r="A154" s="1">
        <v>26146</v>
      </c>
      <c r="B154">
        <v>223600000000</v>
      </c>
    </row>
    <row r="155" spans="1:2" x14ac:dyDescent="0.2">
      <c r="A155" s="1">
        <v>26177</v>
      </c>
      <c r="B155">
        <v>225400000000</v>
      </c>
    </row>
    <row r="156" spans="1:2" x14ac:dyDescent="0.2">
      <c r="A156" s="1">
        <v>26207</v>
      </c>
      <c r="B156">
        <v>226600000000</v>
      </c>
    </row>
    <row r="157" spans="1:2" x14ac:dyDescent="0.2">
      <c r="A157" s="1">
        <v>26238</v>
      </c>
      <c r="B157">
        <v>228800000000</v>
      </c>
    </row>
    <row r="158" spans="1:2" x14ac:dyDescent="0.2">
      <c r="A158" s="1">
        <v>26268</v>
      </c>
      <c r="B158">
        <v>234500000000</v>
      </c>
    </row>
    <row r="159" spans="1:2" x14ac:dyDescent="0.2">
      <c r="A159" s="1">
        <v>26299</v>
      </c>
      <c r="B159">
        <v>235000000000</v>
      </c>
    </row>
    <row r="160" spans="1:2" x14ac:dyDescent="0.2">
      <c r="A160" s="1">
        <v>26330</v>
      </c>
      <c r="B160">
        <v>228900000000</v>
      </c>
    </row>
    <row r="161" spans="1:2" x14ac:dyDescent="0.2">
      <c r="A161" s="1">
        <v>26359</v>
      </c>
      <c r="B161">
        <v>231700000000</v>
      </c>
    </row>
    <row r="162" spans="1:2" x14ac:dyDescent="0.2">
      <c r="A162" s="1">
        <v>26390</v>
      </c>
      <c r="B162">
        <v>236900000000</v>
      </c>
    </row>
    <row r="163" spans="1:2" x14ac:dyDescent="0.2">
      <c r="A163" s="1">
        <v>26420</v>
      </c>
      <c r="B163">
        <v>232200000000</v>
      </c>
    </row>
    <row r="164" spans="1:2" x14ac:dyDescent="0.2">
      <c r="A164" s="1">
        <v>26451</v>
      </c>
      <c r="B164">
        <v>236100000000</v>
      </c>
    </row>
    <row r="165" spans="1:2" x14ac:dyDescent="0.2">
      <c r="A165" s="1">
        <v>26481</v>
      </c>
      <c r="B165">
        <v>239100000000</v>
      </c>
    </row>
    <row r="166" spans="1:2" x14ac:dyDescent="0.2">
      <c r="A166" s="1">
        <v>26512</v>
      </c>
      <c r="B166">
        <v>238700000000</v>
      </c>
    </row>
    <row r="167" spans="1:2" x14ac:dyDescent="0.2">
      <c r="A167" s="1">
        <v>26543</v>
      </c>
      <c r="B167">
        <v>241900000000</v>
      </c>
    </row>
    <row r="168" spans="1:2" x14ac:dyDescent="0.2">
      <c r="A168" s="1">
        <v>26573</v>
      </c>
      <c r="B168">
        <v>244200000000</v>
      </c>
    </row>
    <row r="169" spans="1:2" x14ac:dyDescent="0.2">
      <c r="A169" s="1">
        <v>26604</v>
      </c>
      <c r="B169">
        <v>247700000000</v>
      </c>
    </row>
    <row r="170" spans="1:2" x14ac:dyDescent="0.2">
      <c r="A170" s="1">
        <v>26634</v>
      </c>
      <c r="B170">
        <v>256100000000.00003</v>
      </c>
    </row>
    <row r="171" spans="1:2" x14ac:dyDescent="0.2">
      <c r="A171" s="1">
        <v>26665</v>
      </c>
      <c r="B171">
        <v>256399999999.99997</v>
      </c>
    </row>
    <row r="172" spans="1:2" x14ac:dyDescent="0.2">
      <c r="A172" s="1">
        <v>26696</v>
      </c>
      <c r="B172">
        <v>248400000000</v>
      </c>
    </row>
    <row r="173" spans="1:2" x14ac:dyDescent="0.2">
      <c r="A173" s="1">
        <v>26724</v>
      </c>
      <c r="B173">
        <v>248800000000</v>
      </c>
    </row>
    <row r="174" spans="1:2" x14ac:dyDescent="0.2">
      <c r="A174" s="1">
        <v>26755</v>
      </c>
      <c r="B174">
        <v>254000000000</v>
      </c>
    </row>
    <row r="175" spans="1:2" x14ac:dyDescent="0.2">
      <c r="A175" s="1">
        <v>26785</v>
      </c>
      <c r="B175">
        <v>250800000000</v>
      </c>
    </row>
    <row r="176" spans="1:2" x14ac:dyDescent="0.2">
      <c r="A176" s="1">
        <v>26816</v>
      </c>
      <c r="B176">
        <v>256399999999.99997</v>
      </c>
    </row>
    <row r="177" spans="1:2" x14ac:dyDescent="0.2">
      <c r="A177" s="1">
        <v>26846</v>
      </c>
      <c r="B177">
        <v>258100000000.00003</v>
      </c>
    </row>
    <row r="178" spans="1:2" x14ac:dyDescent="0.2">
      <c r="A178" s="1">
        <v>26877</v>
      </c>
      <c r="B178">
        <v>255600000000</v>
      </c>
    </row>
    <row r="179" spans="1:2" x14ac:dyDescent="0.2">
      <c r="A179" s="1">
        <v>26908</v>
      </c>
      <c r="B179">
        <v>256500000000</v>
      </c>
    </row>
    <row r="180" spans="1:2" x14ac:dyDescent="0.2">
      <c r="A180" s="1">
        <v>26938</v>
      </c>
      <c r="B180">
        <v>258300000000</v>
      </c>
    </row>
    <row r="181" spans="1:2" x14ac:dyDescent="0.2">
      <c r="A181" s="1">
        <v>26969</v>
      </c>
      <c r="B181">
        <v>262700000000</v>
      </c>
    </row>
    <row r="182" spans="1:2" x14ac:dyDescent="0.2">
      <c r="A182" s="1">
        <v>26999</v>
      </c>
      <c r="B182">
        <v>270200000000</v>
      </c>
    </row>
    <row r="183" spans="1:2" x14ac:dyDescent="0.2">
      <c r="A183" s="1">
        <v>27030</v>
      </c>
      <c r="B183">
        <v>268600000000.00003</v>
      </c>
    </row>
    <row r="184" spans="1:2" x14ac:dyDescent="0.2">
      <c r="A184" s="1">
        <v>27061</v>
      </c>
      <c r="B184">
        <v>261100000000.00003</v>
      </c>
    </row>
    <row r="185" spans="1:2" x14ac:dyDescent="0.2">
      <c r="A185" s="1">
        <v>27089</v>
      </c>
      <c r="B185">
        <v>263500000000</v>
      </c>
    </row>
    <row r="186" spans="1:2" x14ac:dyDescent="0.2">
      <c r="A186" s="1">
        <v>27120</v>
      </c>
      <c r="B186">
        <v>268500000000</v>
      </c>
    </row>
    <row r="187" spans="1:2" x14ac:dyDescent="0.2">
      <c r="A187" s="1">
        <v>27150</v>
      </c>
      <c r="B187">
        <v>263300000000</v>
      </c>
    </row>
    <row r="188" spans="1:2" x14ac:dyDescent="0.2">
      <c r="A188" s="1">
        <v>27181</v>
      </c>
      <c r="B188">
        <v>268300000000</v>
      </c>
    </row>
    <row r="189" spans="1:2" x14ac:dyDescent="0.2">
      <c r="A189" s="1">
        <v>27211</v>
      </c>
      <c r="B189">
        <v>270100000000.00003</v>
      </c>
    </row>
    <row r="190" spans="1:2" x14ac:dyDescent="0.2">
      <c r="A190" s="1">
        <v>27242</v>
      </c>
      <c r="B190">
        <v>268100000000.00003</v>
      </c>
    </row>
    <row r="191" spans="1:2" x14ac:dyDescent="0.2">
      <c r="A191" s="1">
        <v>27273</v>
      </c>
      <c r="B191">
        <v>269700000000</v>
      </c>
    </row>
    <row r="192" spans="1:2" x14ac:dyDescent="0.2">
      <c r="A192" s="1">
        <v>27303</v>
      </c>
      <c r="B192">
        <v>271700000000</v>
      </c>
    </row>
    <row r="193" spans="1:2" x14ac:dyDescent="0.2">
      <c r="A193" s="1">
        <v>27334</v>
      </c>
      <c r="B193">
        <v>275700000000</v>
      </c>
    </row>
    <row r="194" spans="1:2" x14ac:dyDescent="0.2">
      <c r="A194" s="1">
        <v>27364</v>
      </c>
      <c r="B194">
        <v>281800000000</v>
      </c>
    </row>
    <row r="195" spans="1:2" x14ac:dyDescent="0.2">
      <c r="A195" s="1">
        <v>27395</v>
      </c>
      <c r="B195">
        <v>278500000000</v>
      </c>
    </row>
    <row r="196" spans="1:2" x14ac:dyDescent="0.2">
      <c r="A196" s="1">
        <v>27426</v>
      </c>
      <c r="B196">
        <v>269899999999.99997</v>
      </c>
    </row>
    <row r="197" spans="1:2" x14ac:dyDescent="0.2">
      <c r="A197" s="1">
        <v>27454</v>
      </c>
      <c r="B197">
        <v>272899999999.99997</v>
      </c>
    </row>
    <row r="198" spans="1:2" x14ac:dyDescent="0.2">
      <c r="A198" s="1">
        <v>27485</v>
      </c>
      <c r="B198">
        <v>277700000000</v>
      </c>
    </row>
    <row r="199" spans="1:2" x14ac:dyDescent="0.2">
      <c r="A199" s="1">
        <v>27515</v>
      </c>
      <c r="B199">
        <v>274399999999.99997</v>
      </c>
    </row>
    <row r="200" spans="1:2" x14ac:dyDescent="0.2">
      <c r="A200" s="1">
        <v>27546</v>
      </c>
      <c r="B200">
        <v>282300000000</v>
      </c>
    </row>
    <row r="201" spans="1:2" x14ac:dyDescent="0.2">
      <c r="A201" s="1">
        <v>27576</v>
      </c>
      <c r="B201">
        <v>284400000000</v>
      </c>
    </row>
    <row r="202" spans="1:2" x14ac:dyDescent="0.2">
      <c r="A202" s="1">
        <v>27607</v>
      </c>
      <c r="B202">
        <v>282700000000</v>
      </c>
    </row>
    <row r="203" spans="1:2" x14ac:dyDescent="0.2">
      <c r="A203" s="1">
        <v>27638</v>
      </c>
      <c r="B203">
        <v>284300000000</v>
      </c>
    </row>
    <row r="204" spans="1:2" x14ac:dyDescent="0.2">
      <c r="A204" s="1">
        <v>27668</v>
      </c>
      <c r="B204">
        <v>284900000000</v>
      </c>
    </row>
    <row r="205" spans="1:2" x14ac:dyDescent="0.2">
      <c r="A205" s="1">
        <v>27699</v>
      </c>
      <c r="B205">
        <v>289900000000</v>
      </c>
    </row>
    <row r="206" spans="1:2" x14ac:dyDescent="0.2">
      <c r="A206" s="1">
        <v>27729</v>
      </c>
      <c r="B206">
        <v>295300000000</v>
      </c>
    </row>
    <row r="207" spans="1:2" x14ac:dyDescent="0.2">
      <c r="A207" s="1">
        <v>27760</v>
      </c>
      <c r="B207">
        <v>293200000000</v>
      </c>
    </row>
    <row r="208" spans="1:2" x14ac:dyDescent="0.2">
      <c r="A208" s="1">
        <v>27791</v>
      </c>
      <c r="B208">
        <v>285300000000</v>
      </c>
    </row>
    <row r="209" spans="1:2" x14ac:dyDescent="0.2">
      <c r="A209" s="1">
        <v>27820</v>
      </c>
      <c r="B209">
        <v>287700000000</v>
      </c>
    </row>
    <row r="210" spans="1:2" x14ac:dyDescent="0.2">
      <c r="A210" s="1">
        <v>27851</v>
      </c>
      <c r="B210">
        <v>296100000000</v>
      </c>
    </row>
    <row r="211" spans="1:2" x14ac:dyDescent="0.2">
      <c r="A211" s="1">
        <v>27881</v>
      </c>
      <c r="B211">
        <v>291300000000</v>
      </c>
    </row>
    <row r="212" spans="1:2" x14ac:dyDescent="0.2">
      <c r="A212" s="1">
        <v>27912</v>
      </c>
      <c r="B212">
        <v>295600000000</v>
      </c>
    </row>
    <row r="213" spans="1:2" x14ac:dyDescent="0.2">
      <c r="A213" s="1">
        <v>27942</v>
      </c>
      <c r="B213">
        <v>298400000000</v>
      </c>
    </row>
    <row r="214" spans="1:2" x14ac:dyDescent="0.2">
      <c r="A214" s="1">
        <v>27973</v>
      </c>
      <c r="B214">
        <v>297100000000</v>
      </c>
    </row>
    <row r="215" spans="1:2" x14ac:dyDescent="0.2">
      <c r="A215" s="1">
        <v>28004</v>
      </c>
      <c r="B215">
        <v>298600000000</v>
      </c>
    </row>
    <row r="216" spans="1:2" x14ac:dyDescent="0.2">
      <c r="A216" s="1">
        <v>28034</v>
      </c>
      <c r="B216">
        <v>302900000000</v>
      </c>
    </row>
    <row r="217" spans="1:2" x14ac:dyDescent="0.2">
      <c r="A217" s="1">
        <v>28065</v>
      </c>
      <c r="B217">
        <v>305700000000</v>
      </c>
    </row>
    <row r="218" spans="1:2" x14ac:dyDescent="0.2">
      <c r="A218" s="1">
        <v>28095</v>
      </c>
      <c r="B218">
        <v>314500000000</v>
      </c>
    </row>
    <row r="219" spans="1:2" x14ac:dyDescent="0.2">
      <c r="A219" s="1">
        <v>28126</v>
      </c>
      <c r="B219">
        <v>313600000000</v>
      </c>
    </row>
    <row r="220" spans="1:2" x14ac:dyDescent="0.2">
      <c r="A220" s="1">
        <v>28157</v>
      </c>
      <c r="B220">
        <v>304900000000</v>
      </c>
    </row>
    <row r="221" spans="1:2" x14ac:dyDescent="0.2">
      <c r="A221" s="1">
        <v>28185</v>
      </c>
      <c r="B221">
        <v>308200000000</v>
      </c>
    </row>
    <row r="222" spans="1:2" x14ac:dyDescent="0.2">
      <c r="A222" s="1">
        <v>28216</v>
      </c>
      <c r="B222">
        <v>318600000000</v>
      </c>
    </row>
    <row r="223" spans="1:2" x14ac:dyDescent="0.2">
      <c r="A223" s="1">
        <v>28246</v>
      </c>
      <c r="B223">
        <v>311600000000</v>
      </c>
    </row>
    <row r="224" spans="1:2" x14ac:dyDescent="0.2">
      <c r="A224" s="1">
        <v>28277</v>
      </c>
      <c r="B224">
        <v>317700000000</v>
      </c>
    </row>
    <row r="225" spans="1:2" x14ac:dyDescent="0.2">
      <c r="A225" s="1">
        <v>28307</v>
      </c>
      <c r="B225">
        <v>322200000000</v>
      </c>
    </row>
    <row r="226" spans="1:2" x14ac:dyDescent="0.2">
      <c r="A226" s="1">
        <v>28338</v>
      </c>
      <c r="B226">
        <v>320200000000</v>
      </c>
    </row>
    <row r="227" spans="1:2" x14ac:dyDescent="0.2">
      <c r="A227" s="1">
        <v>28369</v>
      </c>
      <c r="B227">
        <v>323700000000</v>
      </c>
    </row>
    <row r="228" spans="1:2" x14ac:dyDescent="0.2">
      <c r="A228" s="1">
        <v>28399</v>
      </c>
      <c r="B228">
        <v>327900000000</v>
      </c>
    </row>
    <row r="229" spans="1:2" x14ac:dyDescent="0.2">
      <c r="A229" s="1">
        <v>28430</v>
      </c>
      <c r="B229">
        <v>331400000000</v>
      </c>
    </row>
    <row r="230" spans="1:2" x14ac:dyDescent="0.2">
      <c r="A230" s="1">
        <v>28460</v>
      </c>
      <c r="B230">
        <v>340000000000</v>
      </c>
    </row>
    <row r="231" spans="1:2" x14ac:dyDescent="0.2">
      <c r="A231" s="1">
        <v>28491</v>
      </c>
      <c r="B231">
        <v>339300000000</v>
      </c>
    </row>
    <row r="232" spans="1:2" x14ac:dyDescent="0.2">
      <c r="A232" s="1">
        <v>28522</v>
      </c>
      <c r="B232">
        <v>327900000000</v>
      </c>
    </row>
    <row r="233" spans="1:2" x14ac:dyDescent="0.2">
      <c r="A233" s="1">
        <v>28550</v>
      </c>
      <c r="B233">
        <v>330800000000</v>
      </c>
    </row>
    <row r="234" spans="1:2" x14ac:dyDescent="0.2">
      <c r="A234" s="1">
        <v>28581</v>
      </c>
      <c r="B234">
        <v>343400000000</v>
      </c>
    </row>
    <row r="235" spans="1:2" x14ac:dyDescent="0.2">
      <c r="A235" s="1">
        <v>28611</v>
      </c>
      <c r="B235">
        <v>338200000000</v>
      </c>
    </row>
    <row r="236" spans="1:2" x14ac:dyDescent="0.2">
      <c r="A236" s="1">
        <v>28642</v>
      </c>
      <c r="B236">
        <v>345200000000</v>
      </c>
    </row>
    <row r="237" spans="1:2" x14ac:dyDescent="0.2">
      <c r="A237" s="1">
        <v>28672</v>
      </c>
      <c r="B237">
        <v>349500000000</v>
      </c>
    </row>
    <row r="238" spans="1:2" x14ac:dyDescent="0.2">
      <c r="A238" s="1">
        <v>28703</v>
      </c>
      <c r="B238">
        <v>347500000000</v>
      </c>
    </row>
    <row r="239" spans="1:2" x14ac:dyDescent="0.2">
      <c r="A239" s="1">
        <v>28734</v>
      </c>
      <c r="B239">
        <v>352700000000</v>
      </c>
    </row>
    <row r="240" spans="1:2" x14ac:dyDescent="0.2">
      <c r="A240" s="1">
        <v>28764</v>
      </c>
      <c r="B240">
        <v>354900000000</v>
      </c>
    </row>
    <row r="241" spans="1:2" x14ac:dyDescent="0.2">
      <c r="A241" s="1">
        <v>28795</v>
      </c>
      <c r="B241">
        <v>358500000000</v>
      </c>
    </row>
    <row r="242" spans="1:2" x14ac:dyDescent="0.2">
      <c r="A242" s="1">
        <v>28825</v>
      </c>
      <c r="B242">
        <v>367900000000</v>
      </c>
    </row>
    <row r="243" spans="1:2" x14ac:dyDescent="0.2">
      <c r="A243" s="1">
        <v>28856</v>
      </c>
      <c r="B243">
        <v>363300000000</v>
      </c>
    </row>
    <row r="244" spans="1:2" x14ac:dyDescent="0.2">
      <c r="A244" s="1">
        <v>28887</v>
      </c>
      <c r="B244">
        <v>351700000000</v>
      </c>
    </row>
    <row r="245" spans="1:2" x14ac:dyDescent="0.2">
      <c r="A245" s="1">
        <v>28915</v>
      </c>
      <c r="B245">
        <v>356100000000</v>
      </c>
    </row>
    <row r="246" spans="1:2" x14ac:dyDescent="0.2">
      <c r="A246" s="1">
        <v>28946</v>
      </c>
      <c r="B246">
        <v>371300000000</v>
      </c>
    </row>
    <row r="247" spans="1:2" x14ac:dyDescent="0.2">
      <c r="A247" s="1">
        <v>28976</v>
      </c>
      <c r="B247">
        <v>362200000000</v>
      </c>
    </row>
    <row r="248" spans="1:2" x14ac:dyDescent="0.2">
      <c r="A248" s="1">
        <v>29007</v>
      </c>
      <c r="B248">
        <v>371900000000</v>
      </c>
    </row>
    <row r="249" spans="1:2" x14ac:dyDescent="0.2">
      <c r="A249" s="1">
        <v>29037</v>
      </c>
      <c r="B249">
        <v>378400000000</v>
      </c>
    </row>
    <row r="250" spans="1:2" x14ac:dyDescent="0.2">
      <c r="A250" s="1">
        <v>29068</v>
      </c>
      <c r="B250">
        <v>376900000000</v>
      </c>
    </row>
    <row r="251" spans="1:2" x14ac:dyDescent="0.2">
      <c r="A251" s="1">
        <v>29099</v>
      </c>
      <c r="B251">
        <v>380500000000</v>
      </c>
    </row>
    <row r="252" spans="1:2" x14ac:dyDescent="0.2">
      <c r="A252" s="1">
        <v>29129</v>
      </c>
      <c r="B252">
        <v>382600000000</v>
      </c>
    </row>
    <row r="253" spans="1:2" x14ac:dyDescent="0.2">
      <c r="A253" s="1">
        <v>29160</v>
      </c>
      <c r="B253">
        <v>384400000000</v>
      </c>
    </row>
    <row r="254" spans="1:2" x14ac:dyDescent="0.2">
      <c r="A254" s="1">
        <v>29190</v>
      </c>
      <c r="B254">
        <v>393200000000</v>
      </c>
    </row>
    <row r="255" spans="1:2" x14ac:dyDescent="0.2">
      <c r="A255" s="1">
        <v>29221</v>
      </c>
      <c r="B255">
        <v>390400000000</v>
      </c>
    </row>
    <row r="256" spans="1:2" x14ac:dyDescent="0.2">
      <c r="A256" s="1">
        <v>29252</v>
      </c>
      <c r="B256">
        <v>380800000000</v>
      </c>
    </row>
    <row r="257" spans="1:2" x14ac:dyDescent="0.2">
      <c r="A257" s="1">
        <v>29281</v>
      </c>
      <c r="B257">
        <v>382200000000</v>
      </c>
    </row>
    <row r="258" spans="1:2" x14ac:dyDescent="0.2">
      <c r="A258" s="1">
        <v>29312</v>
      </c>
      <c r="B258">
        <v>386700000000</v>
      </c>
    </row>
    <row r="259" spans="1:2" x14ac:dyDescent="0.2">
      <c r="A259" s="1">
        <v>29342</v>
      </c>
      <c r="B259">
        <v>377800000000</v>
      </c>
    </row>
    <row r="260" spans="1:2" x14ac:dyDescent="0.2">
      <c r="A260" s="1">
        <v>29373</v>
      </c>
      <c r="B260">
        <v>387300000000</v>
      </c>
    </row>
    <row r="261" spans="1:2" x14ac:dyDescent="0.2">
      <c r="A261" s="1">
        <v>29403</v>
      </c>
      <c r="B261">
        <v>394600000000</v>
      </c>
    </row>
    <row r="262" spans="1:2" x14ac:dyDescent="0.2">
      <c r="A262" s="1">
        <v>29434</v>
      </c>
      <c r="B262">
        <v>398300000000</v>
      </c>
    </row>
    <row r="263" spans="1:2" x14ac:dyDescent="0.2">
      <c r="A263" s="1">
        <v>29465</v>
      </c>
      <c r="B263">
        <v>404700000000</v>
      </c>
    </row>
    <row r="264" spans="1:2" x14ac:dyDescent="0.2">
      <c r="A264" s="1">
        <v>29495</v>
      </c>
      <c r="B264">
        <v>410700000000</v>
      </c>
    </row>
    <row r="265" spans="1:2" x14ac:dyDescent="0.2">
      <c r="A265" s="1">
        <v>29526</v>
      </c>
      <c r="B265">
        <v>415800000000</v>
      </c>
    </row>
    <row r="266" spans="1:2" x14ac:dyDescent="0.2">
      <c r="A266" s="1">
        <v>29556</v>
      </c>
      <c r="B266">
        <v>419500000000</v>
      </c>
    </row>
    <row r="267" spans="1:2" x14ac:dyDescent="0.2">
      <c r="A267" s="1">
        <v>29587</v>
      </c>
      <c r="B267">
        <v>416400000000</v>
      </c>
    </row>
    <row r="268" spans="1:2" x14ac:dyDescent="0.2">
      <c r="A268" s="1">
        <v>29618</v>
      </c>
      <c r="B268">
        <v>405500000000</v>
      </c>
    </row>
    <row r="269" spans="1:2" x14ac:dyDescent="0.2">
      <c r="A269" s="1">
        <v>29646</v>
      </c>
      <c r="B269">
        <v>412200000000</v>
      </c>
    </row>
    <row r="270" spans="1:2" x14ac:dyDescent="0.2">
      <c r="A270" s="1">
        <v>29677</v>
      </c>
      <c r="B270">
        <v>431000000000</v>
      </c>
    </row>
    <row r="271" spans="1:2" x14ac:dyDescent="0.2">
      <c r="A271" s="1">
        <v>29707</v>
      </c>
      <c r="B271">
        <v>418500000000</v>
      </c>
    </row>
    <row r="272" spans="1:2" x14ac:dyDescent="0.2">
      <c r="A272" s="1">
        <v>29738</v>
      </c>
      <c r="B272">
        <v>422800000000</v>
      </c>
    </row>
    <row r="273" spans="1:2" x14ac:dyDescent="0.2">
      <c r="A273" s="1">
        <v>29768</v>
      </c>
      <c r="B273">
        <v>427700000000</v>
      </c>
    </row>
    <row r="274" spans="1:2" x14ac:dyDescent="0.2">
      <c r="A274" s="1">
        <v>29799</v>
      </c>
      <c r="B274">
        <v>425900000000</v>
      </c>
    </row>
    <row r="275" spans="1:2" x14ac:dyDescent="0.2">
      <c r="A275" s="1">
        <v>29830</v>
      </c>
      <c r="B275">
        <v>427000000000</v>
      </c>
    </row>
    <row r="276" spans="1:2" x14ac:dyDescent="0.2">
      <c r="A276" s="1">
        <v>29860</v>
      </c>
      <c r="B276">
        <v>429700000000</v>
      </c>
    </row>
    <row r="277" spans="1:2" x14ac:dyDescent="0.2">
      <c r="A277" s="1">
        <v>29891</v>
      </c>
      <c r="B277">
        <v>435100000000</v>
      </c>
    </row>
    <row r="278" spans="1:2" x14ac:dyDescent="0.2">
      <c r="A278" s="1">
        <v>29921</v>
      </c>
      <c r="B278">
        <v>447000000000</v>
      </c>
    </row>
    <row r="279" spans="1:2" x14ac:dyDescent="0.2">
      <c r="A279" s="1">
        <v>29952</v>
      </c>
      <c r="B279">
        <v>448400000000</v>
      </c>
    </row>
    <row r="280" spans="1:2" x14ac:dyDescent="0.2">
      <c r="A280" s="1">
        <v>29983</v>
      </c>
      <c r="B280">
        <v>432400000000</v>
      </c>
    </row>
    <row r="281" spans="1:2" x14ac:dyDescent="0.2">
      <c r="A281" s="1">
        <v>30011</v>
      </c>
      <c r="B281">
        <v>435600000000</v>
      </c>
    </row>
    <row r="282" spans="1:2" x14ac:dyDescent="0.2">
      <c r="A282" s="1">
        <v>30042</v>
      </c>
      <c r="B282">
        <v>451100000000</v>
      </c>
    </row>
    <row r="283" spans="1:2" x14ac:dyDescent="0.2">
      <c r="A283" s="1">
        <v>30072</v>
      </c>
      <c r="B283">
        <v>440900000000</v>
      </c>
    </row>
    <row r="284" spans="1:2" x14ac:dyDescent="0.2">
      <c r="A284" s="1">
        <v>30103</v>
      </c>
      <c r="B284">
        <v>446200000000</v>
      </c>
    </row>
    <row r="285" spans="1:2" x14ac:dyDescent="0.2">
      <c r="A285" s="1">
        <v>30133</v>
      </c>
      <c r="B285">
        <v>449500000000</v>
      </c>
    </row>
    <row r="286" spans="1:2" x14ac:dyDescent="0.2">
      <c r="A286" s="1">
        <v>30164</v>
      </c>
      <c r="B286">
        <v>449800000000</v>
      </c>
    </row>
    <row r="287" spans="1:2" x14ac:dyDescent="0.2">
      <c r="A287" s="1">
        <v>30195</v>
      </c>
      <c r="B287">
        <v>456200000000</v>
      </c>
    </row>
    <row r="288" spans="1:2" x14ac:dyDescent="0.2">
      <c r="A288" s="1">
        <v>30225</v>
      </c>
      <c r="B288">
        <v>465700000000</v>
      </c>
    </row>
    <row r="289" spans="1:2" x14ac:dyDescent="0.2">
      <c r="A289" s="1">
        <v>30256</v>
      </c>
      <c r="B289">
        <v>474400000000</v>
      </c>
    </row>
    <row r="290" spans="1:2" x14ac:dyDescent="0.2">
      <c r="A290" s="1">
        <v>30286</v>
      </c>
      <c r="B290">
        <v>485800000000</v>
      </c>
    </row>
    <row r="291" spans="1:2" x14ac:dyDescent="0.2">
      <c r="A291" s="1">
        <v>30317</v>
      </c>
      <c r="B291">
        <v>482800000000</v>
      </c>
    </row>
    <row r="292" spans="1:2" x14ac:dyDescent="0.2">
      <c r="A292" s="1">
        <v>30348</v>
      </c>
      <c r="B292">
        <v>474200000000</v>
      </c>
    </row>
    <row r="293" spans="1:2" x14ac:dyDescent="0.2">
      <c r="A293" s="1">
        <v>30376</v>
      </c>
      <c r="B293">
        <v>482700000000</v>
      </c>
    </row>
    <row r="294" spans="1:2" x14ac:dyDescent="0.2">
      <c r="A294" s="1">
        <v>30407</v>
      </c>
      <c r="B294">
        <v>498600000000</v>
      </c>
    </row>
    <row r="295" spans="1:2" x14ac:dyDescent="0.2">
      <c r="A295" s="1">
        <v>30437</v>
      </c>
      <c r="B295">
        <v>493900000000</v>
      </c>
    </row>
    <row r="296" spans="1:2" x14ac:dyDescent="0.2">
      <c r="A296" s="1">
        <v>30468</v>
      </c>
      <c r="B296">
        <v>503500000000</v>
      </c>
    </row>
    <row r="297" spans="1:2" x14ac:dyDescent="0.2">
      <c r="A297" s="1">
        <v>30498</v>
      </c>
      <c r="B297">
        <v>510500000000</v>
      </c>
    </row>
    <row r="298" spans="1:2" x14ac:dyDescent="0.2">
      <c r="A298" s="1">
        <v>30529</v>
      </c>
      <c r="B298">
        <v>508200000000</v>
      </c>
    </row>
    <row r="299" spans="1:2" x14ac:dyDescent="0.2">
      <c r="A299" s="1">
        <v>30560</v>
      </c>
      <c r="B299">
        <v>511400000000</v>
      </c>
    </row>
    <row r="300" spans="1:2" x14ac:dyDescent="0.2">
      <c r="A300" s="1">
        <v>30590</v>
      </c>
      <c r="B300">
        <v>517200000000.00006</v>
      </c>
    </row>
    <row r="301" spans="1:2" x14ac:dyDescent="0.2">
      <c r="A301" s="1">
        <v>30621</v>
      </c>
      <c r="B301">
        <v>521799999999.99994</v>
      </c>
    </row>
    <row r="302" spans="1:2" x14ac:dyDescent="0.2">
      <c r="A302" s="1">
        <v>30651</v>
      </c>
      <c r="B302">
        <v>533299999999.99994</v>
      </c>
    </row>
    <row r="303" spans="1:2" x14ac:dyDescent="0.2">
      <c r="A303" s="1">
        <v>30682</v>
      </c>
      <c r="B303">
        <v>530200000000.00006</v>
      </c>
    </row>
    <row r="304" spans="1:2" x14ac:dyDescent="0.2">
      <c r="A304" s="1">
        <v>30713</v>
      </c>
      <c r="B304">
        <v>516900000000</v>
      </c>
    </row>
    <row r="305" spans="1:2" x14ac:dyDescent="0.2">
      <c r="A305" s="1">
        <v>30742</v>
      </c>
      <c r="B305">
        <v>523200000000.00006</v>
      </c>
    </row>
    <row r="306" spans="1:2" x14ac:dyDescent="0.2">
      <c r="A306" s="1">
        <v>30773</v>
      </c>
      <c r="B306">
        <v>539900000000</v>
      </c>
    </row>
    <row r="307" spans="1:2" x14ac:dyDescent="0.2">
      <c r="A307" s="1">
        <v>30803</v>
      </c>
      <c r="B307">
        <v>530700000000.00006</v>
      </c>
    </row>
    <row r="308" spans="1:2" x14ac:dyDescent="0.2">
      <c r="A308" s="1">
        <v>30834</v>
      </c>
      <c r="B308">
        <v>541400000000</v>
      </c>
    </row>
    <row r="309" spans="1:2" x14ac:dyDescent="0.2">
      <c r="A309" s="1">
        <v>30864</v>
      </c>
      <c r="B309">
        <v>543299999999.99994</v>
      </c>
    </row>
    <row r="310" spans="1:2" x14ac:dyDescent="0.2">
      <c r="A310" s="1">
        <v>30895</v>
      </c>
      <c r="B310">
        <v>539000000000</v>
      </c>
    </row>
    <row r="311" spans="1:2" x14ac:dyDescent="0.2">
      <c r="A311" s="1">
        <v>30926</v>
      </c>
      <c r="B311">
        <v>542500000000</v>
      </c>
    </row>
    <row r="312" spans="1:2" x14ac:dyDescent="0.2">
      <c r="A312" s="1">
        <v>30956</v>
      </c>
      <c r="B312">
        <v>542200000000.00006</v>
      </c>
    </row>
    <row r="313" spans="1:2" x14ac:dyDescent="0.2">
      <c r="A313" s="1">
        <v>30987</v>
      </c>
      <c r="B313">
        <v>549800000000</v>
      </c>
    </row>
    <row r="314" spans="1:2" x14ac:dyDescent="0.2">
      <c r="A314" s="1">
        <v>31017</v>
      </c>
      <c r="B314">
        <v>564600000000</v>
      </c>
    </row>
    <row r="315" spans="1:2" x14ac:dyDescent="0.2">
      <c r="A315" s="1">
        <v>31048</v>
      </c>
      <c r="B315">
        <v>561100000000</v>
      </c>
    </row>
    <row r="316" spans="1:2" x14ac:dyDescent="0.2">
      <c r="A316" s="1">
        <v>31079</v>
      </c>
      <c r="B316">
        <v>551900000000</v>
      </c>
    </row>
    <row r="317" spans="1:2" x14ac:dyDescent="0.2">
      <c r="A317" s="1">
        <v>31107</v>
      </c>
      <c r="B317">
        <v>558400000000</v>
      </c>
    </row>
    <row r="318" spans="1:2" x14ac:dyDescent="0.2">
      <c r="A318" s="1">
        <v>31138</v>
      </c>
      <c r="B318">
        <v>575100000000</v>
      </c>
    </row>
    <row r="319" spans="1:2" x14ac:dyDescent="0.2">
      <c r="A319" s="1">
        <v>31168</v>
      </c>
      <c r="B319">
        <v>569300000000</v>
      </c>
    </row>
    <row r="320" spans="1:2" x14ac:dyDescent="0.2">
      <c r="A320" s="1">
        <v>31199</v>
      </c>
      <c r="B320">
        <v>585200000000</v>
      </c>
    </row>
    <row r="321" spans="1:2" x14ac:dyDescent="0.2">
      <c r="A321" s="1">
        <v>31229</v>
      </c>
      <c r="B321">
        <v>592000000000</v>
      </c>
    </row>
    <row r="322" spans="1:2" x14ac:dyDescent="0.2">
      <c r="A322" s="1">
        <v>31260</v>
      </c>
      <c r="B322">
        <v>594900000000</v>
      </c>
    </row>
    <row r="323" spans="1:2" x14ac:dyDescent="0.2">
      <c r="A323" s="1">
        <v>31291</v>
      </c>
      <c r="B323">
        <v>602000000000</v>
      </c>
    </row>
    <row r="324" spans="1:2" x14ac:dyDescent="0.2">
      <c r="A324" s="1">
        <v>31321</v>
      </c>
      <c r="B324">
        <v>605300000000</v>
      </c>
    </row>
    <row r="325" spans="1:2" x14ac:dyDescent="0.2">
      <c r="A325" s="1">
        <v>31352</v>
      </c>
      <c r="B325">
        <v>614900000000</v>
      </c>
    </row>
    <row r="326" spans="1:2" x14ac:dyDescent="0.2">
      <c r="A326" s="1">
        <v>31382</v>
      </c>
      <c r="B326">
        <v>633300000000</v>
      </c>
    </row>
    <row r="327" spans="1:2" x14ac:dyDescent="0.2">
      <c r="A327" s="1">
        <v>31413</v>
      </c>
      <c r="B327">
        <v>626600000000</v>
      </c>
    </row>
    <row r="328" spans="1:2" x14ac:dyDescent="0.2">
      <c r="A328" s="1">
        <v>31444</v>
      </c>
      <c r="B328">
        <v>612800000000</v>
      </c>
    </row>
    <row r="329" spans="1:2" x14ac:dyDescent="0.2">
      <c r="A329" s="1">
        <v>31472</v>
      </c>
      <c r="B329">
        <v>624300000000</v>
      </c>
    </row>
    <row r="330" spans="1:2" x14ac:dyDescent="0.2">
      <c r="A330" s="1">
        <v>31503</v>
      </c>
      <c r="B330">
        <v>647000000000</v>
      </c>
    </row>
    <row r="331" spans="1:2" x14ac:dyDescent="0.2">
      <c r="A331" s="1">
        <v>31533</v>
      </c>
      <c r="B331">
        <v>645700000000</v>
      </c>
    </row>
    <row r="332" spans="1:2" x14ac:dyDescent="0.2">
      <c r="A332" s="1">
        <v>31564</v>
      </c>
      <c r="B332">
        <v>662800000000</v>
      </c>
    </row>
    <row r="333" spans="1:2" x14ac:dyDescent="0.2">
      <c r="A333" s="1">
        <v>31594</v>
      </c>
      <c r="B333">
        <v>673400000000</v>
      </c>
    </row>
    <row r="334" spans="1:2" x14ac:dyDescent="0.2">
      <c r="A334" s="1">
        <v>31625</v>
      </c>
      <c r="B334">
        <v>678400000000</v>
      </c>
    </row>
    <row r="335" spans="1:2" x14ac:dyDescent="0.2">
      <c r="A335" s="1">
        <v>31656</v>
      </c>
      <c r="B335">
        <v>684500000000</v>
      </c>
    </row>
    <row r="336" spans="1:2" x14ac:dyDescent="0.2">
      <c r="A336" s="1">
        <v>31686</v>
      </c>
      <c r="B336">
        <v>692200000000</v>
      </c>
    </row>
    <row r="337" spans="1:2" x14ac:dyDescent="0.2">
      <c r="A337" s="1">
        <v>31717</v>
      </c>
      <c r="B337">
        <v>708800000000</v>
      </c>
    </row>
    <row r="338" spans="1:2" x14ac:dyDescent="0.2">
      <c r="A338" s="1">
        <v>31747</v>
      </c>
      <c r="B338">
        <v>739800000000</v>
      </c>
    </row>
    <row r="339" spans="1:2" x14ac:dyDescent="0.2">
      <c r="A339" s="1">
        <v>31778</v>
      </c>
      <c r="B339">
        <v>737100000000</v>
      </c>
    </row>
    <row r="340" spans="1:2" x14ac:dyDescent="0.2">
      <c r="A340" s="1">
        <v>31809</v>
      </c>
      <c r="B340">
        <v>717100000000</v>
      </c>
    </row>
    <row r="341" spans="1:2" x14ac:dyDescent="0.2">
      <c r="A341" s="1">
        <v>31837</v>
      </c>
      <c r="B341">
        <v>723100000000</v>
      </c>
    </row>
    <row r="342" spans="1:2" x14ac:dyDescent="0.2">
      <c r="A342" s="1">
        <v>31868</v>
      </c>
      <c r="B342">
        <v>752000000000</v>
      </c>
    </row>
    <row r="343" spans="1:2" x14ac:dyDescent="0.2">
      <c r="A343" s="1">
        <v>31898</v>
      </c>
      <c r="B343">
        <v>739300000000</v>
      </c>
    </row>
    <row r="344" spans="1:2" x14ac:dyDescent="0.2">
      <c r="A344" s="1">
        <v>31929</v>
      </c>
      <c r="B344">
        <v>743800000000</v>
      </c>
    </row>
    <row r="345" spans="1:2" x14ac:dyDescent="0.2">
      <c r="A345" s="1">
        <v>31959</v>
      </c>
      <c r="B345">
        <v>746200000000</v>
      </c>
    </row>
    <row r="346" spans="1:2" x14ac:dyDescent="0.2">
      <c r="A346" s="1">
        <v>31990</v>
      </c>
      <c r="B346">
        <v>744200000000</v>
      </c>
    </row>
    <row r="347" spans="1:2" x14ac:dyDescent="0.2">
      <c r="A347" s="1">
        <v>32021</v>
      </c>
      <c r="B347">
        <v>744500000000</v>
      </c>
    </row>
    <row r="348" spans="1:2" x14ac:dyDescent="0.2">
      <c r="A348" s="1">
        <v>32051</v>
      </c>
      <c r="B348">
        <v>753200000000</v>
      </c>
    </row>
    <row r="349" spans="1:2" x14ac:dyDescent="0.2">
      <c r="A349" s="1">
        <v>32082</v>
      </c>
      <c r="B349">
        <v>755500000000</v>
      </c>
    </row>
    <row r="350" spans="1:2" x14ac:dyDescent="0.2">
      <c r="A350" s="1">
        <v>32112</v>
      </c>
      <c r="B350">
        <v>765400000000</v>
      </c>
    </row>
    <row r="351" spans="1:2" x14ac:dyDescent="0.2">
      <c r="A351" s="1">
        <v>32143</v>
      </c>
      <c r="B351">
        <v>764200000000</v>
      </c>
    </row>
    <row r="352" spans="1:2" x14ac:dyDescent="0.2">
      <c r="A352" s="1">
        <v>32174</v>
      </c>
      <c r="B352">
        <v>744500000000</v>
      </c>
    </row>
    <row r="353" spans="1:2" x14ac:dyDescent="0.2">
      <c r="A353" s="1">
        <v>32203</v>
      </c>
      <c r="B353">
        <v>751600000000</v>
      </c>
    </row>
    <row r="354" spans="1:2" x14ac:dyDescent="0.2">
      <c r="A354" s="1">
        <v>32234</v>
      </c>
      <c r="B354">
        <v>777900000000</v>
      </c>
    </row>
    <row r="355" spans="1:2" x14ac:dyDescent="0.2">
      <c r="A355" s="1">
        <v>32264</v>
      </c>
      <c r="B355">
        <v>763400000000</v>
      </c>
    </row>
    <row r="356" spans="1:2" x14ac:dyDescent="0.2">
      <c r="A356" s="1">
        <v>32295</v>
      </c>
      <c r="B356">
        <v>778500000000</v>
      </c>
    </row>
    <row r="357" spans="1:2" x14ac:dyDescent="0.2">
      <c r="A357" s="1">
        <v>32325</v>
      </c>
      <c r="B357">
        <v>785500000000</v>
      </c>
    </row>
    <row r="358" spans="1:2" x14ac:dyDescent="0.2">
      <c r="A358" s="1">
        <v>32356</v>
      </c>
      <c r="B358">
        <v>781000000000</v>
      </c>
    </row>
    <row r="359" spans="1:2" x14ac:dyDescent="0.2">
      <c r="A359" s="1">
        <v>32387</v>
      </c>
      <c r="B359">
        <v>779700000000</v>
      </c>
    </row>
    <row r="360" spans="1:2" x14ac:dyDescent="0.2">
      <c r="A360" s="1">
        <v>32417</v>
      </c>
      <c r="B360">
        <v>780800000000</v>
      </c>
    </row>
    <row r="361" spans="1:2" x14ac:dyDescent="0.2">
      <c r="A361" s="1">
        <v>32448</v>
      </c>
      <c r="B361">
        <v>786900000000</v>
      </c>
    </row>
    <row r="362" spans="1:2" x14ac:dyDescent="0.2">
      <c r="A362" s="1">
        <v>32478</v>
      </c>
      <c r="B362">
        <v>803100000000</v>
      </c>
    </row>
    <row r="363" spans="1:2" x14ac:dyDescent="0.2">
      <c r="A363" s="1">
        <v>32509</v>
      </c>
      <c r="B363">
        <v>792100000000</v>
      </c>
    </row>
    <row r="364" spans="1:2" x14ac:dyDescent="0.2">
      <c r="A364" s="1">
        <v>32540</v>
      </c>
      <c r="B364">
        <v>771600000000</v>
      </c>
    </row>
    <row r="365" spans="1:2" x14ac:dyDescent="0.2">
      <c r="A365" s="1">
        <v>32568</v>
      </c>
      <c r="B365">
        <v>774600000000</v>
      </c>
    </row>
    <row r="366" spans="1:2" x14ac:dyDescent="0.2">
      <c r="A366" s="1">
        <v>32599</v>
      </c>
      <c r="B366">
        <v>790200000000</v>
      </c>
    </row>
    <row r="367" spans="1:2" x14ac:dyDescent="0.2">
      <c r="A367" s="1">
        <v>32629</v>
      </c>
      <c r="B367">
        <v>766100000000</v>
      </c>
    </row>
    <row r="368" spans="1:2" x14ac:dyDescent="0.2">
      <c r="A368" s="1">
        <v>32660</v>
      </c>
      <c r="B368">
        <v>772800000000</v>
      </c>
    </row>
    <row r="369" spans="1:2" x14ac:dyDescent="0.2">
      <c r="A369" s="1">
        <v>32690</v>
      </c>
      <c r="B369">
        <v>780700000000</v>
      </c>
    </row>
    <row r="370" spans="1:2" x14ac:dyDescent="0.2">
      <c r="A370" s="1">
        <v>32721</v>
      </c>
      <c r="B370">
        <v>776500000000</v>
      </c>
    </row>
    <row r="371" spans="1:2" x14ac:dyDescent="0.2">
      <c r="A371" s="1">
        <v>32752</v>
      </c>
      <c r="B371">
        <v>777700000000</v>
      </c>
    </row>
    <row r="372" spans="1:2" x14ac:dyDescent="0.2">
      <c r="A372" s="1">
        <v>32782</v>
      </c>
      <c r="B372">
        <v>783200000000</v>
      </c>
    </row>
    <row r="373" spans="1:2" x14ac:dyDescent="0.2">
      <c r="A373" s="1">
        <v>32813</v>
      </c>
      <c r="B373">
        <v>790200000000</v>
      </c>
    </row>
    <row r="374" spans="1:2" x14ac:dyDescent="0.2">
      <c r="A374" s="1">
        <v>32843</v>
      </c>
      <c r="B374">
        <v>810600000000</v>
      </c>
    </row>
    <row r="375" spans="1:2" x14ac:dyDescent="0.2">
      <c r="A375" s="1">
        <v>32874</v>
      </c>
      <c r="B375">
        <v>800700000000</v>
      </c>
    </row>
    <row r="376" spans="1:2" x14ac:dyDescent="0.2">
      <c r="A376" s="1">
        <v>32905</v>
      </c>
      <c r="B376">
        <v>786700000000</v>
      </c>
    </row>
    <row r="377" spans="1:2" x14ac:dyDescent="0.2">
      <c r="A377" s="1">
        <v>32933</v>
      </c>
      <c r="B377">
        <v>794500000000</v>
      </c>
    </row>
    <row r="378" spans="1:2" x14ac:dyDescent="0.2">
      <c r="A378" s="1">
        <v>32964</v>
      </c>
      <c r="B378">
        <v>816200000000</v>
      </c>
    </row>
    <row r="379" spans="1:2" x14ac:dyDescent="0.2">
      <c r="A379" s="1">
        <v>32994</v>
      </c>
      <c r="B379">
        <v>795500000000</v>
      </c>
    </row>
    <row r="380" spans="1:2" x14ac:dyDescent="0.2">
      <c r="A380" s="1">
        <v>33025</v>
      </c>
      <c r="B380">
        <v>809000000000</v>
      </c>
    </row>
    <row r="381" spans="1:2" x14ac:dyDescent="0.2">
      <c r="A381" s="1">
        <v>33055</v>
      </c>
      <c r="B381">
        <v>811000000000</v>
      </c>
    </row>
    <row r="382" spans="1:2" x14ac:dyDescent="0.2">
      <c r="A382" s="1">
        <v>33086</v>
      </c>
      <c r="B382">
        <v>812700000000</v>
      </c>
    </row>
    <row r="383" spans="1:2" x14ac:dyDescent="0.2">
      <c r="A383" s="1">
        <v>33117</v>
      </c>
      <c r="B383">
        <v>817100000000</v>
      </c>
    </row>
    <row r="384" spans="1:2" x14ac:dyDescent="0.2">
      <c r="A384" s="1">
        <v>33147</v>
      </c>
      <c r="B384">
        <v>816100000000</v>
      </c>
    </row>
    <row r="385" spans="1:2" x14ac:dyDescent="0.2">
      <c r="A385" s="1">
        <v>33178</v>
      </c>
      <c r="B385">
        <v>824600000000</v>
      </c>
    </row>
    <row r="386" spans="1:2" x14ac:dyDescent="0.2">
      <c r="A386" s="1">
        <v>33208</v>
      </c>
      <c r="B386">
        <v>842700000000</v>
      </c>
    </row>
    <row r="387" spans="1:2" x14ac:dyDescent="0.2">
      <c r="A387" s="1">
        <v>33239</v>
      </c>
      <c r="B387">
        <v>831700000000</v>
      </c>
    </row>
    <row r="388" spans="1:2" x14ac:dyDescent="0.2">
      <c r="A388" s="1">
        <v>33270</v>
      </c>
      <c r="B388">
        <v>822100000000</v>
      </c>
    </row>
    <row r="389" spans="1:2" x14ac:dyDescent="0.2">
      <c r="A389" s="1">
        <v>33298</v>
      </c>
      <c r="B389">
        <v>833700000000</v>
      </c>
    </row>
    <row r="390" spans="1:2" x14ac:dyDescent="0.2">
      <c r="A390" s="1">
        <v>33329</v>
      </c>
      <c r="B390">
        <v>851900000000</v>
      </c>
    </row>
    <row r="391" spans="1:2" x14ac:dyDescent="0.2">
      <c r="A391" s="1">
        <v>33359</v>
      </c>
      <c r="B391">
        <v>840300000000</v>
      </c>
    </row>
    <row r="392" spans="1:2" x14ac:dyDescent="0.2">
      <c r="A392" s="1">
        <v>33390</v>
      </c>
      <c r="B392">
        <v>856700000000</v>
      </c>
    </row>
    <row r="393" spans="1:2" x14ac:dyDescent="0.2">
      <c r="A393" s="1">
        <v>33420</v>
      </c>
      <c r="B393">
        <v>860900000000</v>
      </c>
    </row>
    <row r="394" spans="1:2" x14ac:dyDescent="0.2">
      <c r="A394" s="1">
        <v>33451</v>
      </c>
      <c r="B394">
        <v>863200000000</v>
      </c>
    </row>
    <row r="395" spans="1:2" x14ac:dyDescent="0.2">
      <c r="A395" s="1">
        <v>33482</v>
      </c>
      <c r="B395">
        <v>865400000000</v>
      </c>
    </row>
    <row r="396" spans="1:2" x14ac:dyDescent="0.2">
      <c r="A396" s="1">
        <v>33512</v>
      </c>
      <c r="B396">
        <v>874000000000</v>
      </c>
    </row>
    <row r="397" spans="1:2" x14ac:dyDescent="0.2">
      <c r="A397" s="1">
        <v>33543</v>
      </c>
      <c r="B397">
        <v>892300000000</v>
      </c>
    </row>
    <row r="398" spans="1:2" x14ac:dyDescent="0.2">
      <c r="A398" s="1">
        <v>33573</v>
      </c>
      <c r="B398">
        <v>915600000000</v>
      </c>
    </row>
    <row r="399" spans="1:2" x14ac:dyDescent="0.2">
      <c r="A399" s="1">
        <v>33604</v>
      </c>
      <c r="B399">
        <v>916400000000</v>
      </c>
    </row>
    <row r="400" spans="1:2" x14ac:dyDescent="0.2">
      <c r="A400" s="1">
        <v>33635</v>
      </c>
      <c r="B400">
        <v>915100000000</v>
      </c>
    </row>
    <row r="401" spans="1:2" x14ac:dyDescent="0.2">
      <c r="A401" s="1">
        <v>33664</v>
      </c>
      <c r="B401">
        <v>929600000000</v>
      </c>
    </row>
    <row r="402" spans="1:2" x14ac:dyDescent="0.2">
      <c r="A402" s="1">
        <v>33695</v>
      </c>
      <c r="B402">
        <v>953700000000</v>
      </c>
    </row>
    <row r="403" spans="1:2" x14ac:dyDescent="0.2">
      <c r="A403" s="1">
        <v>33725</v>
      </c>
      <c r="B403">
        <v>942900000000</v>
      </c>
    </row>
    <row r="404" spans="1:2" x14ac:dyDescent="0.2">
      <c r="A404" s="1">
        <v>33756</v>
      </c>
      <c r="B404">
        <v>951000000000</v>
      </c>
    </row>
    <row r="405" spans="1:2" x14ac:dyDescent="0.2">
      <c r="A405" s="1">
        <v>33786</v>
      </c>
      <c r="B405">
        <v>962000000000</v>
      </c>
    </row>
    <row r="406" spans="1:2" x14ac:dyDescent="0.2">
      <c r="A406" s="1">
        <v>33817</v>
      </c>
      <c r="B406">
        <v>970100000000</v>
      </c>
    </row>
    <row r="407" spans="1:2" x14ac:dyDescent="0.2">
      <c r="A407" s="1">
        <v>33848</v>
      </c>
      <c r="B407">
        <v>982700000000</v>
      </c>
    </row>
    <row r="408" spans="1:2" x14ac:dyDescent="0.2">
      <c r="A408" s="1">
        <v>33878</v>
      </c>
      <c r="B408">
        <v>1000800000000</v>
      </c>
    </row>
    <row r="409" spans="1:2" x14ac:dyDescent="0.2">
      <c r="A409" s="1">
        <v>33909</v>
      </c>
      <c r="B409">
        <v>1021400000000</v>
      </c>
    </row>
    <row r="410" spans="1:2" x14ac:dyDescent="0.2">
      <c r="A410" s="1">
        <v>33939</v>
      </c>
      <c r="B410">
        <v>1045599999999.9999</v>
      </c>
    </row>
    <row r="411" spans="1:2" x14ac:dyDescent="0.2">
      <c r="A411" s="1">
        <v>33970</v>
      </c>
      <c r="B411">
        <v>1039800000000</v>
      </c>
    </row>
    <row r="412" spans="1:2" x14ac:dyDescent="0.2">
      <c r="A412" s="1">
        <v>34001</v>
      </c>
      <c r="B412">
        <v>1021900000000</v>
      </c>
    </row>
    <row r="413" spans="1:2" x14ac:dyDescent="0.2">
      <c r="A413" s="1">
        <v>34029</v>
      </c>
      <c r="B413">
        <v>1030500000000</v>
      </c>
    </row>
    <row r="414" spans="1:2" x14ac:dyDescent="0.2">
      <c r="A414" s="1">
        <v>34060</v>
      </c>
      <c r="B414">
        <v>1057400000000.0001</v>
      </c>
    </row>
    <row r="415" spans="1:2" x14ac:dyDescent="0.2">
      <c r="A415" s="1">
        <v>34090</v>
      </c>
      <c r="B415">
        <v>1056800000000</v>
      </c>
    </row>
    <row r="416" spans="1:2" x14ac:dyDescent="0.2">
      <c r="A416" s="1">
        <v>34121</v>
      </c>
      <c r="B416">
        <v>1071800000000</v>
      </c>
    </row>
    <row r="417" spans="1:2" x14ac:dyDescent="0.2">
      <c r="A417" s="1">
        <v>34151</v>
      </c>
      <c r="B417">
        <v>1083099999999.9999</v>
      </c>
    </row>
    <row r="418" spans="1:2" x14ac:dyDescent="0.2">
      <c r="A418" s="1">
        <v>34182</v>
      </c>
      <c r="B418">
        <v>1088099999999.9999</v>
      </c>
    </row>
    <row r="419" spans="1:2" x14ac:dyDescent="0.2">
      <c r="A419" s="1">
        <v>34213</v>
      </c>
      <c r="B419">
        <v>1098800000000</v>
      </c>
    </row>
    <row r="420" spans="1:2" x14ac:dyDescent="0.2">
      <c r="A420" s="1">
        <v>34243</v>
      </c>
      <c r="B420">
        <v>1111600000000</v>
      </c>
    </row>
    <row r="421" spans="1:2" x14ac:dyDescent="0.2">
      <c r="A421" s="1">
        <v>34274</v>
      </c>
      <c r="B421">
        <v>1129000000000</v>
      </c>
    </row>
    <row r="422" spans="1:2" x14ac:dyDescent="0.2">
      <c r="A422" s="1">
        <v>34304</v>
      </c>
      <c r="B422">
        <v>1153300000000</v>
      </c>
    </row>
    <row r="423" spans="1:2" x14ac:dyDescent="0.2">
      <c r="A423" s="1">
        <v>34335</v>
      </c>
      <c r="B423">
        <v>1141700000000</v>
      </c>
    </row>
    <row r="424" spans="1:2" x14ac:dyDescent="0.2">
      <c r="A424" s="1">
        <v>34366</v>
      </c>
      <c r="B424">
        <v>1123800000000</v>
      </c>
    </row>
    <row r="425" spans="1:2" x14ac:dyDescent="0.2">
      <c r="A425" s="1">
        <v>34394</v>
      </c>
      <c r="B425">
        <v>1131100000000</v>
      </c>
    </row>
    <row r="426" spans="1:2" x14ac:dyDescent="0.2">
      <c r="A426" s="1">
        <v>34425</v>
      </c>
      <c r="B426">
        <v>1152200000000</v>
      </c>
    </row>
    <row r="427" spans="1:2" x14ac:dyDescent="0.2">
      <c r="A427" s="1">
        <v>34455</v>
      </c>
      <c r="B427">
        <v>1132000000000</v>
      </c>
    </row>
    <row r="428" spans="1:2" x14ac:dyDescent="0.2">
      <c r="A428" s="1">
        <v>34486</v>
      </c>
      <c r="B428">
        <v>1141800000000</v>
      </c>
    </row>
    <row r="429" spans="1:2" x14ac:dyDescent="0.2">
      <c r="A429" s="1">
        <v>34516</v>
      </c>
      <c r="B429">
        <v>1150900000000</v>
      </c>
    </row>
    <row r="430" spans="1:2" x14ac:dyDescent="0.2">
      <c r="A430" s="1">
        <v>34547</v>
      </c>
      <c r="B430">
        <v>1144100000000</v>
      </c>
    </row>
    <row r="431" spans="1:2" x14ac:dyDescent="0.2">
      <c r="A431" s="1">
        <v>34578</v>
      </c>
      <c r="B431">
        <v>1146400000000</v>
      </c>
    </row>
    <row r="432" spans="1:2" x14ac:dyDescent="0.2">
      <c r="A432" s="1">
        <v>34608</v>
      </c>
      <c r="B432">
        <v>1147900000000</v>
      </c>
    </row>
    <row r="433" spans="1:2" x14ac:dyDescent="0.2">
      <c r="A433" s="1">
        <v>34639</v>
      </c>
      <c r="B433">
        <v>1156200000000</v>
      </c>
    </row>
    <row r="434" spans="1:2" x14ac:dyDescent="0.2">
      <c r="A434" s="1">
        <v>34669</v>
      </c>
      <c r="B434">
        <v>1174500000000</v>
      </c>
    </row>
    <row r="435" spans="1:2" x14ac:dyDescent="0.2">
      <c r="A435" s="1">
        <v>34700</v>
      </c>
      <c r="B435">
        <v>1159500000000</v>
      </c>
    </row>
    <row r="436" spans="1:2" x14ac:dyDescent="0.2">
      <c r="A436" s="1">
        <v>34731</v>
      </c>
      <c r="B436">
        <v>1135300000000</v>
      </c>
    </row>
    <row r="437" spans="1:2" x14ac:dyDescent="0.2">
      <c r="A437" s="1">
        <v>34759</v>
      </c>
      <c r="B437">
        <v>1139300000000</v>
      </c>
    </row>
    <row r="438" spans="1:2" x14ac:dyDescent="0.2">
      <c r="A438" s="1">
        <v>34790</v>
      </c>
      <c r="B438">
        <v>1160300000000</v>
      </c>
    </row>
    <row r="439" spans="1:2" x14ac:dyDescent="0.2">
      <c r="A439" s="1">
        <v>34820</v>
      </c>
      <c r="B439">
        <v>1133900000000</v>
      </c>
    </row>
    <row r="440" spans="1:2" x14ac:dyDescent="0.2">
      <c r="A440" s="1">
        <v>34851</v>
      </c>
      <c r="B440">
        <v>1141000000000</v>
      </c>
    </row>
    <row r="441" spans="1:2" x14ac:dyDescent="0.2">
      <c r="A441" s="1">
        <v>34881</v>
      </c>
      <c r="B441">
        <v>1145700000000</v>
      </c>
    </row>
    <row r="442" spans="1:2" x14ac:dyDescent="0.2">
      <c r="A442" s="1">
        <v>34912</v>
      </c>
      <c r="B442">
        <v>1139300000000</v>
      </c>
    </row>
    <row r="443" spans="1:2" x14ac:dyDescent="0.2">
      <c r="A443" s="1">
        <v>34943</v>
      </c>
      <c r="B443">
        <v>1138400000000</v>
      </c>
    </row>
    <row r="444" spans="1:2" x14ac:dyDescent="0.2">
      <c r="A444" s="1">
        <v>34973</v>
      </c>
      <c r="B444">
        <v>1132900000000</v>
      </c>
    </row>
    <row r="445" spans="1:2" x14ac:dyDescent="0.2">
      <c r="A445" s="1">
        <v>35004</v>
      </c>
      <c r="B445">
        <v>1138600000000</v>
      </c>
    </row>
    <row r="446" spans="1:2" x14ac:dyDescent="0.2">
      <c r="A446" s="1">
        <v>35034</v>
      </c>
      <c r="B446">
        <v>1152700000000</v>
      </c>
    </row>
    <row r="447" spans="1:2" x14ac:dyDescent="0.2">
      <c r="A447" s="1">
        <v>35065</v>
      </c>
      <c r="B447">
        <v>1130200000000</v>
      </c>
    </row>
    <row r="448" spans="1:2" x14ac:dyDescent="0.2">
      <c r="A448" s="1">
        <v>35096</v>
      </c>
      <c r="B448">
        <v>1105800000000</v>
      </c>
    </row>
    <row r="449" spans="1:2" x14ac:dyDescent="0.2">
      <c r="A449" s="1">
        <v>35125</v>
      </c>
      <c r="B449">
        <v>1118000000000</v>
      </c>
    </row>
    <row r="450" spans="1:2" x14ac:dyDescent="0.2">
      <c r="A450" s="1">
        <v>35156</v>
      </c>
      <c r="B450">
        <v>1131800000000</v>
      </c>
    </row>
    <row r="451" spans="1:2" x14ac:dyDescent="0.2">
      <c r="A451" s="1">
        <v>35186</v>
      </c>
      <c r="B451">
        <v>1105900000000</v>
      </c>
    </row>
    <row r="452" spans="1:2" x14ac:dyDescent="0.2">
      <c r="A452" s="1">
        <v>35217</v>
      </c>
      <c r="B452">
        <v>1115000000000</v>
      </c>
    </row>
    <row r="453" spans="1:2" x14ac:dyDescent="0.2">
      <c r="A453" s="1">
        <v>35247</v>
      </c>
      <c r="B453">
        <v>1110700000000</v>
      </c>
    </row>
    <row r="454" spans="1:2" x14ac:dyDescent="0.2">
      <c r="A454" s="1">
        <v>35278</v>
      </c>
      <c r="B454">
        <v>1097700000000</v>
      </c>
    </row>
    <row r="455" spans="1:2" x14ac:dyDescent="0.2">
      <c r="A455" s="1">
        <v>35309</v>
      </c>
      <c r="B455">
        <v>1091700000000</v>
      </c>
    </row>
    <row r="456" spans="1:2" x14ac:dyDescent="0.2">
      <c r="A456" s="1">
        <v>35339</v>
      </c>
      <c r="B456">
        <v>1078400000000.0001</v>
      </c>
    </row>
    <row r="457" spans="1:2" x14ac:dyDescent="0.2">
      <c r="A457" s="1">
        <v>35370</v>
      </c>
      <c r="B457">
        <v>1087400000000.0001</v>
      </c>
    </row>
    <row r="458" spans="1:2" x14ac:dyDescent="0.2">
      <c r="A458" s="1">
        <v>35400</v>
      </c>
      <c r="B458">
        <v>1105800000000</v>
      </c>
    </row>
    <row r="459" spans="1:2" x14ac:dyDescent="0.2">
      <c r="A459" s="1">
        <v>35431</v>
      </c>
      <c r="B459">
        <v>1087900000000.0001</v>
      </c>
    </row>
    <row r="460" spans="1:2" x14ac:dyDescent="0.2">
      <c r="A460" s="1">
        <v>35462</v>
      </c>
      <c r="B460">
        <v>1066800000000</v>
      </c>
    </row>
    <row r="461" spans="1:2" x14ac:dyDescent="0.2">
      <c r="A461" s="1">
        <v>35490</v>
      </c>
      <c r="B461">
        <v>1069200000000</v>
      </c>
    </row>
    <row r="462" spans="1:2" x14ac:dyDescent="0.2">
      <c r="A462" s="1">
        <v>35521</v>
      </c>
      <c r="B462">
        <v>1074500000000</v>
      </c>
    </row>
    <row r="463" spans="1:2" x14ac:dyDescent="0.2">
      <c r="A463" s="1">
        <v>35551</v>
      </c>
      <c r="B463">
        <v>1054700000000</v>
      </c>
    </row>
    <row r="464" spans="1:2" x14ac:dyDescent="0.2">
      <c r="A464" s="1">
        <v>35582</v>
      </c>
      <c r="B464">
        <v>1064800000000</v>
      </c>
    </row>
    <row r="465" spans="1:2" x14ac:dyDescent="0.2">
      <c r="A465" s="1">
        <v>35612</v>
      </c>
      <c r="B465">
        <v>1065800000000</v>
      </c>
    </row>
    <row r="466" spans="1:2" x14ac:dyDescent="0.2">
      <c r="A466" s="1">
        <v>35643</v>
      </c>
      <c r="B466">
        <v>1069099999999.9999</v>
      </c>
    </row>
    <row r="467" spans="1:2" x14ac:dyDescent="0.2">
      <c r="A467" s="1">
        <v>35674</v>
      </c>
      <c r="B467">
        <v>1059500000000</v>
      </c>
    </row>
    <row r="468" spans="1:2" x14ac:dyDescent="0.2">
      <c r="A468" s="1">
        <v>35704</v>
      </c>
      <c r="B468">
        <v>1057599999999.9999</v>
      </c>
    </row>
    <row r="469" spans="1:2" x14ac:dyDescent="0.2">
      <c r="A469" s="1">
        <v>35735</v>
      </c>
      <c r="B469">
        <v>1074099999999.9999</v>
      </c>
    </row>
    <row r="470" spans="1:2" x14ac:dyDescent="0.2">
      <c r="A470" s="1">
        <v>35765</v>
      </c>
      <c r="B470">
        <v>1097500000000</v>
      </c>
    </row>
    <row r="471" spans="1:2" x14ac:dyDescent="0.2">
      <c r="A471" s="1">
        <v>35796</v>
      </c>
      <c r="B471">
        <v>1080200000000</v>
      </c>
    </row>
    <row r="472" spans="1:2" x14ac:dyDescent="0.2">
      <c r="A472" s="1">
        <v>35827</v>
      </c>
      <c r="B472">
        <v>1066200000000</v>
      </c>
    </row>
    <row r="473" spans="1:2" x14ac:dyDescent="0.2">
      <c r="A473" s="1">
        <v>35855</v>
      </c>
      <c r="B473">
        <v>1075900000000.0001</v>
      </c>
    </row>
    <row r="474" spans="1:2" x14ac:dyDescent="0.2">
      <c r="A474" s="1">
        <v>35886</v>
      </c>
      <c r="B474">
        <v>1087700000000</v>
      </c>
    </row>
    <row r="475" spans="1:2" x14ac:dyDescent="0.2">
      <c r="A475" s="1">
        <v>35916</v>
      </c>
      <c r="B475">
        <v>1070800000000</v>
      </c>
    </row>
    <row r="476" spans="1:2" x14ac:dyDescent="0.2">
      <c r="A476" s="1">
        <v>35947</v>
      </c>
      <c r="B476">
        <v>1075200000000</v>
      </c>
    </row>
    <row r="477" spans="1:2" x14ac:dyDescent="0.2">
      <c r="A477" s="1">
        <v>35977</v>
      </c>
      <c r="B477">
        <v>1074200000000</v>
      </c>
    </row>
    <row r="478" spans="1:2" x14ac:dyDescent="0.2">
      <c r="A478" s="1">
        <v>36008</v>
      </c>
      <c r="B478">
        <v>1069300000000</v>
      </c>
    </row>
    <row r="479" spans="1:2" x14ac:dyDescent="0.2">
      <c r="A479" s="1">
        <v>36039</v>
      </c>
      <c r="B479">
        <v>1070599999999.9999</v>
      </c>
    </row>
    <row r="480" spans="1:2" x14ac:dyDescent="0.2">
      <c r="A480" s="1">
        <v>36069</v>
      </c>
      <c r="B480">
        <v>1077400000000.0001</v>
      </c>
    </row>
    <row r="481" spans="1:2" x14ac:dyDescent="0.2">
      <c r="A481" s="1">
        <v>36100</v>
      </c>
      <c r="B481">
        <v>1098000000000</v>
      </c>
    </row>
    <row r="482" spans="1:2" x14ac:dyDescent="0.2">
      <c r="A482" s="1">
        <v>36130</v>
      </c>
      <c r="B482">
        <v>1121200000000</v>
      </c>
    </row>
    <row r="483" spans="1:2" x14ac:dyDescent="0.2">
      <c r="A483" s="1">
        <v>36161</v>
      </c>
      <c r="B483">
        <v>1103900000000</v>
      </c>
    </row>
    <row r="484" spans="1:2" x14ac:dyDescent="0.2">
      <c r="A484" s="1">
        <v>36192</v>
      </c>
      <c r="B484">
        <v>1085200000000</v>
      </c>
    </row>
    <row r="485" spans="1:2" x14ac:dyDescent="0.2">
      <c r="A485" s="1">
        <v>36220</v>
      </c>
      <c r="B485">
        <v>1097500000000</v>
      </c>
    </row>
    <row r="486" spans="1:2" x14ac:dyDescent="0.2">
      <c r="A486" s="1">
        <v>36251</v>
      </c>
      <c r="B486">
        <v>1113600000000</v>
      </c>
    </row>
    <row r="487" spans="1:2" x14ac:dyDescent="0.2">
      <c r="A487" s="1">
        <v>36281</v>
      </c>
      <c r="B487">
        <v>1096400000000.0001</v>
      </c>
    </row>
    <row r="488" spans="1:2" x14ac:dyDescent="0.2">
      <c r="A488" s="1">
        <v>36312</v>
      </c>
      <c r="B488">
        <v>1098200000000</v>
      </c>
    </row>
    <row r="489" spans="1:2" x14ac:dyDescent="0.2">
      <c r="A489" s="1">
        <v>36342</v>
      </c>
      <c r="B489">
        <v>1097200000000</v>
      </c>
    </row>
    <row r="490" spans="1:2" x14ac:dyDescent="0.2">
      <c r="A490" s="1">
        <v>36373</v>
      </c>
      <c r="B490">
        <v>1092800000000</v>
      </c>
    </row>
    <row r="491" spans="1:2" x14ac:dyDescent="0.2">
      <c r="A491" s="1">
        <v>36404</v>
      </c>
      <c r="B491">
        <v>1086200000000</v>
      </c>
    </row>
    <row r="492" spans="1:2" x14ac:dyDescent="0.2">
      <c r="A492" s="1">
        <v>36434</v>
      </c>
      <c r="B492">
        <v>1095099999999.9999</v>
      </c>
    </row>
    <row r="493" spans="1:2" x14ac:dyDescent="0.2">
      <c r="A493" s="1">
        <v>36465</v>
      </c>
      <c r="B493">
        <v>1113000000000</v>
      </c>
    </row>
    <row r="494" spans="1:2" x14ac:dyDescent="0.2">
      <c r="A494" s="1">
        <v>36495</v>
      </c>
      <c r="B494">
        <v>1148200000000</v>
      </c>
    </row>
    <row r="495" spans="1:2" x14ac:dyDescent="0.2">
      <c r="A495" s="1">
        <v>36526</v>
      </c>
      <c r="B495">
        <v>1126900000000</v>
      </c>
    </row>
    <row r="496" spans="1:2" x14ac:dyDescent="0.2">
      <c r="A496" s="1">
        <v>36557</v>
      </c>
      <c r="B496">
        <v>1097400000000.0001</v>
      </c>
    </row>
    <row r="497" spans="1:2" x14ac:dyDescent="0.2">
      <c r="A497" s="1">
        <v>36586</v>
      </c>
      <c r="B497">
        <v>1108900000000</v>
      </c>
    </row>
    <row r="498" spans="1:2" x14ac:dyDescent="0.2">
      <c r="A498" s="1">
        <v>36617</v>
      </c>
      <c r="B498">
        <v>1125700000000</v>
      </c>
    </row>
    <row r="499" spans="1:2" x14ac:dyDescent="0.2">
      <c r="A499" s="1">
        <v>36647</v>
      </c>
      <c r="B499">
        <v>1100400000000</v>
      </c>
    </row>
    <row r="500" spans="1:2" x14ac:dyDescent="0.2">
      <c r="A500" s="1">
        <v>36678</v>
      </c>
      <c r="B500">
        <v>1101800000000</v>
      </c>
    </row>
    <row r="501" spans="1:2" x14ac:dyDescent="0.2">
      <c r="A501" s="1">
        <v>36708</v>
      </c>
      <c r="B501">
        <v>1102800000000</v>
      </c>
    </row>
    <row r="502" spans="1:2" x14ac:dyDescent="0.2">
      <c r="A502" s="1">
        <v>36739</v>
      </c>
      <c r="B502">
        <v>1094500000000</v>
      </c>
    </row>
    <row r="503" spans="1:2" x14ac:dyDescent="0.2">
      <c r="A503" s="1">
        <v>36770</v>
      </c>
      <c r="B503">
        <v>1088800000000</v>
      </c>
    </row>
    <row r="504" spans="1:2" x14ac:dyDescent="0.2">
      <c r="A504" s="1">
        <v>36800</v>
      </c>
      <c r="B504">
        <v>1092200000000</v>
      </c>
    </row>
    <row r="505" spans="1:2" x14ac:dyDescent="0.2">
      <c r="A505" s="1">
        <v>36831</v>
      </c>
      <c r="B505">
        <v>1092099999999.9999</v>
      </c>
    </row>
    <row r="506" spans="1:2" x14ac:dyDescent="0.2">
      <c r="A506" s="1">
        <v>36861</v>
      </c>
      <c r="B506">
        <v>1111700000000</v>
      </c>
    </row>
    <row r="507" spans="1:2" x14ac:dyDescent="0.2">
      <c r="A507" s="1">
        <v>36892</v>
      </c>
      <c r="B507">
        <v>1100400000000</v>
      </c>
    </row>
    <row r="508" spans="1:2" x14ac:dyDescent="0.2">
      <c r="A508" s="1">
        <v>36923</v>
      </c>
      <c r="B508">
        <v>1089800000000</v>
      </c>
    </row>
    <row r="509" spans="1:2" x14ac:dyDescent="0.2">
      <c r="A509" s="1">
        <v>36951</v>
      </c>
      <c r="B509">
        <v>1111200000000</v>
      </c>
    </row>
    <row r="510" spans="1:2" x14ac:dyDescent="0.2">
      <c r="A510" s="1">
        <v>36982</v>
      </c>
      <c r="B510">
        <v>1126700000000</v>
      </c>
    </row>
    <row r="511" spans="1:2" x14ac:dyDescent="0.2">
      <c r="A511" s="1">
        <v>37012</v>
      </c>
      <c r="B511">
        <v>1114700000000</v>
      </c>
    </row>
    <row r="512" spans="1:2" x14ac:dyDescent="0.2">
      <c r="A512" s="1">
        <v>37043</v>
      </c>
      <c r="B512">
        <v>1126300000000</v>
      </c>
    </row>
    <row r="513" spans="1:2" x14ac:dyDescent="0.2">
      <c r="A513" s="1">
        <v>37073</v>
      </c>
      <c r="B513">
        <v>1139700000000</v>
      </c>
    </row>
    <row r="514" spans="1:2" x14ac:dyDescent="0.2">
      <c r="A514" s="1">
        <v>37104</v>
      </c>
      <c r="B514">
        <v>1144500000000</v>
      </c>
    </row>
    <row r="515" spans="1:2" x14ac:dyDescent="0.2">
      <c r="A515" s="1">
        <v>37135</v>
      </c>
      <c r="B515">
        <v>1193600000000</v>
      </c>
    </row>
    <row r="516" spans="1:2" x14ac:dyDescent="0.2">
      <c r="A516" s="1">
        <v>37165</v>
      </c>
      <c r="B516">
        <v>1159200000000</v>
      </c>
    </row>
    <row r="517" spans="1:2" x14ac:dyDescent="0.2">
      <c r="A517" s="1">
        <v>37196</v>
      </c>
      <c r="B517">
        <v>1169000000000</v>
      </c>
    </row>
    <row r="518" spans="1:2" x14ac:dyDescent="0.2">
      <c r="A518" s="1">
        <v>37226</v>
      </c>
      <c r="B518">
        <v>1208500000000</v>
      </c>
    </row>
    <row r="519" spans="1:2" x14ac:dyDescent="0.2">
      <c r="A519" s="1">
        <v>37257</v>
      </c>
      <c r="B519">
        <v>1191800000000</v>
      </c>
    </row>
    <row r="520" spans="1:2" x14ac:dyDescent="0.2">
      <c r="A520" s="1">
        <v>37288</v>
      </c>
      <c r="B520">
        <v>1178300000000</v>
      </c>
    </row>
    <row r="521" spans="1:2" x14ac:dyDescent="0.2">
      <c r="A521" s="1">
        <v>37316</v>
      </c>
      <c r="B521">
        <v>1196800000000</v>
      </c>
    </row>
    <row r="522" spans="1:2" x14ac:dyDescent="0.2">
      <c r="A522" s="1">
        <v>37347</v>
      </c>
      <c r="B522">
        <v>1196900000000</v>
      </c>
    </row>
    <row r="523" spans="1:2" x14ac:dyDescent="0.2">
      <c r="A523" s="1">
        <v>37377</v>
      </c>
      <c r="B523">
        <v>1186000000000</v>
      </c>
    </row>
    <row r="524" spans="1:2" x14ac:dyDescent="0.2">
      <c r="A524" s="1">
        <v>37408</v>
      </c>
      <c r="B524">
        <v>1194700000000</v>
      </c>
    </row>
    <row r="525" spans="1:2" x14ac:dyDescent="0.2">
      <c r="A525" s="1">
        <v>37438</v>
      </c>
      <c r="B525">
        <v>1200400000000</v>
      </c>
    </row>
    <row r="526" spans="1:2" x14ac:dyDescent="0.2">
      <c r="A526" s="1">
        <v>37469</v>
      </c>
      <c r="B526">
        <v>1182300000000</v>
      </c>
    </row>
    <row r="527" spans="1:2" x14ac:dyDescent="0.2">
      <c r="A527" s="1">
        <v>37500</v>
      </c>
      <c r="B527">
        <v>1185800000000</v>
      </c>
    </row>
    <row r="528" spans="1:2" x14ac:dyDescent="0.2">
      <c r="A528" s="1">
        <v>37530</v>
      </c>
      <c r="B528">
        <v>1196600000000</v>
      </c>
    </row>
    <row r="529" spans="1:2" x14ac:dyDescent="0.2">
      <c r="A529" s="1">
        <v>37561</v>
      </c>
      <c r="B529">
        <v>1205300000000</v>
      </c>
    </row>
    <row r="530" spans="1:2" x14ac:dyDescent="0.2">
      <c r="A530" s="1">
        <v>37591</v>
      </c>
      <c r="B530">
        <v>1245500000000</v>
      </c>
    </row>
    <row r="531" spans="1:2" x14ac:dyDescent="0.2">
      <c r="A531" s="1">
        <v>37622</v>
      </c>
      <c r="B531">
        <v>1225500000000</v>
      </c>
    </row>
    <row r="532" spans="1:2" x14ac:dyDescent="0.2">
      <c r="A532" s="1">
        <v>37653</v>
      </c>
      <c r="B532">
        <v>1225500000000</v>
      </c>
    </row>
    <row r="533" spans="1:2" x14ac:dyDescent="0.2">
      <c r="A533" s="1">
        <v>37681</v>
      </c>
      <c r="B533">
        <v>1245100000000</v>
      </c>
    </row>
    <row r="534" spans="1:2" x14ac:dyDescent="0.2">
      <c r="A534" s="1">
        <v>37712</v>
      </c>
      <c r="B534">
        <v>1259600000000</v>
      </c>
    </row>
    <row r="535" spans="1:2" x14ac:dyDescent="0.2">
      <c r="A535" s="1">
        <v>37742</v>
      </c>
      <c r="B535">
        <v>1266600000000</v>
      </c>
    </row>
    <row r="536" spans="1:2" x14ac:dyDescent="0.2">
      <c r="A536" s="1">
        <v>37773</v>
      </c>
      <c r="B536">
        <v>1284700000000</v>
      </c>
    </row>
    <row r="537" spans="1:2" x14ac:dyDescent="0.2">
      <c r="A537" s="1">
        <v>37803</v>
      </c>
      <c r="B537">
        <v>1287900000000</v>
      </c>
    </row>
    <row r="538" spans="1:2" x14ac:dyDescent="0.2">
      <c r="A538" s="1">
        <v>37834</v>
      </c>
      <c r="B538">
        <v>1292200000000</v>
      </c>
    </row>
    <row r="539" spans="1:2" x14ac:dyDescent="0.2">
      <c r="A539" s="1">
        <v>37865</v>
      </c>
      <c r="B539">
        <v>1286200000000</v>
      </c>
    </row>
    <row r="540" spans="1:2" x14ac:dyDescent="0.2">
      <c r="A540" s="1">
        <v>37895</v>
      </c>
      <c r="B540">
        <v>1288800000000</v>
      </c>
    </row>
    <row r="541" spans="1:2" x14ac:dyDescent="0.2">
      <c r="A541" s="1">
        <v>37926</v>
      </c>
      <c r="B541">
        <v>1293900000000</v>
      </c>
    </row>
    <row r="542" spans="1:2" x14ac:dyDescent="0.2">
      <c r="A542" s="1">
        <v>37956</v>
      </c>
      <c r="B542">
        <v>1332500000000</v>
      </c>
    </row>
    <row r="543" spans="1:2" x14ac:dyDescent="0.2">
      <c r="A543" s="1">
        <v>37987</v>
      </c>
      <c r="B543">
        <v>1301800000000</v>
      </c>
    </row>
    <row r="544" spans="1:2" x14ac:dyDescent="0.2">
      <c r="A544" s="1">
        <v>38018</v>
      </c>
      <c r="B544">
        <v>1306700000000</v>
      </c>
    </row>
    <row r="545" spans="1:2" x14ac:dyDescent="0.2">
      <c r="A545" s="1">
        <v>38047</v>
      </c>
      <c r="B545">
        <v>1337900000000</v>
      </c>
    </row>
    <row r="546" spans="1:2" x14ac:dyDescent="0.2">
      <c r="A546" s="1">
        <v>38078</v>
      </c>
      <c r="B546">
        <v>1343200000000</v>
      </c>
    </row>
    <row r="547" spans="1:2" x14ac:dyDescent="0.2">
      <c r="A547" s="1">
        <v>38108</v>
      </c>
      <c r="B547">
        <v>1333400000000</v>
      </c>
    </row>
    <row r="548" spans="1:2" x14ac:dyDescent="0.2">
      <c r="A548" s="1">
        <v>38139</v>
      </c>
      <c r="B548">
        <v>1347700000000</v>
      </c>
    </row>
    <row r="549" spans="1:2" x14ac:dyDescent="0.2">
      <c r="A549" s="1">
        <v>38169</v>
      </c>
      <c r="B549">
        <v>1338800000000</v>
      </c>
    </row>
    <row r="550" spans="1:2" x14ac:dyDescent="0.2">
      <c r="A550" s="1">
        <v>38200</v>
      </c>
      <c r="B550">
        <v>1352600000000</v>
      </c>
    </row>
    <row r="551" spans="1:2" x14ac:dyDescent="0.2">
      <c r="A551" s="1">
        <v>38231</v>
      </c>
      <c r="B551">
        <v>1349100000000</v>
      </c>
    </row>
    <row r="552" spans="1:2" x14ac:dyDescent="0.2">
      <c r="A552" s="1">
        <v>38261</v>
      </c>
      <c r="B552">
        <v>1351400000000</v>
      </c>
    </row>
    <row r="553" spans="1:2" x14ac:dyDescent="0.2">
      <c r="A553" s="1">
        <v>38292</v>
      </c>
      <c r="B553">
        <v>1371000000000</v>
      </c>
    </row>
    <row r="554" spans="1:2" x14ac:dyDescent="0.2">
      <c r="A554" s="1">
        <v>38322</v>
      </c>
      <c r="B554">
        <v>1401500000000</v>
      </c>
    </row>
    <row r="555" spans="1:2" x14ac:dyDescent="0.2">
      <c r="A555" s="1">
        <v>38353</v>
      </c>
      <c r="B555">
        <v>1361500000000</v>
      </c>
    </row>
    <row r="556" spans="1:2" x14ac:dyDescent="0.2">
      <c r="A556" s="1">
        <v>38384</v>
      </c>
      <c r="B556">
        <v>1355000000000</v>
      </c>
    </row>
    <row r="557" spans="1:2" x14ac:dyDescent="0.2">
      <c r="A557" s="1">
        <v>38412</v>
      </c>
      <c r="B557">
        <v>1381700000000</v>
      </c>
    </row>
    <row r="558" spans="1:2" x14ac:dyDescent="0.2">
      <c r="A558" s="1">
        <v>38443</v>
      </c>
      <c r="B558">
        <v>1369400000000</v>
      </c>
    </row>
    <row r="559" spans="1:2" x14ac:dyDescent="0.2">
      <c r="A559" s="1">
        <v>38473</v>
      </c>
      <c r="B559">
        <v>1369500000000</v>
      </c>
    </row>
    <row r="560" spans="1:2" x14ac:dyDescent="0.2">
      <c r="A560" s="1">
        <v>38504</v>
      </c>
      <c r="B560">
        <v>1384300000000</v>
      </c>
    </row>
    <row r="561" spans="1:2" x14ac:dyDescent="0.2">
      <c r="A561" s="1">
        <v>38534</v>
      </c>
      <c r="B561">
        <v>1365400000000</v>
      </c>
    </row>
    <row r="562" spans="1:2" x14ac:dyDescent="0.2">
      <c r="A562" s="1">
        <v>38565</v>
      </c>
      <c r="B562">
        <v>1376900000000</v>
      </c>
    </row>
    <row r="563" spans="1:2" x14ac:dyDescent="0.2">
      <c r="A563" s="1">
        <v>38596</v>
      </c>
      <c r="B563">
        <v>1363500000000</v>
      </c>
    </row>
    <row r="564" spans="1:2" x14ac:dyDescent="0.2">
      <c r="A564" s="1">
        <v>38626</v>
      </c>
      <c r="B564">
        <v>1365400000000</v>
      </c>
    </row>
    <row r="565" spans="1:2" x14ac:dyDescent="0.2">
      <c r="A565" s="1">
        <v>38657</v>
      </c>
      <c r="B565">
        <v>1373600000000</v>
      </c>
    </row>
    <row r="566" spans="1:2" x14ac:dyDescent="0.2">
      <c r="A566" s="1">
        <v>38687</v>
      </c>
      <c r="B566">
        <v>1397200000000</v>
      </c>
    </row>
    <row r="567" spans="1:2" x14ac:dyDescent="0.2">
      <c r="A567" s="1">
        <v>38718</v>
      </c>
      <c r="B567">
        <v>1375500000000</v>
      </c>
    </row>
    <row r="568" spans="1:2" x14ac:dyDescent="0.2">
      <c r="A568" s="1">
        <v>38749</v>
      </c>
      <c r="B568">
        <v>1362000000000</v>
      </c>
    </row>
    <row r="569" spans="1:2" x14ac:dyDescent="0.2">
      <c r="A569" s="1">
        <v>38777</v>
      </c>
      <c r="B569">
        <v>1394700000000</v>
      </c>
    </row>
    <row r="570" spans="1:2" x14ac:dyDescent="0.2">
      <c r="A570" s="1">
        <v>38808</v>
      </c>
      <c r="B570">
        <v>1393600000000</v>
      </c>
    </row>
    <row r="571" spans="1:2" x14ac:dyDescent="0.2">
      <c r="A571" s="1">
        <v>38838</v>
      </c>
      <c r="B571">
        <v>1392100000000</v>
      </c>
    </row>
    <row r="572" spans="1:2" x14ac:dyDescent="0.2">
      <c r="A572" s="1">
        <v>38869</v>
      </c>
      <c r="B572">
        <v>1379000000000</v>
      </c>
    </row>
    <row r="573" spans="1:2" x14ac:dyDescent="0.2">
      <c r="A573" s="1">
        <v>38899</v>
      </c>
      <c r="B573">
        <v>1368600000000</v>
      </c>
    </row>
    <row r="574" spans="1:2" x14ac:dyDescent="0.2">
      <c r="A574" s="1">
        <v>38930</v>
      </c>
      <c r="B574">
        <v>1370600000000</v>
      </c>
    </row>
    <row r="575" spans="1:2" x14ac:dyDescent="0.2">
      <c r="A575" s="1">
        <v>38961</v>
      </c>
      <c r="B575">
        <v>1347400000000</v>
      </c>
    </row>
    <row r="576" spans="1:2" x14ac:dyDescent="0.2">
      <c r="A576" s="1">
        <v>38991</v>
      </c>
      <c r="B576">
        <v>1360300000000</v>
      </c>
    </row>
    <row r="577" spans="1:2" x14ac:dyDescent="0.2">
      <c r="A577" s="1">
        <v>39022</v>
      </c>
      <c r="B577">
        <v>1368500000000</v>
      </c>
    </row>
    <row r="578" spans="1:2" x14ac:dyDescent="0.2">
      <c r="A578" s="1">
        <v>39052</v>
      </c>
      <c r="B578">
        <v>1387700000000</v>
      </c>
    </row>
    <row r="579" spans="1:2" x14ac:dyDescent="0.2">
      <c r="A579" s="1">
        <v>39083</v>
      </c>
      <c r="B579">
        <v>1369000000000</v>
      </c>
    </row>
    <row r="580" spans="1:2" x14ac:dyDescent="0.2">
      <c r="A580" s="1">
        <v>39114</v>
      </c>
      <c r="B580">
        <v>1347500000000</v>
      </c>
    </row>
    <row r="581" spans="1:2" x14ac:dyDescent="0.2">
      <c r="A581" s="1">
        <v>39142</v>
      </c>
      <c r="B581">
        <v>1378400000000</v>
      </c>
    </row>
    <row r="582" spans="1:2" x14ac:dyDescent="0.2">
      <c r="A582" s="1">
        <v>39173</v>
      </c>
      <c r="B582">
        <v>1392300000000</v>
      </c>
    </row>
    <row r="583" spans="1:2" x14ac:dyDescent="0.2">
      <c r="A583" s="1">
        <v>39203</v>
      </c>
      <c r="B583">
        <v>1385600000000</v>
      </c>
    </row>
    <row r="584" spans="1:2" x14ac:dyDescent="0.2">
      <c r="A584" s="1">
        <v>39234</v>
      </c>
      <c r="B584">
        <v>1370800000000</v>
      </c>
    </row>
    <row r="585" spans="1:2" x14ac:dyDescent="0.2">
      <c r="A585" s="1">
        <v>39264</v>
      </c>
      <c r="B585">
        <v>1368600000000</v>
      </c>
    </row>
    <row r="586" spans="1:2" x14ac:dyDescent="0.2">
      <c r="A586" s="1">
        <v>39295</v>
      </c>
      <c r="B586">
        <v>1372800000000</v>
      </c>
    </row>
    <row r="587" spans="1:2" x14ac:dyDescent="0.2">
      <c r="A587" s="1">
        <v>39326</v>
      </c>
      <c r="B587">
        <v>1356300000000</v>
      </c>
    </row>
    <row r="588" spans="1:2" x14ac:dyDescent="0.2">
      <c r="A588" s="1">
        <v>39356</v>
      </c>
      <c r="B588">
        <v>1369400000000</v>
      </c>
    </row>
    <row r="589" spans="1:2" x14ac:dyDescent="0.2">
      <c r="A589" s="1">
        <v>39387</v>
      </c>
      <c r="B589">
        <v>1370500000000</v>
      </c>
    </row>
    <row r="590" spans="1:2" x14ac:dyDescent="0.2">
      <c r="A590" s="1">
        <v>39417</v>
      </c>
      <c r="B590">
        <v>1394900000000</v>
      </c>
    </row>
    <row r="591" spans="1:2" x14ac:dyDescent="0.2">
      <c r="A591" s="1">
        <v>39448</v>
      </c>
      <c r="B591">
        <v>1375900000000</v>
      </c>
    </row>
    <row r="592" spans="1:2" x14ac:dyDescent="0.2">
      <c r="A592" s="1">
        <v>39479</v>
      </c>
      <c r="B592">
        <v>1365900000000</v>
      </c>
    </row>
    <row r="593" spans="1:2" x14ac:dyDescent="0.2">
      <c r="A593" s="1">
        <v>39508</v>
      </c>
      <c r="B593">
        <v>1401100000000</v>
      </c>
    </row>
    <row r="594" spans="1:2" x14ac:dyDescent="0.2">
      <c r="A594" s="1">
        <v>39539</v>
      </c>
      <c r="B594">
        <v>1406600000000</v>
      </c>
    </row>
    <row r="595" spans="1:2" x14ac:dyDescent="0.2">
      <c r="A595" s="1">
        <v>39569</v>
      </c>
      <c r="B595">
        <v>1396500000000</v>
      </c>
    </row>
    <row r="596" spans="1:2" x14ac:dyDescent="0.2">
      <c r="A596" s="1">
        <v>39600</v>
      </c>
      <c r="B596">
        <v>1407300000000</v>
      </c>
    </row>
    <row r="597" spans="1:2" x14ac:dyDescent="0.2">
      <c r="A597" s="1">
        <v>39630</v>
      </c>
      <c r="B597">
        <v>1417700000000</v>
      </c>
    </row>
    <row r="598" spans="1:2" x14ac:dyDescent="0.2">
      <c r="A598" s="1">
        <v>39661</v>
      </c>
      <c r="B598">
        <v>1401300000000</v>
      </c>
    </row>
    <row r="599" spans="1:2" x14ac:dyDescent="0.2">
      <c r="A599" s="1">
        <v>39692</v>
      </c>
      <c r="B599">
        <v>1441500000000</v>
      </c>
    </row>
    <row r="600" spans="1:2" x14ac:dyDescent="0.2">
      <c r="A600" s="1">
        <v>39722</v>
      </c>
      <c r="B600">
        <v>1462600000000</v>
      </c>
    </row>
    <row r="601" spans="1:2" x14ac:dyDescent="0.2">
      <c r="A601" s="1">
        <v>39753</v>
      </c>
      <c r="B601">
        <v>1513700000000</v>
      </c>
    </row>
    <row r="602" spans="1:2" x14ac:dyDescent="0.2">
      <c r="A602" s="1">
        <v>39783</v>
      </c>
      <c r="B602">
        <v>1632300000000</v>
      </c>
    </row>
    <row r="603" spans="1:2" x14ac:dyDescent="0.2">
      <c r="A603" s="1">
        <v>39814</v>
      </c>
      <c r="B603">
        <v>1580700000000</v>
      </c>
    </row>
    <row r="604" spans="1:2" x14ac:dyDescent="0.2">
      <c r="A604" s="1">
        <v>39845</v>
      </c>
      <c r="B604">
        <v>1552000000000</v>
      </c>
    </row>
    <row r="605" spans="1:2" x14ac:dyDescent="0.2">
      <c r="A605" s="1">
        <v>39873</v>
      </c>
      <c r="B605">
        <v>1594900000000</v>
      </c>
    </row>
    <row r="606" spans="1:2" x14ac:dyDescent="0.2">
      <c r="A606" s="1">
        <v>39904</v>
      </c>
      <c r="B606">
        <v>1627700000000</v>
      </c>
    </row>
    <row r="607" spans="1:2" x14ac:dyDescent="0.2">
      <c r="A607" s="1">
        <v>39934</v>
      </c>
      <c r="B607">
        <v>1617900000000</v>
      </c>
    </row>
    <row r="608" spans="1:2" x14ac:dyDescent="0.2">
      <c r="A608" s="1">
        <v>39965</v>
      </c>
      <c r="B608">
        <v>1661700000000</v>
      </c>
    </row>
    <row r="609" spans="1:2" x14ac:dyDescent="0.2">
      <c r="A609" s="1">
        <v>39995</v>
      </c>
      <c r="B609">
        <v>1657600000000</v>
      </c>
    </row>
    <row r="610" spans="1:2" x14ac:dyDescent="0.2">
      <c r="A610" s="1">
        <v>40026</v>
      </c>
      <c r="B610">
        <v>1651300000000</v>
      </c>
    </row>
    <row r="611" spans="1:2" x14ac:dyDescent="0.2">
      <c r="A611" s="1">
        <v>40057</v>
      </c>
      <c r="B611">
        <v>1641000000000</v>
      </c>
    </row>
    <row r="612" spans="1:2" x14ac:dyDescent="0.2">
      <c r="A612" s="1">
        <v>40087</v>
      </c>
      <c r="B612">
        <v>1664300000000</v>
      </c>
    </row>
    <row r="613" spans="1:2" x14ac:dyDescent="0.2">
      <c r="A613" s="1">
        <v>40118</v>
      </c>
      <c r="B613">
        <v>1683100000000</v>
      </c>
    </row>
    <row r="614" spans="1:2" x14ac:dyDescent="0.2">
      <c r="A614" s="1">
        <v>40148</v>
      </c>
      <c r="B614">
        <v>1724400000000</v>
      </c>
    </row>
    <row r="615" spans="1:2" x14ac:dyDescent="0.2">
      <c r="A615" s="1">
        <v>40179</v>
      </c>
      <c r="B615">
        <v>1674200000000</v>
      </c>
    </row>
    <row r="616" spans="1:2" x14ac:dyDescent="0.2">
      <c r="A616" s="1">
        <v>40210</v>
      </c>
      <c r="B616">
        <v>1685200000000</v>
      </c>
    </row>
    <row r="617" spans="1:2" x14ac:dyDescent="0.2">
      <c r="A617" s="1">
        <v>40238</v>
      </c>
      <c r="B617">
        <v>1729500000000</v>
      </c>
    </row>
    <row r="618" spans="1:2" x14ac:dyDescent="0.2">
      <c r="A618" s="1">
        <v>40269</v>
      </c>
      <c r="B618">
        <v>1716000000000</v>
      </c>
    </row>
    <row r="619" spans="1:2" x14ac:dyDescent="0.2">
      <c r="A619" s="1">
        <v>40299</v>
      </c>
      <c r="B619">
        <v>1708200000000</v>
      </c>
    </row>
    <row r="620" spans="1:2" x14ac:dyDescent="0.2">
      <c r="A620" s="1">
        <v>40330</v>
      </c>
      <c r="B620">
        <v>1732300000000</v>
      </c>
    </row>
    <row r="621" spans="1:2" x14ac:dyDescent="0.2">
      <c r="A621" s="1">
        <v>40360</v>
      </c>
      <c r="B621">
        <v>1718400000000</v>
      </c>
    </row>
    <row r="622" spans="1:2" x14ac:dyDescent="0.2">
      <c r="A622" s="1">
        <v>40391</v>
      </c>
      <c r="B622">
        <v>1739600000000</v>
      </c>
    </row>
    <row r="623" spans="1:2" x14ac:dyDescent="0.2">
      <c r="A623" s="1">
        <v>40422</v>
      </c>
      <c r="B623">
        <v>1741400000000</v>
      </c>
    </row>
    <row r="624" spans="1:2" x14ac:dyDescent="0.2">
      <c r="A624" s="1">
        <v>40452</v>
      </c>
      <c r="B624">
        <v>1767400000000</v>
      </c>
    </row>
    <row r="625" spans="1:2" x14ac:dyDescent="0.2">
      <c r="A625" s="1">
        <v>40483</v>
      </c>
      <c r="B625">
        <v>1828700000000</v>
      </c>
    </row>
    <row r="626" spans="1:2" x14ac:dyDescent="0.2">
      <c r="A626" s="1">
        <v>40513</v>
      </c>
      <c r="B626">
        <v>1871400000000</v>
      </c>
    </row>
    <row r="627" spans="1:2" x14ac:dyDescent="0.2">
      <c r="A627" s="1">
        <v>40544</v>
      </c>
      <c r="B627">
        <v>1855600000000</v>
      </c>
    </row>
    <row r="628" spans="1:2" x14ac:dyDescent="0.2">
      <c r="A628" s="1">
        <v>40575</v>
      </c>
      <c r="B628">
        <v>1858700000000</v>
      </c>
    </row>
    <row r="629" spans="1:2" x14ac:dyDescent="0.2">
      <c r="A629" s="1">
        <v>40603</v>
      </c>
      <c r="B629">
        <v>1909400000000</v>
      </c>
    </row>
    <row r="630" spans="1:2" x14ac:dyDescent="0.2">
      <c r="A630" s="1">
        <v>40634</v>
      </c>
      <c r="B630">
        <v>1918000000000</v>
      </c>
    </row>
    <row r="631" spans="1:2" x14ac:dyDescent="0.2">
      <c r="A631" s="1">
        <v>40664</v>
      </c>
      <c r="B631">
        <v>1934200000000</v>
      </c>
    </row>
    <row r="632" spans="1:2" x14ac:dyDescent="0.2">
      <c r="A632" s="1">
        <v>40695</v>
      </c>
      <c r="B632">
        <v>1954100000000</v>
      </c>
    </row>
    <row r="633" spans="1:2" x14ac:dyDescent="0.2">
      <c r="A633" s="1">
        <v>40725</v>
      </c>
      <c r="B633">
        <v>1994500000000</v>
      </c>
    </row>
    <row r="634" spans="1:2" x14ac:dyDescent="0.2">
      <c r="A634" s="1">
        <v>40756</v>
      </c>
      <c r="B634">
        <v>2101900000000</v>
      </c>
    </row>
    <row r="635" spans="1:2" x14ac:dyDescent="0.2">
      <c r="A635" s="1">
        <v>40787</v>
      </c>
      <c r="B635">
        <v>2099100000000</v>
      </c>
    </row>
    <row r="636" spans="1:2" x14ac:dyDescent="0.2">
      <c r="A636" s="1">
        <v>40817</v>
      </c>
      <c r="B636">
        <v>2128100000000</v>
      </c>
    </row>
    <row r="637" spans="1:2" x14ac:dyDescent="0.2">
      <c r="A637" s="1">
        <v>40848</v>
      </c>
      <c r="B637">
        <v>2164400000000</v>
      </c>
    </row>
    <row r="638" spans="1:2" x14ac:dyDescent="0.2">
      <c r="A638" s="1">
        <v>40878</v>
      </c>
      <c r="B638">
        <v>2208100000000</v>
      </c>
    </row>
    <row r="639" spans="1:2" x14ac:dyDescent="0.2">
      <c r="A639" s="1">
        <v>40909</v>
      </c>
      <c r="B639">
        <v>2209200000000</v>
      </c>
    </row>
    <row r="640" spans="1:2" x14ac:dyDescent="0.2">
      <c r="A640" s="1">
        <v>40940</v>
      </c>
      <c r="B640">
        <v>2194500000000</v>
      </c>
    </row>
    <row r="641" spans="1:2" x14ac:dyDescent="0.2">
      <c r="A641" s="1">
        <v>40969</v>
      </c>
      <c r="B641">
        <v>2246000000000</v>
      </c>
    </row>
    <row r="642" spans="1:2" x14ac:dyDescent="0.2">
      <c r="A642" s="1">
        <v>41000</v>
      </c>
      <c r="B642">
        <v>2268600000000</v>
      </c>
    </row>
    <row r="643" spans="1:2" x14ac:dyDescent="0.2">
      <c r="A643" s="1">
        <v>41030</v>
      </c>
      <c r="B643">
        <v>2248400000000</v>
      </c>
    </row>
    <row r="644" spans="1:2" x14ac:dyDescent="0.2">
      <c r="A644" s="1">
        <v>41061</v>
      </c>
      <c r="B644">
        <v>2271000000000</v>
      </c>
    </row>
    <row r="645" spans="1:2" x14ac:dyDescent="0.2">
      <c r="A645" s="1">
        <v>41091</v>
      </c>
      <c r="B645">
        <v>2314600000000</v>
      </c>
    </row>
    <row r="646" spans="1:2" x14ac:dyDescent="0.2">
      <c r="A646" s="1">
        <v>41122</v>
      </c>
      <c r="B646">
        <v>2334600000000</v>
      </c>
    </row>
    <row r="647" spans="1:2" x14ac:dyDescent="0.2">
      <c r="A647" s="1">
        <v>41153</v>
      </c>
      <c r="B647">
        <v>2358000000000</v>
      </c>
    </row>
    <row r="648" spans="1:2" x14ac:dyDescent="0.2">
      <c r="A648" s="1">
        <v>41183</v>
      </c>
      <c r="B648">
        <v>2416200000000</v>
      </c>
    </row>
    <row r="649" spans="1:2" x14ac:dyDescent="0.2">
      <c r="A649" s="1">
        <v>41214</v>
      </c>
      <c r="B649">
        <v>2415200000000</v>
      </c>
    </row>
    <row r="650" spans="1:2" x14ac:dyDescent="0.2">
      <c r="A650" s="1">
        <v>41244</v>
      </c>
      <c r="B650">
        <v>2509700000000</v>
      </c>
    </row>
    <row r="651" spans="1:2" x14ac:dyDescent="0.2">
      <c r="A651" s="1">
        <v>41275</v>
      </c>
      <c r="B651">
        <v>2481300000000</v>
      </c>
    </row>
    <row r="652" spans="1:2" x14ac:dyDescent="0.2">
      <c r="A652" s="1">
        <v>41306</v>
      </c>
      <c r="B652">
        <v>2455700000000</v>
      </c>
    </row>
    <row r="653" spans="1:2" x14ac:dyDescent="0.2">
      <c r="A653" s="1">
        <v>41334</v>
      </c>
      <c r="B653">
        <v>2497200000000</v>
      </c>
    </row>
    <row r="654" spans="1:2" x14ac:dyDescent="0.2">
      <c r="A654" s="1">
        <v>41365</v>
      </c>
      <c r="B654">
        <v>2542300000000</v>
      </c>
    </row>
    <row r="655" spans="1:2" x14ac:dyDescent="0.2">
      <c r="A655" s="1">
        <v>41395</v>
      </c>
      <c r="B655">
        <v>2518500000000</v>
      </c>
    </row>
    <row r="656" spans="1:2" x14ac:dyDescent="0.2">
      <c r="A656" s="1">
        <v>41426</v>
      </c>
      <c r="B656">
        <v>2523500000000</v>
      </c>
    </row>
    <row r="657" spans="1:2" x14ac:dyDescent="0.2">
      <c r="A657" s="1">
        <v>41456</v>
      </c>
      <c r="B657">
        <v>2543700000000</v>
      </c>
    </row>
    <row r="658" spans="1:2" x14ac:dyDescent="0.2">
      <c r="A658" s="1">
        <v>41487</v>
      </c>
      <c r="B658">
        <v>2537400000000</v>
      </c>
    </row>
    <row r="659" spans="1:2" x14ac:dyDescent="0.2">
      <c r="A659" s="1">
        <v>41518</v>
      </c>
      <c r="B659">
        <v>2555800000000</v>
      </c>
    </row>
    <row r="660" spans="1:2" x14ac:dyDescent="0.2">
      <c r="A660" s="1">
        <v>41548</v>
      </c>
      <c r="B660">
        <v>2618400000000</v>
      </c>
    </row>
    <row r="661" spans="1:2" x14ac:dyDescent="0.2">
      <c r="A661" s="1">
        <v>41579</v>
      </c>
      <c r="B661">
        <v>2607200000000</v>
      </c>
    </row>
    <row r="662" spans="1:2" x14ac:dyDescent="0.2">
      <c r="A662" s="1">
        <v>41609</v>
      </c>
      <c r="B662">
        <v>2715700000000</v>
      </c>
    </row>
    <row r="663" spans="1:2" x14ac:dyDescent="0.2">
      <c r="A663" s="1">
        <v>41640</v>
      </c>
      <c r="B663">
        <v>2701700000000</v>
      </c>
    </row>
    <row r="664" spans="1:2" x14ac:dyDescent="0.2">
      <c r="A664" s="1">
        <v>41671</v>
      </c>
      <c r="B664">
        <v>2706200000000</v>
      </c>
    </row>
    <row r="665" spans="1:2" x14ac:dyDescent="0.2">
      <c r="A665" s="1">
        <v>41699</v>
      </c>
      <c r="B665">
        <v>2773300000000</v>
      </c>
    </row>
    <row r="666" spans="1:2" x14ac:dyDescent="0.2">
      <c r="A666" s="1">
        <v>41730</v>
      </c>
      <c r="B666">
        <v>2809600000000</v>
      </c>
    </row>
    <row r="667" spans="1:2" x14ac:dyDescent="0.2">
      <c r="A667" s="1">
        <v>41760</v>
      </c>
      <c r="B667">
        <v>2782200000000</v>
      </c>
    </row>
    <row r="668" spans="1:2" x14ac:dyDescent="0.2">
      <c r="A668" s="1">
        <v>41791</v>
      </c>
      <c r="B668">
        <v>2824800000000</v>
      </c>
    </row>
    <row r="669" spans="1:2" x14ac:dyDescent="0.2">
      <c r="A669" s="1">
        <v>41821</v>
      </c>
      <c r="B669">
        <v>2841200000000</v>
      </c>
    </row>
    <row r="670" spans="1:2" x14ac:dyDescent="0.2">
      <c r="A670" s="1">
        <v>41852</v>
      </c>
      <c r="B670">
        <v>2790200000000</v>
      </c>
    </row>
    <row r="671" spans="1:2" x14ac:dyDescent="0.2">
      <c r="A671" s="1">
        <v>41883</v>
      </c>
      <c r="B671">
        <v>2834600000000</v>
      </c>
    </row>
    <row r="672" spans="1:2" x14ac:dyDescent="0.2">
      <c r="A672" s="1">
        <v>41913</v>
      </c>
      <c r="B672">
        <v>2865000000000</v>
      </c>
    </row>
    <row r="673" spans="1:2" x14ac:dyDescent="0.2">
      <c r="A673" s="1">
        <v>41944</v>
      </c>
      <c r="B673">
        <v>2861100000000</v>
      </c>
    </row>
    <row r="674" spans="1:2" x14ac:dyDescent="0.2">
      <c r="A674" s="1">
        <v>41974</v>
      </c>
      <c r="B674">
        <v>2992000000000</v>
      </c>
    </row>
    <row r="675" spans="1:2" x14ac:dyDescent="0.2">
      <c r="A675" s="1">
        <v>42005</v>
      </c>
      <c r="B675">
        <v>2941100000000</v>
      </c>
    </row>
    <row r="676" spans="1:2" x14ac:dyDescent="0.2">
      <c r="A676" s="1">
        <v>42036</v>
      </c>
      <c r="B676">
        <v>2979600000000</v>
      </c>
    </row>
    <row r="677" spans="1:2" x14ac:dyDescent="0.2">
      <c r="A677" s="1">
        <v>42064</v>
      </c>
      <c r="B677">
        <v>3023900000000</v>
      </c>
    </row>
    <row r="678" spans="1:2" x14ac:dyDescent="0.2">
      <c r="A678" s="1">
        <v>42095</v>
      </c>
      <c r="B678">
        <v>3035400000000</v>
      </c>
    </row>
    <row r="679" spans="1:2" x14ac:dyDescent="0.2">
      <c r="A679" s="1">
        <v>42125</v>
      </c>
      <c r="B679">
        <v>2975900000000</v>
      </c>
    </row>
    <row r="680" spans="1:2" x14ac:dyDescent="0.2">
      <c r="A680" s="1">
        <v>42156</v>
      </c>
      <c r="B680">
        <v>3020700000000</v>
      </c>
    </row>
    <row r="681" spans="1:2" x14ac:dyDescent="0.2">
      <c r="A681" s="1">
        <v>42186</v>
      </c>
      <c r="B681">
        <v>3038400000000</v>
      </c>
    </row>
    <row r="682" spans="1:2" x14ac:dyDescent="0.2">
      <c r="A682" s="1">
        <v>42217</v>
      </c>
      <c r="B682">
        <v>3022300000000</v>
      </c>
    </row>
    <row r="683" spans="1:2" x14ac:dyDescent="0.2">
      <c r="A683" s="1">
        <v>42248</v>
      </c>
      <c r="B683">
        <v>3016300000000</v>
      </c>
    </row>
    <row r="684" spans="1:2" x14ac:dyDescent="0.2">
      <c r="A684" s="1">
        <v>42278</v>
      </c>
      <c r="B684">
        <v>3011900000000</v>
      </c>
    </row>
    <row r="685" spans="1:2" x14ac:dyDescent="0.2">
      <c r="A685" s="1">
        <v>42309</v>
      </c>
      <c r="B685">
        <v>3056200000000</v>
      </c>
    </row>
    <row r="686" spans="1:2" x14ac:dyDescent="0.2">
      <c r="A686" s="1">
        <v>42339</v>
      </c>
      <c r="B686">
        <v>3141100000000</v>
      </c>
    </row>
    <row r="687" spans="1:2" x14ac:dyDescent="0.2">
      <c r="A687" s="1">
        <v>42370</v>
      </c>
      <c r="B687">
        <v>3094000000000</v>
      </c>
    </row>
    <row r="688" spans="1:2" x14ac:dyDescent="0.2">
      <c r="A688" s="1">
        <v>42401</v>
      </c>
      <c r="B688">
        <v>3096600000000</v>
      </c>
    </row>
    <row r="689" spans="1:2" x14ac:dyDescent="0.2">
      <c r="A689" s="1">
        <v>42430</v>
      </c>
      <c r="B689">
        <v>3179800000000</v>
      </c>
    </row>
    <row r="690" spans="1:2" x14ac:dyDescent="0.2">
      <c r="A690" s="1">
        <v>42461</v>
      </c>
      <c r="B690">
        <v>3234500000000</v>
      </c>
    </row>
    <row r="691" spans="1:2" x14ac:dyDescent="0.2">
      <c r="A691" s="1">
        <v>42491</v>
      </c>
      <c r="B691">
        <v>3234800000000</v>
      </c>
    </row>
    <row r="692" spans="1:2" x14ac:dyDescent="0.2">
      <c r="A692" s="1">
        <v>42522</v>
      </c>
      <c r="B692">
        <v>3247000000000</v>
      </c>
    </row>
    <row r="693" spans="1:2" x14ac:dyDescent="0.2">
      <c r="A693" s="1">
        <v>42552</v>
      </c>
      <c r="B693">
        <v>3244700000000</v>
      </c>
    </row>
    <row r="694" spans="1:2" x14ac:dyDescent="0.2">
      <c r="A694" s="1">
        <v>42583</v>
      </c>
      <c r="B694">
        <v>3319000000000</v>
      </c>
    </row>
    <row r="695" spans="1:2" x14ac:dyDescent="0.2">
      <c r="A695" s="1">
        <v>42614</v>
      </c>
      <c r="B695">
        <v>3296400000000</v>
      </c>
    </row>
    <row r="696" spans="1:2" x14ac:dyDescent="0.2">
      <c r="A696" s="1">
        <v>42644</v>
      </c>
      <c r="B696">
        <v>3327700000000</v>
      </c>
    </row>
    <row r="697" spans="1:2" x14ac:dyDescent="0.2">
      <c r="A697" s="1">
        <v>42675</v>
      </c>
      <c r="B697">
        <v>3328500000000</v>
      </c>
    </row>
    <row r="698" spans="1:2" x14ac:dyDescent="0.2">
      <c r="A698" s="1">
        <v>42705</v>
      </c>
      <c r="B698">
        <v>3384000000000</v>
      </c>
    </row>
    <row r="699" spans="1:2" x14ac:dyDescent="0.2">
      <c r="A699" s="1">
        <v>42736</v>
      </c>
      <c r="B699">
        <v>3388600000000</v>
      </c>
    </row>
    <row r="700" spans="1:2" x14ac:dyDescent="0.2">
      <c r="A700" s="1">
        <v>42767</v>
      </c>
      <c r="B700">
        <v>3358000000000</v>
      </c>
    </row>
    <row r="701" spans="1:2" x14ac:dyDescent="0.2">
      <c r="A701" s="1">
        <v>42795</v>
      </c>
      <c r="B701">
        <v>3477300000000</v>
      </c>
    </row>
    <row r="702" spans="1:2" x14ac:dyDescent="0.2">
      <c r="A702" s="1">
        <v>42826</v>
      </c>
      <c r="B702">
        <v>3489100000000</v>
      </c>
    </row>
    <row r="703" spans="1:2" x14ac:dyDescent="0.2">
      <c r="A703" s="1">
        <v>42856</v>
      </c>
      <c r="B703">
        <v>3517100000000</v>
      </c>
    </row>
    <row r="704" spans="1:2" x14ac:dyDescent="0.2">
      <c r="A704" s="1">
        <v>42887</v>
      </c>
      <c r="B704">
        <v>3527700000000</v>
      </c>
    </row>
    <row r="705" spans="1:2" x14ac:dyDescent="0.2">
      <c r="A705" s="1">
        <v>42917</v>
      </c>
      <c r="B705">
        <v>3548200000000</v>
      </c>
    </row>
    <row r="706" spans="1:2" x14ac:dyDescent="0.2">
      <c r="A706" s="1">
        <v>42948</v>
      </c>
      <c r="B706">
        <v>3588600000000</v>
      </c>
    </row>
    <row r="707" spans="1:2" x14ac:dyDescent="0.2">
      <c r="A707" s="1">
        <v>42979</v>
      </c>
      <c r="B707">
        <v>3542200000000</v>
      </c>
    </row>
    <row r="708" spans="1:2" x14ac:dyDescent="0.2">
      <c r="A708" s="1">
        <v>43009</v>
      </c>
      <c r="B708">
        <v>3601600000000</v>
      </c>
    </row>
    <row r="709" spans="1:2" x14ac:dyDescent="0.2">
      <c r="A709" s="1">
        <v>43040</v>
      </c>
      <c r="B709">
        <v>3603300000000</v>
      </c>
    </row>
    <row r="710" spans="1:2" x14ac:dyDescent="0.2">
      <c r="A710" s="1">
        <v>43070</v>
      </c>
      <c r="B710">
        <v>3652700000000</v>
      </c>
    </row>
    <row r="711" spans="1:2" x14ac:dyDescent="0.2">
      <c r="A711" s="1">
        <v>43101</v>
      </c>
      <c r="B711">
        <v>3651900000000</v>
      </c>
    </row>
    <row r="712" spans="1:2" x14ac:dyDescent="0.2">
      <c r="A712" s="1">
        <v>43132</v>
      </c>
      <c r="B712">
        <v>3566100000000</v>
      </c>
    </row>
    <row r="713" spans="1:2" x14ac:dyDescent="0.2">
      <c r="A713" s="1">
        <v>43160</v>
      </c>
      <c r="B713">
        <v>3688400000000</v>
      </c>
    </row>
    <row r="714" spans="1:2" x14ac:dyDescent="0.2">
      <c r="A714" s="1">
        <v>43191</v>
      </c>
      <c r="B714">
        <v>3698100000000</v>
      </c>
    </row>
    <row r="715" spans="1:2" x14ac:dyDescent="0.2">
      <c r="A715" s="1">
        <v>43221</v>
      </c>
      <c r="B715">
        <v>3655700000000</v>
      </c>
    </row>
    <row r="716" spans="1:2" x14ac:dyDescent="0.2">
      <c r="A716" s="1">
        <v>43252</v>
      </c>
      <c r="B716">
        <v>3656600000000</v>
      </c>
    </row>
    <row r="717" spans="1:2" x14ac:dyDescent="0.2">
      <c r="A717" s="1">
        <v>43282</v>
      </c>
      <c r="B717">
        <v>3680700000000</v>
      </c>
    </row>
    <row r="718" spans="1:2" x14ac:dyDescent="0.2">
      <c r="A718" s="1">
        <v>43313</v>
      </c>
      <c r="B718">
        <v>3690900000000</v>
      </c>
    </row>
    <row r="719" spans="1:2" x14ac:dyDescent="0.2">
      <c r="A719" s="1">
        <v>43344</v>
      </c>
      <c r="B719">
        <v>3675700000000</v>
      </c>
    </row>
    <row r="720" spans="1:2" x14ac:dyDescent="0.2">
      <c r="A720" s="1">
        <v>43374</v>
      </c>
      <c r="B720">
        <v>3722200000000</v>
      </c>
    </row>
    <row r="721" spans="1:2" x14ac:dyDescent="0.2">
      <c r="A721" s="1">
        <v>43405</v>
      </c>
      <c r="B721">
        <v>3680000000000</v>
      </c>
    </row>
    <row r="722" spans="1:2" x14ac:dyDescent="0.2">
      <c r="A722" s="1">
        <v>43435</v>
      </c>
      <c r="B722">
        <v>3800700000000</v>
      </c>
    </row>
    <row r="723" spans="1:2" x14ac:dyDescent="0.2">
      <c r="A723" s="1">
        <v>43466</v>
      </c>
      <c r="B723">
        <v>3748500000000</v>
      </c>
    </row>
    <row r="724" spans="1:2" x14ac:dyDescent="0.2">
      <c r="A724" s="1">
        <v>43497</v>
      </c>
      <c r="B724">
        <v>3705100000000</v>
      </c>
    </row>
    <row r="725" spans="1:2" x14ac:dyDescent="0.2">
      <c r="A725" s="1">
        <v>43525</v>
      </c>
      <c r="B725">
        <v>3757300000000</v>
      </c>
    </row>
    <row r="726" spans="1:2" x14ac:dyDescent="0.2">
      <c r="A726" s="1">
        <v>43556</v>
      </c>
      <c r="B726">
        <v>3823800000000</v>
      </c>
    </row>
    <row r="727" spans="1:2" x14ac:dyDescent="0.2">
      <c r="A727" s="1">
        <v>43586</v>
      </c>
      <c r="B727">
        <v>3791300000000</v>
      </c>
    </row>
    <row r="728" spans="1:2" x14ac:dyDescent="0.2">
      <c r="A728" s="1">
        <v>43617</v>
      </c>
      <c r="B728">
        <v>3831300000000</v>
      </c>
    </row>
    <row r="729" spans="1:2" x14ac:dyDescent="0.2">
      <c r="A729" s="1">
        <v>43647</v>
      </c>
      <c r="B729">
        <v>3863500000000</v>
      </c>
    </row>
    <row r="730" spans="1:2" x14ac:dyDescent="0.2">
      <c r="A730" s="1">
        <v>43678</v>
      </c>
      <c r="B730">
        <v>3850700000000</v>
      </c>
    </row>
    <row r="731" spans="1:2" x14ac:dyDescent="0.2">
      <c r="A731" s="1">
        <v>43709</v>
      </c>
      <c r="B731">
        <v>3878000000000</v>
      </c>
    </row>
    <row r="732" spans="1:2" x14ac:dyDescent="0.2">
      <c r="A732" s="1">
        <v>43739</v>
      </c>
      <c r="B732">
        <v>3924900000000</v>
      </c>
    </row>
    <row r="733" spans="1:2" x14ac:dyDescent="0.2">
      <c r="A733" s="1">
        <v>43770</v>
      </c>
      <c r="B733">
        <v>3926100000000</v>
      </c>
    </row>
    <row r="734" spans="1:2" x14ac:dyDescent="0.2">
      <c r="A734" s="1">
        <v>43800</v>
      </c>
      <c r="B734">
        <v>4043300000000</v>
      </c>
    </row>
    <row r="735" spans="1:2" x14ac:dyDescent="0.2">
      <c r="A735" s="1">
        <v>43831</v>
      </c>
      <c r="B735">
        <v>3983500000000</v>
      </c>
    </row>
    <row r="736" spans="1:2" x14ac:dyDescent="0.2">
      <c r="A736" s="1">
        <v>43862</v>
      </c>
      <c r="B736">
        <v>3941400000000</v>
      </c>
    </row>
    <row r="737" spans="1:2" x14ac:dyDescent="0.2">
      <c r="A737" s="1">
        <v>43891</v>
      </c>
      <c r="B737">
        <v>4285700000000</v>
      </c>
    </row>
    <row r="738" spans="1:2" x14ac:dyDescent="0.2">
      <c r="A738" s="1">
        <v>43922</v>
      </c>
      <c r="B738">
        <v>4847100000000</v>
      </c>
    </row>
    <row r="739" spans="1:2" x14ac:dyDescent="0.2">
      <c r="A739" s="1">
        <v>43952</v>
      </c>
      <c r="B739">
        <v>16166300000000</v>
      </c>
    </row>
    <row r="740" spans="1:2" x14ac:dyDescent="0.2">
      <c r="A740" s="1">
        <v>43983</v>
      </c>
      <c r="B740">
        <v>16539900000000.002</v>
      </c>
    </row>
    <row r="741" spans="1:2" x14ac:dyDescent="0.2">
      <c r="A741" s="1">
        <v>44013</v>
      </c>
      <c r="B741">
        <v>16741800000000</v>
      </c>
    </row>
    <row r="742" spans="1:2" x14ac:dyDescent="0.2">
      <c r="A742" s="1">
        <v>44044</v>
      </c>
      <c r="B742">
        <v>16865099999999.998</v>
      </c>
    </row>
    <row r="743" spans="1:2" x14ac:dyDescent="0.2">
      <c r="A743" s="1">
        <v>44075</v>
      </c>
      <c r="B743">
        <v>17132500000000</v>
      </c>
    </row>
    <row r="744" spans="1:2" x14ac:dyDescent="0.2">
      <c r="A744" s="1">
        <v>44105</v>
      </c>
      <c r="B744">
        <v>17317200000000</v>
      </c>
    </row>
    <row r="745" spans="1:2" x14ac:dyDescent="0.2">
      <c r="A745" s="1">
        <v>44136</v>
      </c>
      <c r="B745">
        <v>17637200000000</v>
      </c>
    </row>
    <row r="746" spans="1:2" x14ac:dyDescent="0.2">
      <c r="A746" s="1">
        <v>44166</v>
      </c>
      <c r="B746">
        <v>17944000000000</v>
      </c>
    </row>
    <row r="747" spans="1:2" x14ac:dyDescent="0.2">
      <c r="A747" s="1">
        <v>44197</v>
      </c>
      <c r="B747">
        <v>18080700000000</v>
      </c>
    </row>
    <row r="748" spans="1:2" x14ac:dyDescent="0.2">
      <c r="A748" s="1">
        <v>44228</v>
      </c>
      <c r="B748">
        <v>18258200000000</v>
      </c>
    </row>
    <row r="749" spans="1:2" x14ac:dyDescent="0.2">
      <c r="A749" s="1">
        <v>44256</v>
      </c>
      <c r="B749">
        <v>18716300000000</v>
      </c>
    </row>
    <row r="750" spans="1:2" x14ac:dyDescent="0.2">
      <c r="A750" s="1">
        <v>44287</v>
      </c>
      <c r="B750">
        <v>19079000000000</v>
      </c>
    </row>
    <row r="751" spans="1:2" x14ac:dyDescent="0.2">
      <c r="A751" s="1">
        <v>44317</v>
      </c>
      <c r="B751">
        <v>19160400000000</v>
      </c>
    </row>
    <row r="752" spans="1:2" x14ac:dyDescent="0.2">
      <c r="A752" s="1">
        <v>44348</v>
      </c>
      <c r="B752">
        <v>19301100000000</v>
      </c>
    </row>
    <row r="753" spans="1:2" x14ac:dyDescent="0.2">
      <c r="A753" s="1">
        <v>44378</v>
      </c>
      <c r="B753">
        <v>19443700000000</v>
      </c>
    </row>
    <row r="754" spans="1:2" x14ac:dyDescent="0.2">
      <c r="A754" s="1">
        <v>44409</v>
      </c>
      <c r="B754">
        <v>19654600000000</v>
      </c>
    </row>
    <row r="755" spans="1:2" x14ac:dyDescent="0.2">
      <c r="A755" s="1">
        <v>44440</v>
      </c>
      <c r="B755">
        <v>19838600000000</v>
      </c>
    </row>
    <row r="756" spans="1:2" x14ac:dyDescent="0.2">
      <c r="A756" s="1">
        <v>44470</v>
      </c>
      <c r="B756">
        <v>20011700000000</v>
      </c>
    </row>
    <row r="757" spans="1:2" x14ac:dyDescent="0.2">
      <c r="A757" s="1">
        <v>44501</v>
      </c>
      <c r="B757">
        <v>20256900000000</v>
      </c>
    </row>
    <row r="758" spans="1:2" x14ac:dyDescent="0.2">
      <c r="A758" s="1">
        <v>44531</v>
      </c>
      <c r="B758">
        <v>20577700000000</v>
      </c>
    </row>
    <row r="759" spans="1:2" x14ac:dyDescent="0.2">
      <c r="A759" s="1">
        <v>44562</v>
      </c>
      <c r="B759">
        <v>20540900000000</v>
      </c>
    </row>
    <row r="760" spans="1:2" x14ac:dyDescent="0.2">
      <c r="A760" s="1">
        <v>44593</v>
      </c>
      <c r="B760">
        <v>20520300000000</v>
      </c>
    </row>
    <row r="761" spans="1:2" x14ac:dyDescent="0.2">
      <c r="A761" s="1">
        <v>44621</v>
      </c>
      <c r="B761">
        <v>20801600000000</v>
      </c>
    </row>
    <row r="762" spans="1:2" x14ac:dyDescent="0.2">
      <c r="A762" s="1">
        <v>44652</v>
      </c>
      <c r="B762">
        <v>20820200000000</v>
      </c>
    </row>
    <row r="763" spans="1:2" x14ac:dyDescent="0.2">
      <c r="A763" s="1">
        <v>44682</v>
      </c>
      <c r="B763">
        <v>20543000000000</v>
      </c>
    </row>
    <row r="764" spans="1:2" x14ac:dyDescent="0.2">
      <c r="A764" s="1">
        <v>44713</v>
      </c>
      <c r="B764">
        <v>20540900000000</v>
      </c>
    </row>
    <row r="765" spans="1:2" x14ac:dyDescent="0.2">
      <c r="A765" s="1">
        <v>44743</v>
      </c>
      <c r="B765">
        <v>20483200000000</v>
      </c>
    </row>
    <row r="766" spans="1:2" x14ac:dyDescent="0.2">
      <c r="A766" s="1">
        <v>44774</v>
      </c>
      <c r="B766">
        <v>20395500000000</v>
      </c>
    </row>
    <row r="767" spans="1:2" x14ac:dyDescent="0.2">
      <c r="A767" s="1">
        <v>44805</v>
      </c>
      <c r="B767">
        <v>20248100000000</v>
      </c>
    </row>
    <row r="768" spans="1:2" x14ac:dyDescent="0.2">
      <c r="A768" s="1">
        <v>44835</v>
      </c>
      <c r="B768">
        <v>20059600000000</v>
      </c>
    </row>
    <row r="769" spans="1:2" x14ac:dyDescent="0.2">
      <c r="A769" s="1">
        <v>44866</v>
      </c>
      <c r="B769">
        <v>19965700000000</v>
      </c>
    </row>
    <row r="770" spans="1:2" x14ac:dyDescent="0.2">
      <c r="A770" s="1">
        <v>44896</v>
      </c>
      <c r="B770">
        <v>19879600000000</v>
      </c>
    </row>
    <row r="771" spans="1:2" x14ac:dyDescent="0.2">
      <c r="A771" s="1">
        <v>44927</v>
      </c>
      <c r="B771">
        <v>19586000000000</v>
      </c>
    </row>
    <row r="772" spans="1:2" x14ac:dyDescent="0.2">
      <c r="A772" s="1">
        <v>44958</v>
      </c>
      <c r="B772">
        <v>19317900000000</v>
      </c>
    </row>
    <row r="773" spans="1:2" x14ac:dyDescent="0.2">
      <c r="A773" s="1">
        <v>44986</v>
      </c>
      <c r="B773">
        <v>19077600000000</v>
      </c>
    </row>
    <row r="774" spans="1:2" x14ac:dyDescent="0.2">
      <c r="A774" s="1">
        <v>45017</v>
      </c>
      <c r="B774">
        <v>18743900000000</v>
      </c>
    </row>
    <row r="775" spans="1:2" x14ac:dyDescent="0.2">
      <c r="A775" s="1">
        <v>45047</v>
      </c>
      <c r="B775">
        <v>18491500000000</v>
      </c>
    </row>
    <row r="776" spans="1:2" x14ac:dyDescent="0.2">
      <c r="A776" s="1">
        <v>45078</v>
      </c>
      <c r="B776">
        <v>18432600000000</v>
      </c>
    </row>
    <row r="777" spans="1:2" x14ac:dyDescent="0.2">
      <c r="A777" s="1">
        <v>45108</v>
      </c>
      <c r="B777">
        <v>18336100000000</v>
      </c>
    </row>
    <row r="778" spans="1:2" x14ac:dyDescent="0.2">
      <c r="A778" s="1">
        <v>45139</v>
      </c>
      <c r="B778">
        <v>18231500000000</v>
      </c>
    </row>
    <row r="779" spans="1:2" x14ac:dyDescent="0.2">
      <c r="A779" s="1">
        <v>45170</v>
      </c>
      <c r="B779">
        <v>18140800000000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D72E-10B0-7D4E-8280-4F3F579946B4}">
  <dimension ref="A1:C65"/>
  <sheetViews>
    <sheetView workbookViewId="0">
      <selection activeCell="B62" sqref="B62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6</v>
      </c>
    </row>
    <row r="2" spans="1:3" x14ac:dyDescent="0.2">
      <c r="A2" s="1" t="s">
        <v>0</v>
      </c>
      <c r="B2" t="s">
        <v>5</v>
      </c>
    </row>
    <row r="3" spans="1:3" x14ac:dyDescent="0.2">
      <c r="A3" s="1">
        <v>21916</v>
      </c>
      <c r="B3">
        <v>1.4579759862778601</v>
      </c>
    </row>
    <row r="4" spans="1:3" x14ac:dyDescent="0.2">
      <c r="A4" s="1">
        <v>22282</v>
      </c>
      <c r="B4">
        <v>1.07072414764723</v>
      </c>
    </row>
    <row r="5" spans="1:3" x14ac:dyDescent="0.2">
      <c r="A5" s="1">
        <v>22647</v>
      </c>
      <c r="B5">
        <v>1.1987733482018501</v>
      </c>
    </row>
    <row r="6" spans="1:3" x14ac:dyDescent="0.2">
      <c r="A6" s="1">
        <v>23012</v>
      </c>
      <c r="B6">
        <v>1.2396694214876001</v>
      </c>
    </row>
    <row r="7" spans="1:3" x14ac:dyDescent="0.2">
      <c r="A7" s="1">
        <v>23377</v>
      </c>
      <c r="B7">
        <v>1.27891156462583</v>
      </c>
    </row>
    <row r="8" spans="1:3" x14ac:dyDescent="0.2">
      <c r="A8" s="1">
        <v>23743</v>
      </c>
      <c r="B8">
        <v>1.5851692638366901</v>
      </c>
    </row>
    <row r="9" spans="1:3" x14ac:dyDescent="0.2">
      <c r="A9" s="1">
        <v>24108</v>
      </c>
      <c r="B9">
        <v>3.0150753768843899</v>
      </c>
    </row>
    <row r="10" spans="1:3" x14ac:dyDescent="0.2">
      <c r="A10" s="1">
        <v>24473</v>
      </c>
      <c r="B10">
        <v>2.7727856225930698</v>
      </c>
    </row>
    <row r="11" spans="1:3" x14ac:dyDescent="0.2">
      <c r="A11" s="1">
        <v>24838</v>
      </c>
      <c r="B11">
        <v>4.2717961528853401</v>
      </c>
    </row>
    <row r="12" spans="1:3" x14ac:dyDescent="0.2">
      <c r="A12" s="1">
        <v>25204</v>
      </c>
      <c r="B12">
        <v>5.4623862002874999</v>
      </c>
    </row>
    <row r="13" spans="1:3" x14ac:dyDescent="0.2">
      <c r="A13" s="1">
        <v>25569</v>
      </c>
      <c r="B13">
        <v>5.8382553384825302</v>
      </c>
    </row>
    <row r="14" spans="1:3" x14ac:dyDescent="0.2">
      <c r="A14" s="1">
        <v>25934</v>
      </c>
      <c r="B14">
        <v>4.2927666881304498</v>
      </c>
    </row>
    <row r="15" spans="1:3" x14ac:dyDescent="0.2">
      <c r="A15" s="1">
        <v>26299</v>
      </c>
      <c r="B15">
        <v>3.2722782465528302</v>
      </c>
    </row>
    <row r="16" spans="1:3" x14ac:dyDescent="0.2">
      <c r="A16" s="1">
        <v>26665</v>
      </c>
      <c r="B16">
        <v>6.1777600637704104</v>
      </c>
    </row>
    <row r="17" spans="1:2" x14ac:dyDescent="0.2">
      <c r="A17" s="1">
        <v>27030</v>
      </c>
      <c r="B17">
        <v>11.0548048048048</v>
      </c>
    </row>
    <row r="18" spans="1:2" x14ac:dyDescent="0.2">
      <c r="A18" s="1">
        <v>27395</v>
      </c>
      <c r="B18">
        <v>9.14314686496534</v>
      </c>
    </row>
    <row r="19" spans="1:2" x14ac:dyDescent="0.2">
      <c r="A19" s="1">
        <v>27760</v>
      </c>
      <c r="B19">
        <v>5.7448126354908498</v>
      </c>
    </row>
    <row r="20" spans="1:2" x14ac:dyDescent="0.2">
      <c r="A20" s="1">
        <v>28126</v>
      </c>
      <c r="B20">
        <v>6.5016839947283902</v>
      </c>
    </row>
    <row r="21" spans="1:2" x14ac:dyDescent="0.2">
      <c r="A21" s="1">
        <v>28491</v>
      </c>
      <c r="B21">
        <v>7.6309638388560197</v>
      </c>
    </row>
    <row r="22" spans="1:2" x14ac:dyDescent="0.2">
      <c r="A22" s="1">
        <v>28856</v>
      </c>
      <c r="B22">
        <v>11.2544711292795</v>
      </c>
    </row>
    <row r="23" spans="1:2" x14ac:dyDescent="0.2">
      <c r="A23" s="1">
        <v>29221</v>
      </c>
      <c r="B23">
        <v>13.549201974968399</v>
      </c>
    </row>
    <row r="24" spans="1:2" x14ac:dyDescent="0.2">
      <c r="A24" s="1">
        <v>29587</v>
      </c>
      <c r="B24">
        <v>10.3347153402771</v>
      </c>
    </row>
    <row r="25" spans="1:2" x14ac:dyDescent="0.2">
      <c r="A25" s="1">
        <v>29952</v>
      </c>
      <c r="B25">
        <v>6.1314270002749396</v>
      </c>
    </row>
    <row r="26" spans="1:2" x14ac:dyDescent="0.2">
      <c r="A26" s="1">
        <v>30317</v>
      </c>
      <c r="B26">
        <v>3.2124352331606301</v>
      </c>
    </row>
    <row r="27" spans="1:2" x14ac:dyDescent="0.2">
      <c r="A27" s="1">
        <v>30682</v>
      </c>
      <c r="B27">
        <v>4.3005354752342697</v>
      </c>
    </row>
    <row r="28" spans="1:2" x14ac:dyDescent="0.2">
      <c r="A28" s="1">
        <v>31048</v>
      </c>
      <c r="B28">
        <v>3.5456441520936899</v>
      </c>
    </row>
    <row r="29" spans="1:2" x14ac:dyDescent="0.2">
      <c r="A29" s="1">
        <v>31413</v>
      </c>
      <c r="B29">
        <v>1.8980477223427501</v>
      </c>
    </row>
    <row r="30" spans="1:2" x14ac:dyDescent="0.2">
      <c r="A30" s="1">
        <v>31778</v>
      </c>
      <c r="B30">
        <v>3.6645632175169101</v>
      </c>
    </row>
    <row r="31" spans="1:2" x14ac:dyDescent="0.2">
      <c r="A31" s="1">
        <v>32143</v>
      </c>
      <c r="B31">
        <v>4.0777411074440799</v>
      </c>
    </row>
    <row r="32" spans="1:2" x14ac:dyDescent="0.2">
      <c r="A32" s="1">
        <v>32509</v>
      </c>
      <c r="B32">
        <v>4.8270030300894904</v>
      </c>
    </row>
    <row r="33" spans="1:2" x14ac:dyDescent="0.2">
      <c r="A33" s="1">
        <v>32874</v>
      </c>
      <c r="B33">
        <v>5.3979564399032203</v>
      </c>
    </row>
    <row r="34" spans="1:2" x14ac:dyDescent="0.2">
      <c r="A34" s="1">
        <v>33239</v>
      </c>
      <c r="B34">
        <v>4.2349639645385304</v>
      </c>
    </row>
    <row r="35" spans="1:2" x14ac:dyDescent="0.2">
      <c r="A35" s="1">
        <v>33604</v>
      </c>
      <c r="B35">
        <v>3.0288196781496999</v>
      </c>
    </row>
    <row r="36" spans="1:2" x14ac:dyDescent="0.2">
      <c r="A36" s="1">
        <v>33970</v>
      </c>
      <c r="B36">
        <v>2.9516569663855399</v>
      </c>
    </row>
    <row r="37" spans="1:2" x14ac:dyDescent="0.2">
      <c r="A37" s="1">
        <v>34335</v>
      </c>
      <c r="B37">
        <v>2.6074415921546001</v>
      </c>
    </row>
    <row r="38" spans="1:2" x14ac:dyDescent="0.2">
      <c r="A38" s="1">
        <v>34700</v>
      </c>
      <c r="B38">
        <v>2.8054196885365501</v>
      </c>
    </row>
    <row r="39" spans="1:2" x14ac:dyDescent="0.2">
      <c r="A39" s="1">
        <v>35065</v>
      </c>
      <c r="B39">
        <v>2.9312041999343998</v>
      </c>
    </row>
    <row r="40" spans="1:2" x14ac:dyDescent="0.2">
      <c r="A40" s="1">
        <v>35431</v>
      </c>
      <c r="B40">
        <v>2.33768993730741</v>
      </c>
    </row>
    <row r="41" spans="1:2" x14ac:dyDescent="0.2">
      <c r="A41" s="1">
        <v>35796</v>
      </c>
      <c r="B41">
        <v>1.5522790987436199</v>
      </c>
    </row>
    <row r="42" spans="1:2" x14ac:dyDescent="0.2">
      <c r="A42" s="1">
        <v>36161</v>
      </c>
      <c r="B42">
        <v>2.1880271969735801</v>
      </c>
    </row>
    <row r="43" spans="1:2" x14ac:dyDescent="0.2">
      <c r="A43" s="1">
        <v>36526</v>
      </c>
      <c r="B43">
        <v>3.3768572714993499</v>
      </c>
    </row>
    <row r="44" spans="1:2" x14ac:dyDescent="0.2">
      <c r="A44" s="1">
        <v>36892</v>
      </c>
      <c r="B44">
        <v>2.8261711188540199</v>
      </c>
    </row>
    <row r="45" spans="1:2" x14ac:dyDescent="0.2">
      <c r="A45" s="1">
        <v>37257</v>
      </c>
      <c r="B45">
        <v>1.5860316265060299</v>
      </c>
    </row>
    <row r="46" spans="1:2" x14ac:dyDescent="0.2">
      <c r="A46" s="1">
        <v>37622</v>
      </c>
      <c r="B46">
        <v>2.2700949733611302</v>
      </c>
    </row>
    <row r="47" spans="1:2" x14ac:dyDescent="0.2">
      <c r="A47" s="1">
        <v>37987</v>
      </c>
      <c r="B47">
        <v>2.67723669309173</v>
      </c>
    </row>
    <row r="48" spans="1:2" x14ac:dyDescent="0.2">
      <c r="A48" s="1">
        <v>38353</v>
      </c>
      <c r="B48">
        <v>3.3927468454954699</v>
      </c>
    </row>
    <row r="49" spans="1:2" x14ac:dyDescent="0.2">
      <c r="A49" s="1">
        <v>38718</v>
      </c>
      <c r="B49">
        <v>3.2259441007040701</v>
      </c>
    </row>
    <row r="50" spans="1:2" x14ac:dyDescent="0.2">
      <c r="A50" s="1">
        <v>39083</v>
      </c>
      <c r="B50">
        <v>2.8526724815013602</v>
      </c>
    </row>
    <row r="51" spans="1:2" x14ac:dyDescent="0.2">
      <c r="A51" s="1">
        <v>39448</v>
      </c>
      <c r="B51">
        <v>3.8391002966510102</v>
      </c>
    </row>
    <row r="52" spans="1:2" x14ac:dyDescent="0.2">
      <c r="A52" s="1">
        <v>39814</v>
      </c>
      <c r="B52">
        <v>-0.35554626629975</v>
      </c>
    </row>
    <row r="53" spans="1:2" x14ac:dyDescent="0.2">
      <c r="A53" s="1">
        <v>40179</v>
      </c>
      <c r="B53">
        <v>1.64004344238989</v>
      </c>
    </row>
    <row r="54" spans="1:2" x14ac:dyDescent="0.2">
      <c r="A54" s="1">
        <v>40544</v>
      </c>
      <c r="B54">
        <v>3.1568415686220601</v>
      </c>
    </row>
    <row r="55" spans="1:2" x14ac:dyDescent="0.2">
      <c r="A55" s="1">
        <v>40909</v>
      </c>
      <c r="B55">
        <v>2.0693372652605899</v>
      </c>
    </row>
    <row r="56" spans="1:2" x14ac:dyDescent="0.2">
      <c r="A56" s="1">
        <v>41275</v>
      </c>
      <c r="B56">
        <v>1.46483265562714</v>
      </c>
    </row>
    <row r="57" spans="1:2" x14ac:dyDescent="0.2">
      <c r="A57" s="1">
        <v>41640</v>
      </c>
      <c r="B57">
        <v>1.62222297740821</v>
      </c>
    </row>
    <row r="58" spans="1:2" x14ac:dyDescent="0.2">
      <c r="A58" s="1">
        <v>42005</v>
      </c>
      <c r="B58">
        <v>0.118627135552435</v>
      </c>
    </row>
    <row r="59" spans="1:2" x14ac:dyDescent="0.2">
      <c r="A59" s="1">
        <v>42370</v>
      </c>
      <c r="B59">
        <v>1.26158320570537</v>
      </c>
    </row>
    <row r="60" spans="1:2" x14ac:dyDescent="0.2">
      <c r="A60" s="1">
        <v>42736</v>
      </c>
      <c r="B60">
        <v>2.1301100036596301</v>
      </c>
    </row>
    <row r="61" spans="1:2" x14ac:dyDescent="0.2">
      <c r="A61" s="1">
        <v>43101</v>
      </c>
      <c r="B61">
        <v>2.4425832969281802</v>
      </c>
    </row>
    <row r="62" spans="1:2" x14ac:dyDescent="0.2">
      <c r="A62" s="1">
        <v>43466</v>
      </c>
      <c r="B62">
        <v>1.81221007526015</v>
      </c>
    </row>
    <row r="63" spans="1:2" x14ac:dyDescent="0.2">
      <c r="A63" s="1">
        <v>43831</v>
      </c>
      <c r="B63">
        <v>1.23358439630637</v>
      </c>
    </row>
    <row r="64" spans="1:2" x14ac:dyDescent="0.2">
      <c r="A64" s="1">
        <v>44197</v>
      </c>
      <c r="B64">
        <v>4.6978588636373901</v>
      </c>
    </row>
    <row r="65" spans="1:2" x14ac:dyDescent="0.2">
      <c r="A65" s="1">
        <v>44562</v>
      </c>
      <c r="B65">
        <v>8.0027998205211706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32D3-EEE8-7545-B444-E6B3A3B65992}">
  <dimension ref="A1:C71"/>
  <sheetViews>
    <sheetView workbookViewId="0">
      <selection activeCell="C1" sqref="C1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8</v>
      </c>
    </row>
    <row r="2" spans="1:3" x14ac:dyDescent="0.2">
      <c r="A2" s="1" t="s">
        <v>0</v>
      </c>
      <c r="B2" t="s">
        <v>7</v>
      </c>
    </row>
    <row r="3" spans="1:3" x14ac:dyDescent="0.2">
      <c r="A3" s="1">
        <v>19725</v>
      </c>
      <c r="B3">
        <v>0.94</v>
      </c>
    </row>
    <row r="4" spans="1:3" x14ac:dyDescent="0.2">
      <c r="A4" s="1">
        <v>20090</v>
      </c>
      <c r="B4">
        <v>1.72</v>
      </c>
    </row>
    <row r="5" spans="1:3" x14ac:dyDescent="0.2">
      <c r="A5" s="1">
        <v>20455</v>
      </c>
      <c r="B5">
        <v>2.62</v>
      </c>
    </row>
    <row r="6" spans="1:3" x14ac:dyDescent="0.2">
      <c r="A6" s="1">
        <v>20821</v>
      </c>
      <c r="B6">
        <v>3.22</v>
      </c>
    </row>
    <row r="7" spans="1:3" x14ac:dyDescent="0.2">
      <c r="A7" s="1">
        <v>21186</v>
      </c>
      <c r="B7">
        <v>1.77</v>
      </c>
    </row>
    <row r="8" spans="1:3" x14ac:dyDescent="0.2">
      <c r="A8" s="1">
        <v>21551</v>
      </c>
      <c r="B8">
        <v>3.39</v>
      </c>
    </row>
    <row r="9" spans="1:3" x14ac:dyDescent="0.2">
      <c r="A9" s="1">
        <v>21916</v>
      </c>
      <c r="B9">
        <v>2.87</v>
      </c>
    </row>
    <row r="10" spans="1:3" x14ac:dyDescent="0.2">
      <c r="A10" s="1">
        <v>22282</v>
      </c>
      <c r="B10">
        <v>2.35</v>
      </c>
    </row>
    <row r="11" spans="1:3" x14ac:dyDescent="0.2">
      <c r="A11" s="1">
        <v>22647</v>
      </c>
      <c r="B11">
        <v>2.77</v>
      </c>
    </row>
    <row r="12" spans="1:3" x14ac:dyDescent="0.2">
      <c r="A12" s="1">
        <v>23012</v>
      </c>
      <c r="B12">
        <v>3.16</v>
      </c>
    </row>
    <row r="13" spans="1:3" x14ac:dyDescent="0.2">
      <c r="A13" s="1">
        <v>23377</v>
      </c>
      <c r="B13">
        <v>3.55</v>
      </c>
    </row>
    <row r="14" spans="1:3" x14ac:dyDescent="0.2">
      <c r="A14" s="1">
        <v>23743</v>
      </c>
      <c r="B14">
        <v>3.95</v>
      </c>
    </row>
    <row r="15" spans="1:3" x14ac:dyDescent="0.2">
      <c r="A15" s="1">
        <v>24108</v>
      </c>
      <c r="B15">
        <v>4.8600000000000003</v>
      </c>
    </row>
    <row r="16" spans="1:3" x14ac:dyDescent="0.2">
      <c r="A16" s="1">
        <v>24473</v>
      </c>
      <c r="B16">
        <v>4.29</v>
      </c>
    </row>
    <row r="17" spans="1:2" x14ac:dyDescent="0.2">
      <c r="A17" s="1">
        <v>24838</v>
      </c>
      <c r="B17">
        <v>5.34</v>
      </c>
    </row>
    <row r="18" spans="1:2" x14ac:dyDescent="0.2">
      <c r="A18" s="1">
        <v>25204</v>
      </c>
      <c r="B18">
        <v>6.67</v>
      </c>
    </row>
    <row r="19" spans="1:2" x14ac:dyDescent="0.2">
      <c r="A19" s="1">
        <v>25569</v>
      </c>
      <c r="B19">
        <v>6.39</v>
      </c>
    </row>
    <row r="20" spans="1:2" x14ac:dyDescent="0.2">
      <c r="A20" s="1">
        <v>25934</v>
      </c>
      <c r="B20">
        <v>4.33</v>
      </c>
    </row>
    <row r="21" spans="1:2" x14ac:dyDescent="0.2">
      <c r="A21" s="1">
        <v>26299</v>
      </c>
      <c r="B21">
        <v>4.0599999999999996</v>
      </c>
    </row>
    <row r="22" spans="1:2" x14ac:dyDescent="0.2">
      <c r="A22" s="1">
        <v>26665</v>
      </c>
      <c r="B22">
        <v>7.04</v>
      </c>
    </row>
    <row r="23" spans="1:2" x14ac:dyDescent="0.2">
      <c r="A23" s="1">
        <v>27030</v>
      </c>
      <c r="B23">
        <v>7.85</v>
      </c>
    </row>
    <row r="24" spans="1:2" x14ac:dyDescent="0.2">
      <c r="A24" s="1">
        <v>27395</v>
      </c>
      <c r="B24">
        <v>5.79</v>
      </c>
    </row>
    <row r="25" spans="1:2" x14ac:dyDescent="0.2">
      <c r="A25" s="1">
        <v>27760</v>
      </c>
      <c r="B25">
        <v>4.9800000000000004</v>
      </c>
    </row>
    <row r="26" spans="1:2" x14ac:dyDescent="0.2">
      <c r="A26" s="1">
        <v>28126</v>
      </c>
      <c r="B26">
        <v>5.26</v>
      </c>
    </row>
    <row r="27" spans="1:2" x14ac:dyDescent="0.2">
      <c r="A27" s="1">
        <v>28491</v>
      </c>
      <c r="B27">
        <v>7.18</v>
      </c>
    </row>
    <row r="28" spans="1:2" x14ac:dyDescent="0.2">
      <c r="A28" s="1">
        <v>28856</v>
      </c>
      <c r="B28">
        <v>10.050000000000001</v>
      </c>
    </row>
    <row r="29" spans="1:2" x14ac:dyDescent="0.2">
      <c r="A29" s="1">
        <v>29221</v>
      </c>
      <c r="B29">
        <v>11.39</v>
      </c>
    </row>
    <row r="30" spans="1:2" x14ac:dyDescent="0.2">
      <c r="A30" s="1">
        <v>29587</v>
      </c>
      <c r="B30">
        <v>14.04</v>
      </c>
    </row>
    <row r="31" spans="1:2" x14ac:dyDescent="0.2">
      <c r="A31" s="1">
        <v>29952</v>
      </c>
      <c r="B31">
        <v>10.6</v>
      </c>
    </row>
    <row r="32" spans="1:2" x14ac:dyDescent="0.2">
      <c r="A32" s="1">
        <v>30317</v>
      </c>
      <c r="B32">
        <v>8.6199999999999992</v>
      </c>
    </row>
    <row r="33" spans="1:2" x14ac:dyDescent="0.2">
      <c r="A33" s="1">
        <v>30682</v>
      </c>
      <c r="B33">
        <v>9.5399999999999991</v>
      </c>
    </row>
    <row r="34" spans="1:2" x14ac:dyDescent="0.2">
      <c r="A34" s="1">
        <v>31048</v>
      </c>
      <c r="B34">
        <v>7.47</v>
      </c>
    </row>
    <row r="35" spans="1:2" x14ac:dyDescent="0.2">
      <c r="A35" s="1">
        <v>31413</v>
      </c>
      <c r="B35">
        <v>5.97</v>
      </c>
    </row>
    <row r="36" spans="1:2" x14ac:dyDescent="0.2">
      <c r="A36" s="1">
        <v>31778</v>
      </c>
      <c r="B36">
        <v>5.78</v>
      </c>
    </row>
    <row r="37" spans="1:2" x14ac:dyDescent="0.2">
      <c r="A37" s="1">
        <v>32143</v>
      </c>
      <c r="B37">
        <v>6.67</v>
      </c>
    </row>
    <row r="38" spans="1:2" x14ac:dyDescent="0.2">
      <c r="A38" s="1">
        <v>32509</v>
      </c>
      <c r="B38">
        <v>8.11</v>
      </c>
    </row>
    <row r="39" spans="1:2" x14ac:dyDescent="0.2">
      <c r="A39" s="1">
        <v>32874</v>
      </c>
      <c r="B39">
        <v>7.5</v>
      </c>
    </row>
    <row r="40" spans="1:2" x14ac:dyDescent="0.2">
      <c r="A40" s="1">
        <v>33239</v>
      </c>
      <c r="B40">
        <v>5.38</v>
      </c>
    </row>
    <row r="41" spans="1:2" x14ac:dyDescent="0.2">
      <c r="A41" s="1">
        <v>33604</v>
      </c>
      <c r="B41">
        <v>3.43</v>
      </c>
    </row>
    <row r="42" spans="1:2" x14ac:dyDescent="0.2">
      <c r="A42" s="1">
        <v>33970</v>
      </c>
      <c r="B42">
        <v>3</v>
      </c>
    </row>
    <row r="43" spans="1:2" x14ac:dyDescent="0.2">
      <c r="A43" s="1">
        <v>34335</v>
      </c>
      <c r="B43">
        <v>4.25</v>
      </c>
    </row>
    <row r="44" spans="1:2" x14ac:dyDescent="0.2">
      <c r="A44" s="1">
        <v>34700</v>
      </c>
      <c r="B44">
        <v>5.49</v>
      </c>
    </row>
    <row r="45" spans="1:2" x14ac:dyDescent="0.2">
      <c r="A45" s="1">
        <v>35065</v>
      </c>
      <c r="B45">
        <v>5.01</v>
      </c>
    </row>
    <row r="46" spans="1:2" x14ac:dyDescent="0.2">
      <c r="A46" s="1">
        <v>35431</v>
      </c>
      <c r="B46">
        <v>5.0599999999999996</v>
      </c>
    </row>
    <row r="47" spans="1:2" x14ac:dyDescent="0.2">
      <c r="A47" s="1">
        <v>35796</v>
      </c>
      <c r="B47">
        <v>4.78</v>
      </c>
    </row>
    <row r="48" spans="1:2" x14ac:dyDescent="0.2">
      <c r="A48" s="1">
        <v>36161</v>
      </c>
      <c r="B48">
        <v>4.6399999999999997</v>
      </c>
    </row>
    <row r="49" spans="1:2" x14ac:dyDescent="0.2">
      <c r="A49" s="1">
        <v>36526</v>
      </c>
      <c r="B49">
        <v>5.82</v>
      </c>
    </row>
    <row r="50" spans="1:2" x14ac:dyDescent="0.2">
      <c r="A50" s="1">
        <v>36892</v>
      </c>
      <c r="B50">
        <v>3.4</v>
      </c>
    </row>
    <row r="51" spans="1:2" x14ac:dyDescent="0.2">
      <c r="A51" s="1">
        <v>37257</v>
      </c>
      <c r="B51">
        <v>1.61</v>
      </c>
    </row>
    <row r="52" spans="1:2" x14ac:dyDescent="0.2">
      <c r="A52" s="1">
        <v>37622</v>
      </c>
      <c r="B52">
        <v>1.01</v>
      </c>
    </row>
    <row r="53" spans="1:2" x14ac:dyDescent="0.2">
      <c r="A53" s="1">
        <v>37987</v>
      </c>
      <c r="B53">
        <v>1.37</v>
      </c>
    </row>
    <row r="54" spans="1:2" x14ac:dyDescent="0.2">
      <c r="A54" s="1">
        <v>38353</v>
      </c>
      <c r="B54">
        <v>3.15</v>
      </c>
    </row>
    <row r="55" spans="1:2" x14ac:dyDescent="0.2">
      <c r="A55" s="1">
        <v>38718</v>
      </c>
      <c r="B55">
        <v>4.7300000000000004</v>
      </c>
    </row>
    <row r="56" spans="1:2" x14ac:dyDescent="0.2">
      <c r="A56" s="1">
        <v>39083</v>
      </c>
      <c r="B56">
        <v>4.3600000000000003</v>
      </c>
    </row>
    <row r="57" spans="1:2" x14ac:dyDescent="0.2">
      <c r="A57" s="1">
        <v>39448</v>
      </c>
      <c r="B57">
        <v>1.37</v>
      </c>
    </row>
    <row r="58" spans="1:2" x14ac:dyDescent="0.2">
      <c r="A58" s="1">
        <v>39814</v>
      </c>
      <c r="B58">
        <v>0.15</v>
      </c>
    </row>
    <row r="59" spans="1:2" x14ac:dyDescent="0.2">
      <c r="A59" s="1">
        <v>40179</v>
      </c>
      <c r="B59">
        <v>0.14000000000000001</v>
      </c>
    </row>
    <row r="60" spans="1:2" x14ac:dyDescent="0.2">
      <c r="A60" s="1">
        <v>40544</v>
      </c>
      <c r="B60">
        <v>0.05</v>
      </c>
    </row>
    <row r="61" spans="1:2" x14ac:dyDescent="0.2">
      <c r="A61" s="1">
        <v>40909</v>
      </c>
      <c r="B61">
        <v>0.09</v>
      </c>
    </row>
    <row r="62" spans="1:2" x14ac:dyDescent="0.2">
      <c r="A62" s="1">
        <v>41275</v>
      </c>
      <c r="B62">
        <v>0.06</v>
      </c>
    </row>
    <row r="63" spans="1:2" x14ac:dyDescent="0.2">
      <c r="A63" s="1">
        <v>41640</v>
      </c>
      <c r="B63">
        <v>0.03</v>
      </c>
    </row>
    <row r="64" spans="1:2" x14ac:dyDescent="0.2">
      <c r="A64" s="1">
        <v>42005</v>
      </c>
      <c r="B64">
        <v>0.05</v>
      </c>
    </row>
    <row r="65" spans="1:2" x14ac:dyDescent="0.2">
      <c r="A65" s="1">
        <v>42370</v>
      </c>
      <c r="B65">
        <v>0.32</v>
      </c>
    </row>
    <row r="66" spans="1:2" x14ac:dyDescent="0.2">
      <c r="A66" s="1">
        <v>42736</v>
      </c>
      <c r="B66">
        <v>0.93</v>
      </c>
    </row>
    <row r="67" spans="1:2" x14ac:dyDescent="0.2">
      <c r="A67" s="1">
        <v>43101</v>
      </c>
      <c r="B67">
        <v>1.94</v>
      </c>
    </row>
    <row r="68" spans="1:2" x14ac:dyDescent="0.2">
      <c r="A68" s="1">
        <v>43466</v>
      </c>
      <c r="B68">
        <v>2.06</v>
      </c>
    </row>
    <row r="69" spans="1:2" x14ac:dyDescent="0.2">
      <c r="A69" s="1">
        <v>43831</v>
      </c>
      <c r="B69">
        <v>0.35</v>
      </c>
    </row>
    <row r="70" spans="1:2" x14ac:dyDescent="0.2">
      <c r="A70" s="1">
        <v>44197</v>
      </c>
      <c r="B70">
        <v>0.05</v>
      </c>
    </row>
    <row r="71" spans="1:2" x14ac:dyDescent="0.2">
      <c r="A71" s="1">
        <v>44562</v>
      </c>
      <c r="B71">
        <v>2.02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DCF7-8744-7041-B2C1-15535DA6DB47}">
  <dimension ref="A1:B34"/>
  <sheetViews>
    <sheetView workbookViewId="0">
      <selection activeCell="B2" sqref="B2"/>
    </sheetView>
  </sheetViews>
  <sheetFormatPr baseColWidth="10" defaultRowHeight="16" x14ac:dyDescent="0.2"/>
  <cols>
    <col min="1" max="1" width="10.83203125" style="1"/>
    <col min="2" max="2" width="14.6640625" bestFit="1" customWidth="1"/>
  </cols>
  <sheetData>
    <row r="1" spans="1:2" x14ac:dyDescent="0.2">
      <c r="A1" s="1" t="s">
        <v>0</v>
      </c>
      <c r="B1" t="s">
        <v>9</v>
      </c>
    </row>
    <row r="2" spans="1:2" x14ac:dyDescent="0.2">
      <c r="A2" s="1">
        <v>32873</v>
      </c>
      <c r="B2">
        <v>1.3466026000000001E-2</v>
      </c>
    </row>
    <row r="3" spans="1:2" x14ac:dyDescent="0.2">
      <c r="A3" s="1">
        <f>EDATE(A2,12)</f>
        <v>33238</v>
      </c>
      <c r="B3">
        <v>1.4535924E-2</v>
      </c>
    </row>
    <row r="4" spans="1:2" x14ac:dyDescent="0.2">
      <c r="A4" s="1">
        <f t="shared" ref="A4:A34" si="0">EDATE(A3,12)</f>
        <v>33603</v>
      </c>
      <c r="B4">
        <v>1.5034787000000001E-2</v>
      </c>
    </row>
    <row r="5" spans="1:2" x14ac:dyDescent="0.2">
      <c r="A5" s="1">
        <f t="shared" si="0"/>
        <v>33969</v>
      </c>
      <c r="B5">
        <v>1.5184768E-2</v>
      </c>
    </row>
    <row r="6" spans="1:2" x14ac:dyDescent="0.2">
      <c r="A6" s="1">
        <f t="shared" si="0"/>
        <v>34334</v>
      </c>
      <c r="B6">
        <v>1.5017037E-2</v>
      </c>
    </row>
    <row r="7" spans="1:2" x14ac:dyDescent="0.2">
      <c r="A7" s="1">
        <f t="shared" si="0"/>
        <v>34699</v>
      </c>
      <c r="B7">
        <v>9.8743259999999992E-3</v>
      </c>
    </row>
    <row r="8" spans="1:2" x14ac:dyDescent="0.2">
      <c r="A8" s="1">
        <f t="shared" si="0"/>
        <v>35064</v>
      </c>
      <c r="B8">
        <v>7.4633649999999996E-3</v>
      </c>
    </row>
    <row r="9" spans="1:2" x14ac:dyDescent="0.2">
      <c r="A9" s="1">
        <f t="shared" si="0"/>
        <v>35430</v>
      </c>
      <c r="B9">
        <v>6.8222589999999998E-3</v>
      </c>
    </row>
    <row r="10" spans="1:2" x14ac:dyDescent="0.2">
      <c r="A10" s="1">
        <f t="shared" si="0"/>
        <v>35795</v>
      </c>
      <c r="B10">
        <v>7.283215E-3</v>
      </c>
    </row>
    <row r="11" spans="1:2" x14ac:dyDescent="0.2">
      <c r="A11" s="1">
        <f t="shared" si="0"/>
        <v>36160</v>
      </c>
      <c r="B11">
        <v>5.6835569999999997E-3</v>
      </c>
    </row>
    <row r="12" spans="1:2" x14ac:dyDescent="0.2">
      <c r="A12" s="1">
        <f t="shared" si="0"/>
        <v>36525</v>
      </c>
      <c r="B12">
        <v>4.9313880000000001E-3</v>
      </c>
    </row>
    <row r="13" spans="1:2" x14ac:dyDescent="0.2">
      <c r="A13" s="1">
        <f t="shared" si="0"/>
        <v>36891</v>
      </c>
      <c r="B13">
        <v>5.0784690000000004E-3</v>
      </c>
    </row>
    <row r="14" spans="1:2" x14ac:dyDescent="0.2">
      <c r="A14" s="1">
        <f t="shared" si="0"/>
        <v>37256</v>
      </c>
      <c r="B14">
        <v>4.6980399999999997E-3</v>
      </c>
    </row>
    <row r="15" spans="1:2" x14ac:dyDescent="0.2">
      <c r="A15" s="1">
        <f t="shared" si="0"/>
        <v>37621</v>
      </c>
      <c r="B15">
        <v>5.3276349999999998E-3</v>
      </c>
    </row>
    <row r="16" spans="1:2" x14ac:dyDescent="0.2">
      <c r="A16" s="1">
        <f t="shared" si="0"/>
        <v>37986</v>
      </c>
      <c r="B16">
        <v>4.431333E-3</v>
      </c>
    </row>
    <row r="17" spans="1:2" x14ac:dyDescent="0.2">
      <c r="A17" s="1">
        <f t="shared" si="0"/>
        <v>38352</v>
      </c>
      <c r="B17">
        <v>2.7105020000000001E-3</v>
      </c>
    </row>
    <row r="18" spans="1:2" x14ac:dyDescent="0.2">
      <c r="A18" s="1">
        <f t="shared" si="0"/>
        <v>38717</v>
      </c>
      <c r="B18">
        <v>1.938494E-3</v>
      </c>
    </row>
    <row r="19" spans="1:2" x14ac:dyDescent="0.2">
      <c r="A19" s="1">
        <f t="shared" si="0"/>
        <v>39082</v>
      </c>
      <c r="B19">
        <v>2.1246360000000001E-3</v>
      </c>
    </row>
    <row r="20" spans="1:2" x14ac:dyDescent="0.2">
      <c r="A20" s="1">
        <f t="shared" si="0"/>
        <v>39447</v>
      </c>
      <c r="B20">
        <v>3.9531430000000001E-3</v>
      </c>
    </row>
    <row r="21" spans="1:2" x14ac:dyDescent="0.2">
      <c r="A21" s="1">
        <f t="shared" si="0"/>
        <v>39813</v>
      </c>
      <c r="B21">
        <v>5.219619E-3</v>
      </c>
    </row>
    <row r="22" spans="1:2" x14ac:dyDescent="0.2">
      <c r="A22" s="1">
        <f t="shared" si="0"/>
        <v>40178</v>
      </c>
      <c r="B22">
        <v>5.8394290000000001E-3</v>
      </c>
    </row>
    <row r="23" spans="1:2" x14ac:dyDescent="0.2">
      <c r="A23" s="1">
        <f t="shared" si="0"/>
        <v>40543</v>
      </c>
      <c r="B23">
        <v>2.9940769999999999E-3</v>
      </c>
    </row>
    <row r="24" spans="1:2" x14ac:dyDescent="0.2">
      <c r="A24" s="1">
        <f t="shared" si="0"/>
        <v>40908</v>
      </c>
      <c r="B24">
        <v>1.7167650000000001E-3</v>
      </c>
    </row>
    <row r="25" spans="1:2" x14ac:dyDescent="0.2">
      <c r="A25" s="1">
        <f t="shared" si="0"/>
        <v>41274</v>
      </c>
      <c r="B25">
        <v>1.4749489999999999E-3</v>
      </c>
    </row>
    <row r="26" spans="1:2" x14ac:dyDescent="0.2">
      <c r="A26" s="1">
        <f t="shared" si="0"/>
        <v>41639</v>
      </c>
      <c r="B26">
        <v>9.2027500000000002E-4</v>
      </c>
    </row>
    <row r="27" spans="1:2" x14ac:dyDescent="0.2">
      <c r="A27" s="1">
        <f t="shared" si="0"/>
        <v>42004</v>
      </c>
      <c r="B27">
        <v>7.7277400000000005E-4</v>
      </c>
    </row>
    <row r="28" spans="1:2" x14ac:dyDescent="0.2">
      <c r="A28" s="1">
        <f t="shared" si="0"/>
        <v>42369</v>
      </c>
      <c r="B28">
        <v>6.7572900000000002E-4</v>
      </c>
    </row>
    <row r="29" spans="1:2" x14ac:dyDescent="0.2">
      <c r="A29" s="1">
        <f t="shared" si="0"/>
        <v>42735</v>
      </c>
      <c r="B29">
        <v>6.5424400000000001E-4</v>
      </c>
    </row>
    <row r="30" spans="1:2" x14ac:dyDescent="0.2">
      <c r="A30" s="1">
        <f t="shared" si="0"/>
        <v>43100</v>
      </c>
      <c r="B30">
        <v>6.9903900000000004E-4</v>
      </c>
    </row>
    <row r="31" spans="1:2" x14ac:dyDescent="0.2">
      <c r="A31" s="1">
        <f t="shared" si="0"/>
        <v>43465</v>
      </c>
      <c r="B31">
        <v>1.067983E-3</v>
      </c>
    </row>
    <row r="32" spans="1:2" x14ac:dyDescent="0.2">
      <c r="A32" s="1">
        <f t="shared" si="0"/>
        <v>43830</v>
      </c>
      <c r="B32">
        <v>2.384775E-3</v>
      </c>
    </row>
    <row r="33" spans="1:2" x14ac:dyDescent="0.2">
      <c r="A33" s="1">
        <f t="shared" si="0"/>
        <v>44196</v>
      </c>
      <c r="B33">
        <v>5.388561E-3</v>
      </c>
    </row>
    <row r="34" spans="1:2" x14ac:dyDescent="0.2">
      <c r="A34" s="1">
        <f t="shared" si="0"/>
        <v>44561</v>
      </c>
      <c r="B34">
        <v>8.1020869999999991E-3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D88D-9798-3142-AC63-EE160054B6D8}">
  <dimension ref="A1:B34"/>
  <sheetViews>
    <sheetView workbookViewId="0">
      <selection sqref="A1:XFD1"/>
    </sheetView>
  </sheetViews>
  <sheetFormatPr baseColWidth="10" defaultRowHeight="16" x14ac:dyDescent="0.2"/>
  <cols>
    <col min="1" max="1" width="10.83203125" style="1"/>
    <col min="2" max="2" width="18.6640625" bestFit="1" customWidth="1"/>
  </cols>
  <sheetData>
    <row r="1" spans="1:2" x14ac:dyDescent="0.2">
      <c r="A1" s="1" t="s">
        <v>0</v>
      </c>
      <c r="B1" t="s">
        <v>10</v>
      </c>
    </row>
    <row r="2" spans="1:2" x14ac:dyDescent="0.2">
      <c r="A2" s="1">
        <v>32873</v>
      </c>
      <c r="B2">
        <v>7.5031579000000001E-2</v>
      </c>
    </row>
    <row r="3" spans="1:2" x14ac:dyDescent="0.2">
      <c r="A3" s="1">
        <f>EDATE(A2,12)</f>
        <v>33238</v>
      </c>
      <c r="B3">
        <v>7.8574553000000005E-2</v>
      </c>
    </row>
    <row r="4" spans="1:2" x14ac:dyDescent="0.2">
      <c r="A4" s="1">
        <f t="shared" ref="A4:A34" si="0">EDATE(A3,12)</f>
        <v>33603</v>
      </c>
      <c r="B4">
        <v>8.7863422999999996E-2</v>
      </c>
    </row>
    <row r="5" spans="1:2" x14ac:dyDescent="0.2">
      <c r="A5" s="1">
        <f t="shared" si="0"/>
        <v>33969</v>
      </c>
      <c r="B5">
        <v>8.7794191999999993E-2</v>
      </c>
    </row>
    <row r="6" spans="1:2" x14ac:dyDescent="0.2">
      <c r="A6" s="1">
        <f t="shared" si="0"/>
        <v>34334</v>
      </c>
      <c r="B6">
        <v>8.2218057999999997E-2</v>
      </c>
    </row>
    <row r="7" spans="1:2" x14ac:dyDescent="0.2">
      <c r="A7" s="1">
        <f t="shared" si="0"/>
        <v>34699</v>
      </c>
      <c r="B7">
        <v>6.8263805999999996E-2</v>
      </c>
    </row>
    <row r="8" spans="1:2" x14ac:dyDescent="0.2">
      <c r="A8" s="1">
        <f t="shared" si="0"/>
        <v>35064</v>
      </c>
      <c r="B8">
        <v>6.3253842000000005E-2</v>
      </c>
    </row>
    <row r="9" spans="1:2" x14ac:dyDescent="0.2">
      <c r="A9" s="1">
        <f t="shared" si="0"/>
        <v>35430</v>
      </c>
      <c r="B9">
        <v>6.6627800000000001E-2</v>
      </c>
    </row>
    <row r="10" spans="1:2" x14ac:dyDescent="0.2">
      <c r="A10" s="1">
        <f t="shared" si="0"/>
        <v>35795</v>
      </c>
      <c r="B10">
        <v>7.3727219999999996E-2</v>
      </c>
    </row>
    <row r="11" spans="1:2" x14ac:dyDescent="0.2">
      <c r="A11" s="1">
        <f t="shared" si="0"/>
        <v>36160</v>
      </c>
      <c r="B11">
        <v>6.6408417999999997E-2</v>
      </c>
    </row>
    <row r="12" spans="1:2" x14ac:dyDescent="0.2">
      <c r="A12" s="1">
        <f t="shared" si="0"/>
        <v>36525</v>
      </c>
      <c r="B12">
        <v>5.6888025000000002E-2</v>
      </c>
    </row>
    <row r="13" spans="1:2" x14ac:dyDescent="0.2">
      <c r="A13" s="1">
        <f t="shared" si="0"/>
        <v>36891</v>
      </c>
      <c r="B13">
        <v>5.2252118E-2</v>
      </c>
    </row>
    <row r="14" spans="1:2" x14ac:dyDescent="0.2">
      <c r="A14" s="1">
        <f t="shared" si="0"/>
        <v>37256</v>
      </c>
      <c r="B14">
        <v>5.6334536999999997E-2</v>
      </c>
    </row>
    <row r="15" spans="1:2" x14ac:dyDescent="0.2">
      <c r="A15" s="1">
        <f t="shared" si="0"/>
        <v>37621</v>
      </c>
      <c r="B15">
        <v>6.1867271000000001E-2</v>
      </c>
    </row>
    <row r="16" spans="1:2" x14ac:dyDescent="0.2">
      <c r="A16" s="1">
        <f t="shared" si="0"/>
        <v>37986</v>
      </c>
      <c r="B16">
        <v>6.1358563999999997E-2</v>
      </c>
    </row>
    <row r="17" spans="1:2" x14ac:dyDescent="0.2">
      <c r="A17" s="1">
        <f t="shared" si="0"/>
        <v>38352</v>
      </c>
      <c r="B17">
        <v>4.8745460999999997E-2</v>
      </c>
    </row>
    <row r="18" spans="1:2" x14ac:dyDescent="0.2">
      <c r="A18" s="1">
        <f t="shared" si="0"/>
        <v>38717</v>
      </c>
      <c r="B18">
        <v>3.9490480000000001E-2</v>
      </c>
    </row>
    <row r="19" spans="1:2" x14ac:dyDescent="0.2">
      <c r="A19" s="1">
        <f t="shared" si="0"/>
        <v>39082</v>
      </c>
      <c r="B19">
        <v>3.8110878000000001E-2</v>
      </c>
    </row>
    <row r="20" spans="1:2" x14ac:dyDescent="0.2">
      <c r="A20" s="1">
        <f t="shared" si="0"/>
        <v>39447</v>
      </c>
      <c r="B20">
        <v>3.5181217000000001E-2</v>
      </c>
    </row>
    <row r="21" spans="1:2" x14ac:dyDescent="0.2">
      <c r="A21" s="1">
        <f t="shared" si="0"/>
        <v>39813</v>
      </c>
      <c r="B21">
        <v>1.5657291E-2</v>
      </c>
    </row>
    <row r="22" spans="1:2" x14ac:dyDescent="0.2">
      <c r="A22" s="1">
        <f t="shared" si="0"/>
        <v>40178</v>
      </c>
      <c r="B22">
        <v>3.27782E-2</v>
      </c>
    </row>
    <row r="23" spans="1:2" x14ac:dyDescent="0.2">
      <c r="A23" s="1">
        <f t="shared" si="0"/>
        <v>40543</v>
      </c>
      <c r="B23">
        <v>4.6949614000000001E-2</v>
      </c>
    </row>
    <row r="24" spans="1:2" x14ac:dyDescent="0.2">
      <c r="A24" s="1">
        <f t="shared" si="0"/>
        <v>40908</v>
      </c>
      <c r="B24">
        <v>4.0565259999999999E-2</v>
      </c>
    </row>
    <row r="25" spans="1:2" x14ac:dyDescent="0.2">
      <c r="A25" s="1">
        <f t="shared" si="0"/>
        <v>41274</v>
      </c>
      <c r="B25">
        <v>4.0550347E-2</v>
      </c>
    </row>
    <row r="26" spans="1:2" x14ac:dyDescent="0.2">
      <c r="A26" s="1">
        <f t="shared" si="0"/>
        <v>41639</v>
      </c>
      <c r="B26">
        <v>4.1193015999999999E-2</v>
      </c>
    </row>
    <row r="27" spans="1:2" x14ac:dyDescent="0.2">
      <c r="A27" s="1">
        <f t="shared" si="0"/>
        <v>42004</v>
      </c>
      <c r="B27">
        <v>3.9606045999999999E-2</v>
      </c>
    </row>
    <row r="28" spans="1:2" x14ac:dyDescent="0.2">
      <c r="A28" s="1">
        <f t="shared" si="0"/>
        <v>42369</v>
      </c>
      <c r="B28">
        <v>3.7675924999999999E-2</v>
      </c>
    </row>
    <row r="29" spans="1:2" x14ac:dyDescent="0.2">
      <c r="A29" s="1">
        <f t="shared" si="0"/>
        <v>42735</v>
      </c>
      <c r="B29">
        <v>3.5904657E-2</v>
      </c>
    </row>
    <row r="30" spans="1:2" x14ac:dyDescent="0.2">
      <c r="A30" s="1">
        <f t="shared" si="0"/>
        <v>43100</v>
      </c>
      <c r="B30">
        <v>3.4585128999999999E-2</v>
      </c>
    </row>
    <row r="31" spans="1:2" x14ac:dyDescent="0.2">
      <c r="A31" s="1">
        <f t="shared" si="0"/>
        <v>43465</v>
      </c>
      <c r="B31">
        <v>3.5249284999999998E-2</v>
      </c>
    </row>
    <row r="32" spans="1:2" x14ac:dyDescent="0.2">
      <c r="A32" s="1">
        <f t="shared" si="0"/>
        <v>43830</v>
      </c>
      <c r="B32">
        <v>3.6435242999999999E-2</v>
      </c>
    </row>
    <row r="33" spans="1:2" x14ac:dyDescent="0.2">
      <c r="A33" s="1">
        <f t="shared" si="0"/>
        <v>44196</v>
      </c>
      <c r="B33">
        <v>3.9092387999999999E-2</v>
      </c>
    </row>
    <row r="34" spans="1:2" x14ac:dyDescent="0.2">
      <c r="A34" s="1">
        <f t="shared" si="0"/>
        <v>44561</v>
      </c>
      <c r="B34">
        <v>4.0417611999999999E-2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D96F-8A7A-AE47-9E70-9AAA5FFF52D0}">
  <dimension ref="A1:N155"/>
  <sheetViews>
    <sheetView topLeftCell="A117" workbookViewId="0">
      <selection activeCell="A152" sqref="A152"/>
    </sheetView>
  </sheetViews>
  <sheetFormatPr baseColWidth="10" defaultColWidth="20.6640625" defaultRowHeight="16" x14ac:dyDescent="0.2"/>
  <cols>
    <col min="3" max="3" width="35" customWidth="1"/>
    <col min="4" max="6" width="31.33203125" customWidth="1"/>
    <col min="7" max="7" width="31.5" bestFit="1" customWidth="1"/>
    <col min="8" max="8" width="32" bestFit="1" customWidth="1"/>
    <col min="10" max="10" width="36.33203125" bestFit="1" customWidth="1"/>
    <col min="11" max="11" width="34.5" customWidth="1"/>
    <col min="12" max="12" width="35" customWidth="1"/>
    <col min="13" max="13" width="21.5" customWidth="1"/>
    <col min="259" max="259" width="35" customWidth="1"/>
    <col min="260" max="262" width="31.33203125" customWidth="1"/>
    <col min="263" max="263" width="31.5" bestFit="1" customWidth="1"/>
    <col min="264" max="264" width="32" bestFit="1" customWidth="1"/>
    <col min="266" max="266" width="36.33203125" bestFit="1" customWidth="1"/>
    <col min="267" max="267" width="34.5" customWidth="1"/>
    <col min="268" max="268" width="35" customWidth="1"/>
    <col min="269" max="269" width="21.5" customWidth="1"/>
    <col min="515" max="515" width="35" customWidth="1"/>
    <col min="516" max="518" width="31.33203125" customWidth="1"/>
    <col min="519" max="519" width="31.5" bestFit="1" customWidth="1"/>
    <col min="520" max="520" width="32" bestFit="1" customWidth="1"/>
    <col min="522" max="522" width="36.33203125" bestFit="1" customWidth="1"/>
    <col min="523" max="523" width="34.5" customWidth="1"/>
    <col min="524" max="524" width="35" customWidth="1"/>
    <col min="525" max="525" width="21.5" customWidth="1"/>
    <col min="771" max="771" width="35" customWidth="1"/>
    <col min="772" max="774" width="31.33203125" customWidth="1"/>
    <col min="775" max="775" width="31.5" bestFit="1" customWidth="1"/>
    <col min="776" max="776" width="32" bestFit="1" customWidth="1"/>
    <col min="778" max="778" width="36.33203125" bestFit="1" customWidth="1"/>
    <col min="779" max="779" width="34.5" customWidth="1"/>
    <col min="780" max="780" width="35" customWidth="1"/>
    <col min="781" max="781" width="21.5" customWidth="1"/>
    <col min="1027" max="1027" width="35" customWidth="1"/>
    <col min="1028" max="1030" width="31.33203125" customWidth="1"/>
    <col min="1031" max="1031" width="31.5" bestFit="1" customWidth="1"/>
    <col min="1032" max="1032" width="32" bestFit="1" customWidth="1"/>
    <col min="1034" max="1034" width="36.33203125" bestFit="1" customWidth="1"/>
    <col min="1035" max="1035" width="34.5" customWidth="1"/>
    <col min="1036" max="1036" width="35" customWidth="1"/>
    <col min="1037" max="1037" width="21.5" customWidth="1"/>
    <col min="1283" max="1283" width="35" customWidth="1"/>
    <col min="1284" max="1286" width="31.33203125" customWidth="1"/>
    <col min="1287" max="1287" width="31.5" bestFit="1" customWidth="1"/>
    <col min="1288" max="1288" width="32" bestFit="1" customWidth="1"/>
    <col min="1290" max="1290" width="36.33203125" bestFit="1" customWidth="1"/>
    <col min="1291" max="1291" width="34.5" customWidth="1"/>
    <col min="1292" max="1292" width="35" customWidth="1"/>
    <col min="1293" max="1293" width="21.5" customWidth="1"/>
    <col min="1539" max="1539" width="35" customWidth="1"/>
    <col min="1540" max="1542" width="31.33203125" customWidth="1"/>
    <col min="1543" max="1543" width="31.5" bestFit="1" customWidth="1"/>
    <col min="1544" max="1544" width="32" bestFit="1" customWidth="1"/>
    <col min="1546" max="1546" width="36.33203125" bestFit="1" customWidth="1"/>
    <col min="1547" max="1547" width="34.5" customWidth="1"/>
    <col min="1548" max="1548" width="35" customWidth="1"/>
    <col min="1549" max="1549" width="21.5" customWidth="1"/>
    <col min="1795" max="1795" width="35" customWidth="1"/>
    <col min="1796" max="1798" width="31.33203125" customWidth="1"/>
    <col min="1799" max="1799" width="31.5" bestFit="1" customWidth="1"/>
    <col min="1800" max="1800" width="32" bestFit="1" customWidth="1"/>
    <col min="1802" max="1802" width="36.33203125" bestFit="1" customWidth="1"/>
    <col min="1803" max="1803" width="34.5" customWidth="1"/>
    <col min="1804" max="1804" width="35" customWidth="1"/>
    <col min="1805" max="1805" width="21.5" customWidth="1"/>
    <col min="2051" max="2051" width="35" customWidth="1"/>
    <col min="2052" max="2054" width="31.33203125" customWidth="1"/>
    <col min="2055" max="2055" width="31.5" bestFit="1" customWidth="1"/>
    <col min="2056" max="2056" width="32" bestFit="1" customWidth="1"/>
    <col min="2058" max="2058" width="36.33203125" bestFit="1" customWidth="1"/>
    <col min="2059" max="2059" width="34.5" customWidth="1"/>
    <col min="2060" max="2060" width="35" customWidth="1"/>
    <col min="2061" max="2061" width="21.5" customWidth="1"/>
    <col min="2307" max="2307" width="35" customWidth="1"/>
    <col min="2308" max="2310" width="31.33203125" customWidth="1"/>
    <col min="2311" max="2311" width="31.5" bestFit="1" customWidth="1"/>
    <col min="2312" max="2312" width="32" bestFit="1" customWidth="1"/>
    <col min="2314" max="2314" width="36.33203125" bestFit="1" customWidth="1"/>
    <col min="2315" max="2315" width="34.5" customWidth="1"/>
    <col min="2316" max="2316" width="35" customWidth="1"/>
    <col min="2317" max="2317" width="21.5" customWidth="1"/>
    <col min="2563" max="2563" width="35" customWidth="1"/>
    <col min="2564" max="2566" width="31.33203125" customWidth="1"/>
    <col min="2567" max="2567" width="31.5" bestFit="1" customWidth="1"/>
    <col min="2568" max="2568" width="32" bestFit="1" customWidth="1"/>
    <col min="2570" max="2570" width="36.33203125" bestFit="1" customWidth="1"/>
    <col min="2571" max="2571" width="34.5" customWidth="1"/>
    <col min="2572" max="2572" width="35" customWidth="1"/>
    <col min="2573" max="2573" width="21.5" customWidth="1"/>
    <col min="2819" max="2819" width="35" customWidth="1"/>
    <col min="2820" max="2822" width="31.33203125" customWidth="1"/>
    <col min="2823" max="2823" width="31.5" bestFit="1" customWidth="1"/>
    <col min="2824" max="2824" width="32" bestFit="1" customWidth="1"/>
    <col min="2826" max="2826" width="36.33203125" bestFit="1" customWidth="1"/>
    <col min="2827" max="2827" width="34.5" customWidth="1"/>
    <col min="2828" max="2828" width="35" customWidth="1"/>
    <col min="2829" max="2829" width="21.5" customWidth="1"/>
    <col min="3075" max="3075" width="35" customWidth="1"/>
    <col min="3076" max="3078" width="31.33203125" customWidth="1"/>
    <col min="3079" max="3079" width="31.5" bestFit="1" customWidth="1"/>
    <col min="3080" max="3080" width="32" bestFit="1" customWidth="1"/>
    <col min="3082" max="3082" width="36.33203125" bestFit="1" customWidth="1"/>
    <col min="3083" max="3083" width="34.5" customWidth="1"/>
    <col min="3084" max="3084" width="35" customWidth="1"/>
    <col min="3085" max="3085" width="21.5" customWidth="1"/>
    <col min="3331" max="3331" width="35" customWidth="1"/>
    <col min="3332" max="3334" width="31.33203125" customWidth="1"/>
    <col min="3335" max="3335" width="31.5" bestFit="1" customWidth="1"/>
    <col min="3336" max="3336" width="32" bestFit="1" customWidth="1"/>
    <col min="3338" max="3338" width="36.33203125" bestFit="1" customWidth="1"/>
    <col min="3339" max="3339" width="34.5" customWidth="1"/>
    <col min="3340" max="3340" width="35" customWidth="1"/>
    <col min="3341" max="3341" width="21.5" customWidth="1"/>
    <col min="3587" max="3587" width="35" customWidth="1"/>
    <col min="3588" max="3590" width="31.33203125" customWidth="1"/>
    <col min="3591" max="3591" width="31.5" bestFit="1" customWidth="1"/>
    <col min="3592" max="3592" width="32" bestFit="1" customWidth="1"/>
    <col min="3594" max="3594" width="36.33203125" bestFit="1" customWidth="1"/>
    <col min="3595" max="3595" width="34.5" customWidth="1"/>
    <col min="3596" max="3596" width="35" customWidth="1"/>
    <col min="3597" max="3597" width="21.5" customWidth="1"/>
    <col min="3843" max="3843" width="35" customWidth="1"/>
    <col min="3844" max="3846" width="31.33203125" customWidth="1"/>
    <col min="3847" max="3847" width="31.5" bestFit="1" customWidth="1"/>
    <col min="3848" max="3848" width="32" bestFit="1" customWidth="1"/>
    <col min="3850" max="3850" width="36.33203125" bestFit="1" customWidth="1"/>
    <col min="3851" max="3851" width="34.5" customWidth="1"/>
    <col min="3852" max="3852" width="35" customWidth="1"/>
    <col min="3853" max="3853" width="21.5" customWidth="1"/>
    <col min="4099" max="4099" width="35" customWidth="1"/>
    <col min="4100" max="4102" width="31.33203125" customWidth="1"/>
    <col min="4103" max="4103" width="31.5" bestFit="1" customWidth="1"/>
    <col min="4104" max="4104" width="32" bestFit="1" customWidth="1"/>
    <col min="4106" max="4106" width="36.33203125" bestFit="1" customWidth="1"/>
    <col min="4107" max="4107" width="34.5" customWidth="1"/>
    <col min="4108" max="4108" width="35" customWidth="1"/>
    <col min="4109" max="4109" width="21.5" customWidth="1"/>
    <col min="4355" max="4355" width="35" customWidth="1"/>
    <col min="4356" max="4358" width="31.33203125" customWidth="1"/>
    <col min="4359" max="4359" width="31.5" bestFit="1" customWidth="1"/>
    <col min="4360" max="4360" width="32" bestFit="1" customWidth="1"/>
    <col min="4362" max="4362" width="36.33203125" bestFit="1" customWidth="1"/>
    <col min="4363" max="4363" width="34.5" customWidth="1"/>
    <col min="4364" max="4364" width="35" customWidth="1"/>
    <col min="4365" max="4365" width="21.5" customWidth="1"/>
    <col min="4611" max="4611" width="35" customWidth="1"/>
    <col min="4612" max="4614" width="31.33203125" customWidth="1"/>
    <col min="4615" max="4615" width="31.5" bestFit="1" customWidth="1"/>
    <col min="4616" max="4616" width="32" bestFit="1" customWidth="1"/>
    <col min="4618" max="4618" width="36.33203125" bestFit="1" customWidth="1"/>
    <col min="4619" max="4619" width="34.5" customWidth="1"/>
    <col min="4620" max="4620" width="35" customWidth="1"/>
    <col min="4621" max="4621" width="21.5" customWidth="1"/>
    <col min="4867" max="4867" width="35" customWidth="1"/>
    <col min="4868" max="4870" width="31.33203125" customWidth="1"/>
    <col min="4871" max="4871" width="31.5" bestFit="1" customWidth="1"/>
    <col min="4872" max="4872" width="32" bestFit="1" customWidth="1"/>
    <col min="4874" max="4874" width="36.33203125" bestFit="1" customWidth="1"/>
    <col min="4875" max="4875" width="34.5" customWidth="1"/>
    <col min="4876" max="4876" width="35" customWidth="1"/>
    <col min="4877" max="4877" width="21.5" customWidth="1"/>
    <col min="5123" max="5123" width="35" customWidth="1"/>
    <col min="5124" max="5126" width="31.33203125" customWidth="1"/>
    <col min="5127" max="5127" width="31.5" bestFit="1" customWidth="1"/>
    <col min="5128" max="5128" width="32" bestFit="1" customWidth="1"/>
    <col min="5130" max="5130" width="36.33203125" bestFit="1" customWidth="1"/>
    <col min="5131" max="5131" width="34.5" customWidth="1"/>
    <col min="5132" max="5132" width="35" customWidth="1"/>
    <col min="5133" max="5133" width="21.5" customWidth="1"/>
    <col min="5379" max="5379" width="35" customWidth="1"/>
    <col min="5380" max="5382" width="31.33203125" customWidth="1"/>
    <col min="5383" max="5383" width="31.5" bestFit="1" customWidth="1"/>
    <col min="5384" max="5384" width="32" bestFit="1" customWidth="1"/>
    <col min="5386" max="5386" width="36.33203125" bestFit="1" customWidth="1"/>
    <col min="5387" max="5387" width="34.5" customWidth="1"/>
    <col min="5388" max="5388" width="35" customWidth="1"/>
    <col min="5389" max="5389" width="21.5" customWidth="1"/>
    <col min="5635" max="5635" width="35" customWidth="1"/>
    <col min="5636" max="5638" width="31.33203125" customWidth="1"/>
    <col min="5639" max="5639" width="31.5" bestFit="1" customWidth="1"/>
    <col min="5640" max="5640" width="32" bestFit="1" customWidth="1"/>
    <col min="5642" max="5642" width="36.33203125" bestFit="1" customWidth="1"/>
    <col min="5643" max="5643" width="34.5" customWidth="1"/>
    <col min="5644" max="5644" width="35" customWidth="1"/>
    <col min="5645" max="5645" width="21.5" customWidth="1"/>
    <col min="5891" max="5891" width="35" customWidth="1"/>
    <col min="5892" max="5894" width="31.33203125" customWidth="1"/>
    <col min="5895" max="5895" width="31.5" bestFit="1" customWidth="1"/>
    <col min="5896" max="5896" width="32" bestFit="1" customWidth="1"/>
    <col min="5898" max="5898" width="36.33203125" bestFit="1" customWidth="1"/>
    <col min="5899" max="5899" width="34.5" customWidth="1"/>
    <col min="5900" max="5900" width="35" customWidth="1"/>
    <col min="5901" max="5901" width="21.5" customWidth="1"/>
    <col min="6147" max="6147" width="35" customWidth="1"/>
    <col min="6148" max="6150" width="31.33203125" customWidth="1"/>
    <col min="6151" max="6151" width="31.5" bestFit="1" customWidth="1"/>
    <col min="6152" max="6152" width="32" bestFit="1" customWidth="1"/>
    <col min="6154" max="6154" width="36.33203125" bestFit="1" customWidth="1"/>
    <col min="6155" max="6155" width="34.5" customWidth="1"/>
    <col min="6156" max="6156" width="35" customWidth="1"/>
    <col min="6157" max="6157" width="21.5" customWidth="1"/>
    <col min="6403" max="6403" width="35" customWidth="1"/>
    <col min="6404" max="6406" width="31.33203125" customWidth="1"/>
    <col min="6407" max="6407" width="31.5" bestFit="1" customWidth="1"/>
    <col min="6408" max="6408" width="32" bestFit="1" customWidth="1"/>
    <col min="6410" max="6410" width="36.33203125" bestFit="1" customWidth="1"/>
    <col min="6411" max="6411" width="34.5" customWidth="1"/>
    <col min="6412" max="6412" width="35" customWidth="1"/>
    <col min="6413" max="6413" width="21.5" customWidth="1"/>
    <col min="6659" max="6659" width="35" customWidth="1"/>
    <col min="6660" max="6662" width="31.33203125" customWidth="1"/>
    <col min="6663" max="6663" width="31.5" bestFit="1" customWidth="1"/>
    <col min="6664" max="6664" width="32" bestFit="1" customWidth="1"/>
    <col min="6666" max="6666" width="36.33203125" bestFit="1" customWidth="1"/>
    <col min="6667" max="6667" width="34.5" customWidth="1"/>
    <col min="6668" max="6668" width="35" customWidth="1"/>
    <col min="6669" max="6669" width="21.5" customWidth="1"/>
    <col min="6915" max="6915" width="35" customWidth="1"/>
    <col min="6916" max="6918" width="31.33203125" customWidth="1"/>
    <col min="6919" max="6919" width="31.5" bestFit="1" customWidth="1"/>
    <col min="6920" max="6920" width="32" bestFit="1" customWidth="1"/>
    <col min="6922" max="6922" width="36.33203125" bestFit="1" customWidth="1"/>
    <col min="6923" max="6923" width="34.5" customWidth="1"/>
    <col min="6924" max="6924" width="35" customWidth="1"/>
    <col min="6925" max="6925" width="21.5" customWidth="1"/>
    <col min="7171" max="7171" width="35" customWidth="1"/>
    <col min="7172" max="7174" width="31.33203125" customWidth="1"/>
    <col min="7175" max="7175" width="31.5" bestFit="1" customWidth="1"/>
    <col min="7176" max="7176" width="32" bestFit="1" customWidth="1"/>
    <col min="7178" max="7178" width="36.33203125" bestFit="1" customWidth="1"/>
    <col min="7179" max="7179" width="34.5" customWidth="1"/>
    <col min="7180" max="7180" width="35" customWidth="1"/>
    <col min="7181" max="7181" width="21.5" customWidth="1"/>
    <col min="7427" max="7427" width="35" customWidth="1"/>
    <col min="7428" max="7430" width="31.33203125" customWidth="1"/>
    <col min="7431" max="7431" width="31.5" bestFit="1" customWidth="1"/>
    <col min="7432" max="7432" width="32" bestFit="1" customWidth="1"/>
    <col min="7434" max="7434" width="36.33203125" bestFit="1" customWidth="1"/>
    <col min="7435" max="7435" width="34.5" customWidth="1"/>
    <col min="7436" max="7436" width="35" customWidth="1"/>
    <col min="7437" max="7437" width="21.5" customWidth="1"/>
    <col min="7683" max="7683" width="35" customWidth="1"/>
    <col min="7684" max="7686" width="31.33203125" customWidth="1"/>
    <col min="7687" max="7687" width="31.5" bestFit="1" customWidth="1"/>
    <col min="7688" max="7688" width="32" bestFit="1" customWidth="1"/>
    <col min="7690" max="7690" width="36.33203125" bestFit="1" customWidth="1"/>
    <col min="7691" max="7691" width="34.5" customWidth="1"/>
    <col min="7692" max="7692" width="35" customWidth="1"/>
    <col min="7693" max="7693" width="21.5" customWidth="1"/>
    <col min="7939" max="7939" width="35" customWidth="1"/>
    <col min="7940" max="7942" width="31.33203125" customWidth="1"/>
    <col min="7943" max="7943" width="31.5" bestFit="1" customWidth="1"/>
    <col min="7944" max="7944" width="32" bestFit="1" customWidth="1"/>
    <col min="7946" max="7946" width="36.33203125" bestFit="1" customWidth="1"/>
    <col min="7947" max="7947" width="34.5" customWidth="1"/>
    <col min="7948" max="7948" width="35" customWidth="1"/>
    <col min="7949" max="7949" width="21.5" customWidth="1"/>
    <col min="8195" max="8195" width="35" customWidth="1"/>
    <col min="8196" max="8198" width="31.33203125" customWidth="1"/>
    <col min="8199" max="8199" width="31.5" bestFit="1" customWidth="1"/>
    <col min="8200" max="8200" width="32" bestFit="1" customWidth="1"/>
    <col min="8202" max="8202" width="36.33203125" bestFit="1" customWidth="1"/>
    <col min="8203" max="8203" width="34.5" customWidth="1"/>
    <col min="8204" max="8204" width="35" customWidth="1"/>
    <col min="8205" max="8205" width="21.5" customWidth="1"/>
    <col min="8451" max="8451" width="35" customWidth="1"/>
    <col min="8452" max="8454" width="31.33203125" customWidth="1"/>
    <col min="8455" max="8455" width="31.5" bestFit="1" customWidth="1"/>
    <col min="8456" max="8456" width="32" bestFit="1" customWidth="1"/>
    <col min="8458" max="8458" width="36.33203125" bestFit="1" customWidth="1"/>
    <col min="8459" max="8459" width="34.5" customWidth="1"/>
    <col min="8460" max="8460" width="35" customWidth="1"/>
    <col min="8461" max="8461" width="21.5" customWidth="1"/>
    <col min="8707" max="8707" width="35" customWidth="1"/>
    <col min="8708" max="8710" width="31.33203125" customWidth="1"/>
    <col min="8711" max="8711" width="31.5" bestFit="1" customWidth="1"/>
    <col min="8712" max="8712" width="32" bestFit="1" customWidth="1"/>
    <col min="8714" max="8714" width="36.33203125" bestFit="1" customWidth="1"/>
    <col min="8715" max="8715" width="34.5" customWidth="1"/>
    <col min="8716" max="8716" width="35" customWidth="1"/>
    <col min="8717" max="8717" width="21.5" customWidth="1"/>
    <col min="8963" max="8963" width="35" customWidth="1"/>
    <col min="8964" max="8966" width="31.33203125" customWidth="1"/>
    <col min="8967" max="8967" width="31.5" bestFit="1" customWidth="1"/>
    <col min="8968" max="8968" width="32" bestFit="1" customWidth="1"/>
    <col min="8970" max="8970" width="36.33203125" bestFit="1" customWidth="1"/>
    <col min="8971" max="8971" width="34.5" customWidth="1"/>
    <col min="8972" max="8972" width="35" customWidth="1"/>
    <col min="8973" max="8973" width="21.5" customWidth="1"/>
    <col min="9219" max="9219" width="35" customWidth="1"/>
    <col min="9220" max="9222" width="31.33203125" customWidth="1"/>
    <col min="9223" max="9223" width="31.5" bestFit="1" customWidth="1"/>
    <col min="9224" max="9224" width="32" bestFit="1" customWidth="1"/>
    <col min="9226" max="9226" width="36.33203125" bestFit="1" customWidth="1"/>
    <col min="9227" max="9227" width="34.5" customWidth="1"/>
    <col min="9228" max="9228" width="35" customWidth="1"/>
    <col min="9229" max="9229" width="21.5" customWidth="1"/>
    <col min="9475" max="9475" width="35" customWidth="1"/>
    <col min="9476" max="9478" width="31.33203125" customWidth="1"/>
    <col min="9479" max="9479" width="31.5" bestFit="1" customWidth="1"/>
    <col min="9480" max="9480" width="32" bestFit="1" customWidth="1"/>
    <col min="9482" max="9482" width="36.33203125" bestFit="1" customWidth="1"/>
    <col min="9483" max="9483" width="34.5" customWidth="1"/>
    <col min="9484" max="9484" width="35" customWidth="1"/>
    <col min="9485" max="9485" width="21.5" customWidth="1"/>
    <col min="9731" max="9731" width="35" customWidth="1"/>
    <col min="9732" max="9734" width="31.33203125" customWidth="1"/>
    <col min="9735" max="9735" width="31.5" bestFit="1" customWidth="1"/>
    <col min="9736" max="9736" width="32" bestFit="1" customWidth="1"/>
    <col min="9738" max="9738" width="36.33203125" bestFit="1" customWidth="1"/>
    <col min="9739" max="9739" width="34.5" customWidth="1"/>
    <col min="9740" max="9740" width="35" customWidth="1"/>
    <col min="9741" max="9741" width="21.5" customWidth="1"/>
    <col min="9987" max="9987" width="35" customWidth="1"/>
    <col min="9988" max="9990" width="31.33203125" customWidth="1"/>
    <col min="9991" max="9991" width="31.5" bestFit="1" customWidth="1"/>
    <col min="9992" max="9992" width="32" bestFit="1" customWidth="1"/>
    <col min="9994" max="9994" width="36.33203125" bestFit="1" customWidth="1"/>
    <col min="9995" max="9995" width="34.5" customWidth="1"/>
    <col min="9996" max="9996" width="35" customWidth="1"/>
    <col min="9997" max="9997" width="21.5" customWidth="1"/>
    <col min="10243" max="10243" width="35" customWidth="1"/>
    <col min="10244" max="10246" width="31.33203125" customWidth="1"/>
    <col min="10247" max="10247" width="31.5" bestFit="1" customWidth="1"/>
    <col min="10248" max="10248" width="32" bestFit="1" customWidth="1"/>
    <col min="10250" max="10250" width="36.33203125" bestFit="1" customWidth="1"/>
    <col min="10251" max="10251" width="34.5" customWidth="1"/>
    <col min="10252" max="10252" width="35" customWidth="1"/>
    <col min="10253" max="10253" width="21.5" customWidth="1"/>
    <col min="10499" max="10499" width="35" customWidth="1"/>
    <col min="10500" max="10502" width="31.33203125" customWidth="1"/>
    <col min="10503" max="10503" width="31.5" bestFit="1" customWidth="1"/>
    <col min="10504" max="10504" width="32" bestFit="1" customWidth="1"/>
    <col min="10506" max="10506" width="36.33203125" bestFit="1" customWidth="1"/>
    <col min="10507" max="10507" width="34.5" customWidth="1"/>
    <col min="10508" max="10508" width="35" customWidth="1"/>
    <col min="10509" max="10509" width="21.5" customWidth="1"/>
    <col min="10755" max="10755" width="35" customWidth="1"/>
    <col min="10756" max="10758" width="31.33203125" customWidth="1"/>
    <col min="10759" max="10759" width="31.5" bestFit="1" customWidth="1"/>
    <col min="10760" max="10760" width="32" bestFit="1" customWidth="1"/>
    <col min="10762" max="10762" width="36.33203125" bestFit="1" customWidth="1"/>
    <col min="10763" max="10763" width="34.5" customWidth="1"/>
    <col min="10764" max="10764" width="35" customWidth="1"/>
    <col min="10765" max="10765" width="21.5" customWidth="1"/>
    <col min="11011" max="11011" width="35" customWidth="1"/>
    <col min="11012" max="11014" width="31.33203125" customWidth="1"/>
    <col min="11015" max="11015" width="31.5" bestFit="1" customWidth="1"/>
    <col min="11016" max="11016" width="32" bestFit="1" customWidth="1"/>
    <col min="11018" max="11018" width="36.33203125" bestFit="1" customWidth="1"/>
    <col min="11019" max="11019" width="34.5" customWidth="1"/>
    <col min="11020" max="11020" width="35" customWidth="1"/>
    <col min="11021" max="11021" width="21.5" customWidth="1"/>
    <col min="11267" max="11267" width="35" customWidth="1"/>
    <col min="11268" max="11270" width="31.33203125" customWidth="1"/>
    <col min="11271" max="11271" width="31.5" bestFit="1" customWidth="1"/>
    <col min="11272" max="11272" width="32" bestFit="1" customWidth="1"/>
    <col min="11274" max="11274" width="36.33203125" bestFit="1" customWidth="1"/>
    <col min="11275" max="11275" width="34.5" customWidth="1"/>
    <col min="11276" max="11276" width="35" customWidth="1"/>
    <col min="11277" max="11277" width="21.5" customWidth="1"/>
    <col min="11523" max="11523" width="35" customWidth="1"/>
    <col min="11524" max="11526" width="31.33203125" customWidth="1"/>
    <col min="11527" max="11527" width="31.5" bestFit="1" customWidth="1"/>
    <col min="11528" max="11528" width="32" bestFit="1" customWidth="1"/>
    <col min="11530" max="11530" width="36.33203125" bestFit="1" customWidth="1"/>
    <col min="11531" max="11531" width="34.5" customWidth="1"/>
    <col min="11532" max="11532" width="35" customWidth="1"/>
    <col min="11533" max="11533" width="21.5" customWidth="1"/>
    <col min="11779" max="11779" width="35" customWidth="1"/>
    <col min="11780" max="11782" width="31.33203125" customWidth="1"/>
    <col min="11783" max="11783" width="31.5" bestFit="1" customWidth="1"/>
    <col min="11784" max="11784" width="32" bestFit="1" customWidth="1"/>
    <col min="11786" max="11786" width="36.33203125" bestFit="1" customWidth="1"/>
    <col min="11787" max="11787" width="34.5" customWidth="1"/>
    <col min="11788" max="11788" width="35" customWidth="1"/>
    <col min="11789" max="11789" width="21.5" customWidth="1"/>
    <col min="12035" max="12035" width="35" customWidth="1"/>
    <col min="12036" max="12038" width="31.33203125" customWidth="1"/>
    <col min="12039" max="12039" width="31.5" bestFit="1" customWidth="1"/>
    <col min="12040" max="12040" width="32" bestFit="1" customWidth="1"/>
    <col min="12042" max="12042" width="36.33203125" bestFit="1" customWidth="1"/>
    <col min="12043" max="12043" width="34.5" customWidth="1"/>
    <col min="12044" max="12044" width="35" customWidth="1"/>
    <col min="12045" max="12045" width="21.5" customWidth="1"/>
    <col min="12291" max="12291" width="35" customWidth="1"/>
    <col min="12292" max="12294" width="31.33203125" customWidth="1"/>
    <col min="12295" max="12295" width="31.5" bestFit="1" customWidth="1"/>
    <col min="12296" max="12296" width="32" bestFit="1" customWidth="1"/>
    <col min="12298" max="12298" width="36.33203125" bestFit="1" customWidth="1"/>
    <col min="12299" max="12299" width="34.5" customWidth="1"/>
    <col min="12300" max="12300" width="35" customWidth="1"/>
    <col min="12301" max="12301" width="21.5" customWidth="1"/>
    <col min="12547" max="12547" width="35" customWidth="1"/>
    <col min="12548" max="12550" width="31.33203125" customWidth="1"/>
    <col min="12551" max="12551" width="31.5" bestFit="1" customWidth="1"/>
    <col min="12552" max="12552" width="32" bestFit="1" customWidth="1"/>
    <col min="12554" max="12554" width="36.33203125" bestFit="1" customWidth="1"/>
    <col min="12555" max="12555" width="34.5" customWidth="1"/>
    <col min="12556" max="12556" width="35" customWidth="1"/>
    <col min="12557" max="12557" width="21.5" customWidth="1"/>
    <col min="12803" max="12803" width="35" customWidth="1"/>
    <col min="12804" max="12806" width="31.33203125" customWidth="1"/>
    <col min="12807" max="12807" width="31.5" bestFit="1" customWidth="1"/>
    <col min="12808" max="12808" width="32" bestFit="1" customWidth="1"/>
    <col min="12810" max="12810" width="36.33203125" bestFit="1" customWidth="1"/>
    <col min="12811" max="12811" width="34.5" customWidth="1"/>
    <col min="12812" max="12812" width="35" customWidth="1"/>
    <col min="12813" max="12813" width="21.5" customWidth="1"/>
    <col min="13059" max="13059" width="35" customWidth="1"/>
    <col min="13060" max="13062" width="31.33203125" customWidth="1"/>
    <col min="13063" max="13063" width="31.5" bestFit="1" customWidth="1"/>
    <col min="13064" max="13064" width="32" bestFit="1" customWidth="1"/>
    <col min="13066" max="13066" width="36.33203125" bestFit="1" customWidth="1"/>
    <col min="13067" max="13067" width="34.5" customWidth="1"/>
    <col min="13068" max="13068" width="35" customWidth="1"/>
    <col min="13069" max="13069" width="21.5" customWidth="1"/>
    <col min="13315" max="13315" width="35" customWidth="1"/>
    <col min="13316" max="13318" width="31.33203125" customWidth="1"/>
    <col min="13319" max="13319" width="31.5" bestFit="1" customWidth="1"/>
    <col min="13320" max="13320" width="32" bestFit="1" customWidth="1"/>
    <col min="13322" max="13322" width="36.33203125" bestFit="1" customWidth="1"/>
    <col min="13323" max="13323" width="34.5" customWidth="1"/>
    <col min="13324" max="13324" width="35" customWidth="1"/>
    <col min="13325" max="13325" width="21.5" customWidth="1"/>
    <col min="13571" max="13571" width="35" customWidth="1"/>
    <col min="13572" max="13574" width="31.33203125" customWidth="1"/>
    <col min="13575" max="13575" width="31.5" bestFit="1" customWidth="1"/>
    <col min="13576" max="13576" width="32" bestFit="1" customWidth="1"/>
    <col min="13578" max="13578" width="36.33203125" bestFit="1" customWidth="1"/>
    <col min="13579" max="13579" width="34.5" customWidth="1"/>
    <col min="13580" max="13580" width="35" customWidth="1"/>
    <col min="13581" max="13581" width="21.5" customWidth="1"/>
    <col min="13827" max="13827" width="35" customWidth="1"/>
    <col min="13828" max="13830" width="31.33203125" customWidth="1"/>
    <col min="13831" max="13831" width="31.5" bestFit="1" customWidth="1"/>
    <col min="13832" max="13832" width="32" bestFit="1" customWidth="1"/>
    <col min="13834" max="13834" width="36.33203125" bestFit="1" customWidth="1"/>
    <col min="13835" max="13835" width="34.5" customWidth="1"/>
    <col min="13836" max="13836" width="35" customWidth="1"/>
    <col min="13837" max="13837" width="21.5" customWidth="1"/>
    <col min="14083" max="14083" width="35" customWidth="1"/>
    <col min="14084" max="14086" width="31.33203125" customWidth="1"/>
    <col min="14087" max="14087" width="31.5" bestFit="1" customWidth="1"/>
    <col min="14088" max="14088" width="32" bestFit="1" customWidth="1"/>
    <col min="14090" max="14090" width="36.33203125" bestFit="1" customWidth="1"/>
    <col min="14091" max="14091" width="34.5" customWidth="1"/>
    <col min="14092" max="14092" width="35" customWidth="1"/>
    <col min="14093" max="14093" width="21.5" customWidth="1"/>
    <col min="14339" max="14339" width="35" customWidth="1"/>
    <col min="14340" max="14342" width="31.33203125" customWidth="1"/>
    <col min="14343" max="14343" width="31.5" bestFit="1" customWidth="1"/>
    <col min="14344" max="14344" width="32" bestFit="1" customWidth="1"/>
    <col min="14346" max="14346" width="36.33203125" bestFit="1" customWidth="1"/>
    <col min="14347" max="14347" width="34.5" customWidth="1"/>
    <col min="14348" max="14348" width="35" customWidth="1"/>
    <col min="14349" max="14349" width="21.5" customWidth="1"/>
    <col min="14595" max="14595" width="35" customWidth="1"/>
    <col min="14596" max="14598" width="31.33203125" customWidth="1"/>
    <col min="14599" max="14599" width="31.5" bestFit="1" customWidth="1"/>
    <col min="14600" max="14600" width="32" bestFit="1" customWidth="1"/>
    <col min="14602" max="14602" width="36.33203125" bestFit="1" customWidth="1"/>
    <col min="14603" max="14603" width="34.5" customWidth="1"/>
    <col min="14604" max="14604" width="35" customWidth="1"/>
    <col min="14605" max="14605" width="21.5" customWidth="1"/>
    <col min="14851" max="14851" width="35" customWidth="1"/>
    <col min="14852" max="14854" width="31.33203125" customWidth="1"/>
    <col min="14855" max="14855" width="31.5" bestFit="1" customWidth="1"/>
    <col min="14856" max="14856" width="32" bestFit="1" customWidth="1"/>
    <col min="14858" max="14858" width="36.33203125" bestFit="1" customWidth="1"/>
    <col min="14859" max="14859" width="34.5" customWidth="1"/>
    <col min="14860" max="14860" width="35" customWidth="1"/>
    <col min="14861" max="14861" width="21.5" customWidth="1"/>
    <col min="15107" max="15107" width="35" customWidth="1"/>
    <col min="15108" max="15110" width="31.33203125" customWidth="1"/>
    <col min="15111" max="15111" width="31.5" bestFit="1" customWidth="1"/>
    <col min="15112" max="15112" width="32" bestFit="1" customWidth="1"/>
    <col min="15114" max="15114" width="36.33203125" bestFit="1" customWidth="1"/>
    <col min="15115" max="15115" width="34.5" customWidth="1"/>
    <col min="15116" max="15116" width="35" customWidth="1"/>
    <col min="15117" max="15117" width="21.5" customWidth="1"/>
    <col min="15363" max="15363" width="35" customWidth="1"/>
    <col min="15364" max="15366" width="31.33203125" customWidth="1"/>
    <col min="15367" max="15367" width="31.5" bestFit="1" customWidth="1"/>
    <col min="15368" max="15368" width="32" bestFit="1" customWidth="1"/>
    <col min="15370" max="15370" width="36.33203125" bestFit="1" customWidth="1"/>
    <col min="15371" max="15371" width="34.5" customWidth="1"/>
    <col min="15372" max="15372" width="35" customWidth="1"/>
    <col min="15373" max="15373" width="21.5" customWidth="1"/>
    <col min="15619" max="15619" width="35" customWidth="1"/>
    <col min="15620" max="15622" width="31.33203125" customWidth="1"/>
    <col min="15623" max="15623" width="31.5" bestFit="1" customWidth="1"/>
    <col min="15624" max="15624" width="32" bestFit="1" customWidth="1"/>
    <col min="15626" max="15626" width="36.33203125" bestFit="1" customWidth="1"/>
    <col min="15627" max="15627" width="34.5" customWidth="1"/>
    <col min="15628" max="15628" width="35" customWidth="1"/>
    <col min="15629" max="15629" width="21.5" customWidth="1"/>
    <col min="15875" max="15875" width="35" customWidth="1"/>
    <col min="15876" max="15878" width="31.33203125" customWidth="1"/>
    <col min="15879" max="15879" width="31.5" bestFit="1" customWidth="1"/>
    <col min="15880" max="15880" width="32" bestFit="1" customWidth="1"/>
    <col min="15882" max="15882" width="36.33203125" bestFit="1" customWidth="1"/>
    <col min="15883" max="15883" width="34.5" customWidth="1"/>
    <col min="15884" max="15884" width="35" customWidth="1"/>
    <col min="15885" max="15885" width="21.5" customWidth="1"/>
    <col min="16131" max="16131" width="35" customWidth="1"/>
    <col min="16132" max="16134" width="31.33203125" customWidth="1"/>
    <col min="16135" max="16135" width="31.5" bestFit="1" customWidth="1"/>
    <col min="16136" max="16136" width="32" bestFit="1" customWidth="1"/>
    <col min="16138" max="16138" width="36.33203125" bestFit="1" customWidth="1"/>
    <col min="16139" max="16139" width="34.5" customWidth="1"/>
    <col min="16140" max="16140" width="35" customWidth="1"/>
    <col min="16141" max="16141" width="21.5" customWidth="1"/>
  </cols>
  <sheetData>
    <row r="1" spans="1:14" x14ac:dyDescent="0.2">
      <c r="A1" t="s">
        <v>11</v>
      </c>
      <c r="B1" t="s">
        <v>12</v>
      </c>
    </row>
    <row r="2" spans="1:14" x14ac:dyDescent="0.2">
      <c r="A2" t="s">
        <v>13</v>
      </c>
      <c r="B2" t="s">
        <v>11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 x14ac:dyDescent="0.2">
      <c r="A3" s="3">
        <v>30773</v>
      </c>
      <c r="B3" s="4">
        <v>19427.666666666668</v>
      </c>
      <c r="C3" s="5">
        <v>36.446333333333335</v>
      </c>
      <c r="D3" s="4">
        <v>601</v>
      </c>
      <c r="E3" s="4">
        <f>B3+D3</f>
        <v>20028.666666666668</v>
      </c>
      <c r="F3" s="4">
        <f>C3*1000+D3</f>
        <v>37047.333333333336</v>
      </c>
      <c r="K3" s="6"/>
      <c r="L3" s="6" t="e">
        <f t="shared" ref="L3:L66" si="0">D3/H3</f>
        <v>#DIV/0!</v>
      </c>
    </row>
    <row r="4" spans="1:14" x14ac:dyDescent="0.2">
      <c r="A4" s="3">
        <v>30864</v>
      </c>
      <c r="B4" s="4">
        <v>19105.333333333332</v>
      </c>
      <c r="C4" s="5">
        <v>36.930666666666667</v>
      </c>
      <c r="D4" s="4">
        <v>653.66666666666663</v>
      </c>
      <c r="E4" s="4">
        <f t="shared" ref="E4:E67" si="1">B4+D4</f>
        <v>19759</v>
      </c>
      <c r="F4" s="4">
        <f t="shared" ref="F4:F67" si="2">C4*1000+D4</f>
        <v>37584.333333333328</v>
      </c>
      <c r="K4" s="6"/>
      <c r="L4" s="6" t="e">
        <f t="shared" si="0"/>
        <v>#DIV/0!</v>
      </c>
    </row>
    <row r="5" spans="1:14" x14ac:dyDescent="0.2">
      <c r="A5" s="3">
        <v>30956</v>
      </c>
      <c r="B5" s="4">
        <v>20144.333333333332</v>
      </c>
      <c r="C5" s="5">
        <v>38.735666666666667</v>
      </c>
      <c r="D5" s="4">
        <v>717.33333333333337</v>
      </c>
      <c r="E5" s="4">
        <f t="shared" si="1"/>
        <v>20861.666666666664</v>
      </c>
      <c r="F5" s="4">
        <f t="shared" si="2"/>
        <v>39453</v>
      </c>
      <c r="K5" s="6"/>
      <c r="L5" s="6" t="e">
        <f t="shared" si="0"/>
        <v>#DIV/0!</v>
      </c>
    </row>
    <row r="6" spans="1:14" x14ac:dyDescent="0.2">
      <c r="A6" s="3">
        <v>31048</v>
      </c>
      <c r="B6" s="4">
        <v>20521</v>
      </c>
      <c r="C6" s="5">
        <v>39.800333333333334</v>
      </c>
      <c r="D6" s="4">
        <v>756</v>
      </c>
      <c r="E6" s="4">
        <f t="shared" si="1"/>
        <v>21277</v>
      </c>
      <c r="F6" s="4">
        <f t="shared" si="2"/>
        <v>40556.333333333336</v>
      </c>
      <c r="K6" s="6"/>
      <c r="L6" s="6" t="e">
        <f t="shared" si="0"/>
        <v>#DIV/0!</v>
      </c>
    </row>
    <row r="7" spans="1:14" x14ac:dyDescent="0.2">
      <c r="A7" s="3">
        <v>31138</v>
      </c>
      <c r="B7" s="4">
        <v>22163.666666666668</v>
      </c>
      <c r="C7" s="5">
        <v>40.859333333333332</v>
      </c>
      <c r="D7" s="4">
        <v>804</v>
      </c>
      <c r="E7" s="4">
        <f t="shared" si="1"/>
        <v>22967.666666666668</v>
      </c>
      <c r="F7" s="4">
        <f t="shared" si="2"/>
        <v>41663.333333333328</v>
      </c>
      <c r="K7" s="6"/>
      <c r="L7" s="6" t="e">
        <f t="shared" si="0"/>
        <v>#DIV/0!</v>
      </c>
    </row>
    <row r="8" spans="1:14" x14ac:dyDescent="0.2">
      <c r="A8" s="3">
        <v>31229</v>
      </c>
      <c r="B8" s="4">
        <v>23173.333333333332</v>
      </c>
      <c r="C8" s="5">
        <v>42.602333333333334</v>
      </c>
      <c r="D8" s="4">
        <v>791.33333333333337</v>
      </c>
      <c r="E8" s="4">
        <f t="shared" si="1"/>
        <v>23964.666666666664</v>
      </c>
      <c r="F8" s="4">
        <f t="shared" si="2"/>
        <v>43393.666666666672</v>
      </c>
      <c r="K8" s="6"/>
      <c r="L8" s="6" t="e">
        <f t="shared" si="0"/>
        <v>#DIV/0!</v>
      </c>
    </row>
    <row r="9" spans="1:14" x14ac:dyDescent="0.2">
      <c r="A9" s="3">
        <v>31321</v>
      </c>
      <c r="B9" s="4">
        <v>25547.666666666668</v>
      </c>
      <c r="C9" s="5">
        <v>45.74</v>
      </c>
      <c r="D9" s="4">
        <v>909.33333333333337</v>
      </c>
      <c r="E9" s="4">
        <f t="shared" si="1"/>
        <v>26457</v>
      </c>
      <c r="F9" s="4">
        <f t="shared" si="2"/>
        <v>46649.333333333336</v>
      </c>
      <c r="K9" s="6"/>
      <c r="L9" s="6" t="e">
        <f t="shared" si="0"/>
        <v>#DIV/0!</v>
      </c>
    </row>
    <row r="10" spans="1:14" x14ac:dyDescent="0.2">
      <c r="A10" s="3">
        <v>31413</v>
      </c>
      <c r="B10" s="4">
        <v>25042.333333333332</v>
      </c>
      <c r="C10" s="5">
        <v>46.30833333333333</v>
      </c>
      <c r="D10" s="4">
        <v>993.66666666666663</v>
      </c>
      <c r="E10" s="4">
        <f t="shared" si="1"/>
        <v>26036</v>
      </c>
      <c r="F10" s="4">
        <f t="shared" si="2"/>
        <v>47301.999999999993</v>
      </c>
      <c r="K10" s="6"/>
      <c r="L10" s="6" t="e">
        <f t="shared" si="0"/>
        <v>#DIV/0!</v>
      </c>
    </row>
    <row r="11" spans="1:14" x14ac:dyDescent="0.2">
      <c r="A11" s="3">
        <v>31503</v>
      </c>
      <c r="B11" s="4">
        <v>28041</v>
      </c>
      <c r="C11" s="5">
        <v>48.231666666666669</v>
      </c>
      <c r="D11" s="4">
        <v>857.33333333333337</v>
      </c>
      <c r="E11" s="4">
        <f t="shared" si="1"/>
        <v>28898.333333333332</v>
      </c>
      <c r="F11" s="4">
        <f t="shared" si="2"/>
        <v>49089.000000000007</v>
      </c>
      <c r="K11" s="6"/>
      <c r="L11" s="6" t="e">
        <f t="shared" si="0"/>
        <v>#DIV/0!</v>
      </c>
    </row>
    <row r="12" spans="1:14" x14ac:dyDescent="0.2">
      <c r="A12" s="3">
        <v>31594</v>
      </c>
      <c r="B12" s="4">
        <v>30005.666666666668</v>
      </c>
      <c r="C12" s="5">
        <v>51.039000000000001</v>
      </c>
      <c r="D12" s="4">
        <v>768.33333333333337</v>
      </c>
      <c r="E12" s="4">
        <f t="shared" si="1"/>
        <v>30774</v>
      </c>
      <c r="F12" s="4">
        <f t="shared" si="2"/>
        <v>51807.333333333336</v>
      </c>
      <c r="K12" s="6"/>
      <c r="L12" s="6" t="e">
        <f t="shared" si="0"/>
        <v>#DIV/0!</v>
      </c>
    </row>
    <row r="13" spans="1:14" x14ac:dyDescent="0.2">
      <c r="A13" s="3">
        <v>31686</v>
      </c>
      <c r="B13" s="4">
        <v>34009.333333333336</v>
      </c>
      <c r="C13" s="5">
        <v>55.840666666666664</v>
      </c>
      <c r="D13" s="4">
        <v>931</v>
      </c>
      <c r="E13" s="4">
        <f t="shared" si="1"/>
        <v>34940.333333333336</v>
      </c>
      <c r="F13" s="4">
        <f t="shared" si="2"/>
        <v>56771.666666666664</v>
      </c>
      <c r="K13" s="6"/>
      <c r="L13" s="6" t="e">
        <f t="shared" si="0"/>
        <v>#DIV/0!</v>
      </c>
    </row>
    <row r="14" spans="1:14" x14ac:dyDescent="0.2">
      <c r="A14" s="3">
        <v>31778</v>
      </c>
      <c r="B14" s="4">
        <v>34097.666666666664</v>
      </c>
      <c r="C14" s="5">
        <v>56.850999999999999</v>
      </c>
      <c r="D14" s="4">
        <v>1061.6666666666667</v>
      </c>
      <c r="E14" s="4">
        <f t="shared" si="1"/>
        <v>35159.333333333328</v>
      </c>
      <c r="F14" s="4">
        <f t="shared" si="2"/>
        <v>57912.666666666664</v>
      </c>
      <c r="G14" s="6">
        <v>613000000</v>
      </c>
      <c r="H14" s="6">
        <f t="shared" ref="H14:H77" si="3">G14/1000</f>
        <v>613000</v>
      </c>
      <c r="I14" s="6">
        <v>1490000000</v>
      </c>
      <c r="J14" s="6">
        <f t="shared" ref="J14:J77" si="4">B14/H14</f>
        <v>5.5624252311038604E-2</v>
      </c>
      <c r="K14" s="6">
        <f t="shared" ref="K14:K77" si="5">C14*1000/H14</f>
        <v>9.2742251223491029E-2</v>
      </c>
      <c r="L14" s="6">
        <f t="shared" si="0"/>
        <v>1.7319195214790647E-3</v>
      </c>
      <c r="M14" s="6">
        <f>I14/1000/(E14+I14/1000)</f>
        <v>0.97694710803985951</v>
      </c>
      <c r="N14" s="6">
        <f>I14/1000/(F14+I14/1000)</f>
        <v>0.96258660587655887</v>
      </c>
    </row>
    <row r="15" spans="1:14" x14ac:dyDescent="0.2">
      <c r="A15" s="3">
        <v>31868</v>
      </c>
      <c r="B15" s="4">
        <v>35791.666666666664</v>
      </c>
      <c r="C15" s="5">
        <v>57.777333333333331</v>
      </c>
      <c r="D15" s="4">
        <v>1053</v>
      </c>
      <c r="E15" s="4">
        <f t="shared" si="1"/>
        <v>36844.666666666664</v>
      </c>
      <c r="F15" s="4">
        <f t="shared" si="2"/>
        <v>58830.333333333328</v>
      </c>
      <c r="G15" s="6">
        <v>623000000</v>
      </c>
      <c r="H15" s="6">
        <f t="shared" si="3"/>
        <v>623000</v>
      </c>
      <c r="I15" s="6">
        <v>1510000000</v>
      </c>
      <c r="J15" s="6">
        <f t="shared" si="4"/>
        <v>5.7450508293204916E-2</v>
      </c>
      <c r="K15" s="6">
        <f t="shared" si="5"/>
        <v>9.274050294275013E-2</v>
      </c>
      <c r="L15" s="6">
        <f t="shared" si="0"/>
        <v>1.6902086677367577E-3</v>
      </c>
      <c r="M15" s="6">
        <f t="shared" ref="M15:M78" si="6">I15/1000/(E15+I15/1000)</f>
        <v>0.97618075850753383</v>
      </c>
      <c r="N15" s="6">
        <f t="shared" ref="N15:N78" si="7">I15/1000/(F15+I15/1000)</f>
        <v>0.96250051258995295</v>
      </c>
    </row>
    <row r="16" spans="1:14" x14ac:dyDescent="0.2">
      <c r="A16" s="3">
        <v>31959</v>
      </c>
      <c r="B16" s="4">
        <v>35231.666666666664</v>
      </c>
      <c r="C16" s="5">
        <v>58.1</v>
      </c>
      <c r="D16" s="4">
        <v>898.33333333333337</v>
      </c>
      <c r="E16" s="4">
        <f t="shared" si="1"/>
        <v>36130</v>
      </c>
      <c r="F16" s="4">
        <f t="shared" si="2"/>
        <v>58998.333333333336</v>
      </c>
      <c r="G16" s="6">
        <v>606000000</v>
      </c>
      <c r="H16" s="6">
        <f t="shared" si="3"/>
        <v>606000</v>
      </c>
      <c r="I16" s="6">
        <v>1520000000</v>
      </c>
      <c r="J16" s="6">
        <f t="shared" si="4"/>
        <v>5.8138063806380633E-2</v>
      </c>
      <c r="K16" s="6">
        <f t="shared" si="5"/>
        <v>9.5874587458745872E-2</v>
      </c>
      <c r="L16" s="6">
        <f t="shared" si="0"/>
        <v>1.4823982398239825E-3</v>
      </c>
      <c r="M16" s="6">
        <f t="shared" si="6"/>
        <v>0.97678214545057285</v>
      </c>
      <c r="N16" s="6">
        <f t="shared" si="7"/>
        <v>0.96263559492885264</v>
      </c>
    </row>
    <row r="17" spans="1:14" x14ac:dyDescent="0.2">
      <c r="A17" s="3">
        <v>32051</v>
      </c>
      <c r="B17" s="4">
        <v>36445.666666666664</v>
      </c>
      <c r="C17" s="5">
        <v>60.459333333333333</v>
      </c>
      <c r="D17" s="4">
        <v>1016.6666666666666</v>
      </c>
      <c r="E17" s="4">
        <f t="shared" si="1"/>
        <v>37462.333333333328</v>
      </c>
      <c r="F17" s="4">
        <f t="shared" si="2"/>
        <v>61476</v>
      </c>
      <c r="G17" s="6">
        <v>644000000</v>
      </c>
      <c r="H17" s="6">
        <f t="shared" si="3"/>
        <v>644000</v>
      </c>
      <c r="I17" s="6">
        <v>1550000000</v>
      </c>
      <c r="J17" s="6">
        <f t="shared" si="4"/>
        <v>5.6592650103519666E-2</v>
      </c>
      <c r="K17" s="6">
        <f t="shared" si="5"/>
        <v>9.3880952380952384E-2</v>
      </c>
      <c r="L17" s="6">
        <f t="shared" si="0"/>
        <v>1.5786749482401656E-3</v>
      </c>
      <c r="M17" s="6">
        <f t="shared" si="6"/>
        <v>0.97640111985859201</v>
      </c>
      <c r="N17" s="6">
        <f t="shared" si="7"/>
        <v>0.96185112282156238</v>
      </c>
    </row>
    <row r="18" spans="1:14" x14ac:dyDescent="0.2">
      <c r="A18" s="3">
        <v>32143</v>
      </c>
      <c r="B18" s="4">
        <v>34729.333333333336</v>
      </c>
      <c r="C18" s="5">
        <v>59.748333333333335</v>
      </c>
      <c r="D18" s="4">
        <v>1112.3333333333333</v>
      </c>
      <c r="E18" s="4">
        <f t="shared" si="1"/>
        <v>35841.666666666672</v>
      </c>
      <c r="F18" s="4">
        <f t="shared" si="2"/>
        <v>60860.666666666672</v>
      </c>
      <c r="G18" s="6">
        <v>607000000</v>
      </c>
      <c r="H18" s="6">
        <f t="shared" si="3"/>
        <v>607000</v>
      </c>
      <c r="I18" s="6">
        <v>1570000000</v>
      </c>
      <c r="J18" s="6">
        <f t="shared" si="4"/>
        <v>5.721471718835805E-2</v>
      </c>
      <c r="K18" s="6">
        <f t="shared" si="5"/>
        <v>9.8432180120812743E-2</v>
      </c>
      <c r="L18" s="6">
        <f t="shared" si="0"/>
        <v>1.8325096101043381E-3</v>
      </c>
      <c r="M18" s="6">
        <f t="shared" si="6"/>
        <v>0.97768044794785702</v>
      </c>
      <c r="N18" s="6">
        <f t="shared" si="7"/>
        <v>0.9626818722711239</v>
      </c>
    </row>
    <row r="19" spans="1:14" x14ac:dyDescent="0.2">
      <c r="A19" s="3">
        <v>32234</v>
      </c>
      <c r="B19" s="4">
        <v>36637.333333333336</v>
      </c>
      <c r="C19" s="5">
        <v>60.615666666666669</v>
      </c>
      <c r="D19" s="4">
        <v>942.66666666666663</v>
      </c>
      <c r="E19" s="4">
        <f t="shared" si="1"/>
        <v>37580</v>
      </c>
      <c r="F19" s="4">
        <f t="shared" si="2"/>
        <v>61558.333333333336</v>
      </c>
      <c r="G19" s="6">
        <v>631000000</v>
      </c>
      <c r="H19" s="6">
        <f t="shared" si="3"/>
        <v>631000</v>
      </c>
      <c r="I19" s="6">
        <v>1610000000</v>
      </c>
      <c r="J19" s="6">
        <f t="shared" si="4"/>
        <v>5.8062334918119393E-2</v>
      </c>
      <c r="K19" s="6">
        <f t="shared" si="5"/>
        <v>9.6062863180137362E-2</v>
      </c>
      <c r="L19" s="6">
        <f t="shared" si="0"/>
        <v>1.4939249867934495E-3</v>
      </c>
      <c r="M19" s="6">
        <f t="shared" si="6"/>
        <v>0.97719078891465061</v>
      </c>
      <c r="N19" s="6">
        <f t="shared" si="7"/>
        <v>0.96317308698968529</v>
      </c>
    </row>
    <row r="20" spans="1:14" x14ac:dyDescent="0.2">
      <c r="A20" s="3">
        <v>32325</v>
      </c>
      <c r="B20" s="4">
        <v>36370</v>
      </c>
      <c r="C20" s="5">
        <v>61.284333333333336</v>
      </c>
      <c r="D20" s="4">
        <v>959.66666666666663</v>
      </c>
      <c r="E20" s="4">
        <f t="shared" si="1"/>
        <v>37329.666666666664</v>
      </c>
      <c r="F20" s="4">
        <f t="shared" si="2"/>
        <v>62244</v>
      </c>
      <c r="G20" s="6">
        <v>621000000</v>
      </c>
      <c r="H20" s="6">
        <f t="shared" si="3"/>
        <v>621000</v>
      </c>
      <c r="I20" s="6">
        <v>1640000000</v>
      </c>
      <c r="J20" s="6">
        <f t="shared" si="4"/>
        <v>5.8566827697262479E-2</v>
      </c>
      <c r="K20" s="6">
        <f t="shared" si="5"/>
        <v>9.8686527106816968E-2</v>
      </c>
      <c r="L20" s="6">
        <f t="shared" si="0"/>
        <v>1.5453569511540526E-3</v>
      </c>
      <c r="M20" s="6">
        <f t="shared" si="6"/>
        <v>0.97774458568967459</v>
      </c>
      <c r="N20" s="6">
        <f t="shared" si="7"/>
        <v>0.96343414927589699</v>
      </c>
    </row>
    <row r="21" spans="1:14" x14ac:dyDescent="0.2">
      <c r="A21" s="3">
        <v>32417</v>
      </c>
      <c r="B21" s="4">
        <v>35945.333333333336</v>
      </c>
      <c r="C21" s="5">
        <v>61.552999999999997</v>
      </c>
      <c r="D21" s="4">
        <v>1097</v>
      </c>
      <c r="E21" s="4">
        <f t="shared" si="1"/>
        <v>37042.333333333336</v>
      </c>
      <c r="F21" s="4">
        <f t="shared" si="2"/>
        <v>62650</v>
      </c>
      <c r="G21" s="6">
        <v>662000000</v>
      </c>
      <c r="H21" s="6">
        <f t="shared" si="3"/>
        <v>662000</v>
      </c>
      <c r="I21" s="6">
        <v>1670000000</v>
      </c>
      <c r="J21" s="6">
        <f t="shared" si="4"/>
        <v>5.429808660624371E-2</v>
      </c>
      <c r="K21" s="6">
        <f t="shared" si="5"/>
        <v>9.2980362537764344E-2</v>
      </c>
      <c r="L21" s="6">
        <f t="shared" si="0"/>
        <v>1.6570996978851964E-3</v>
      </c>
      <c r="M21" s="6">
        <f t="shared" si="6"/>
        <v>0.97830028429289106</v>
      </c>
      <c r="N21" s="6">
        <f t="shared" si="7"/>
        <v>0.96384151444319399</v>
      </c>
    </row>
    <row r="22" spans="1:14" x14ac:dyDescent="0.2">
      <c r="A22" s="3">
        <v>32509</v>
      </c>
      <c r="B22" s="4">
        <v>33496</v>
      </c>
      <c r="C22" s="5">
        <v>60.307000000000002</v>
      </c>
      <c r="D22" s="4">
        <v>1072.6666666666667</v>
      </c>
      <c r="E22" s="4">
        <f t="shared" si="1"/>
        <v>34568.666666666664</v>
      </c>
      <c r="F22" s="4">
        <f t="shared" si="2"/>
        <v>61379.666666666664</v>
      </c>
      <c r="G22" s="6">
        <v>616000000</v>
      </c>
      <c r="H22" s="6">
        <f t="shared" si="3"/>
        <v>616000</v>
      </c>
      <c r="I22" s="6">
        <v>1680000000</v>
      </c>
      <c r="J22" s="6">
        <f t="shared" si="4"/>
        <v>5.4376623376623377E-2</v>
      </c>
      <c r="K22" s="6">
        <f t="shared" si="5"/>
        <v>9.790097402597403E-2</v>
      </c>
      <c r="L22" s="6">
        <f t="shared" si="0"/>
        <v>1.7413419913419916E-3</v>
      </c>
      <c r="M22" s="6">
        <f t="shared" si="6"/>
        <v>0.97983827224961917</v>
      </c>
      <c r="N22" s="6">
        <f t="shared" si="7"/>
        <v>0.96475227783946782</v>
      </c>
    </row>
    <row r="23" spans="1:14" x14ac:dyDescent="0.2">
      <c r="A23" s="3">
        <v>32599</v>
      </c>
      <c r="B23" s="4">
        <v>33338</v>
      </c>
      <c r="C23" s="5">
        <v>58.974333333333334</v>
      </c>
      <c r="D23" s="4">
        <v>922</v>
      </c>
      <c r="E23" s="4">
        <f t="shared" si="1"/>
        <v>34260</v>
      </c>
      <c r="F23" s="4">
        <f t="shared" si="2"/>
        <v>59896.333333333336</v>
      </c>
      <c r="G23" s="6">
        <v>623000000</v>
      </c>
      <c r="H23" s="6">
        <f t="shared" si="3"/>
        <v>623000</v>
      </c>
      <c r="I23" s="6">
        <v>1720000000</v>
      </c>
      <c r="J23" s="6">
        <f t="shared" si="4"/>
        <v>5.3512038523274477E-2</v>
      </c>
      <c r="K23" s="6">
        <f t="shared" si="5"/>
        <v>9.4661851257356877E-2</v>
      </c>
      <c r="L23" s="6">
        <f t="shared" si="0"/>
        <v>1.4799357945425361E-3</v>
      </c>
      <c r="M23" s="6">
        <f t="shared" si="6"/>
        <v>0.98047039777456024</v>
      </c>
      <c r="N23" s="6">
        <f t="shared" si="7"/>
        <v>0.96634841467358867</v>
      </c>
    </row>
    <row r="24" spans="1:14" x14ac:dyDescent="0.2">
      <c r="A24" s="3">
        <v>32690</v>
      </c>
      <c r="B24" s="4">
        <v>32503</v>
      </c>
      <c r="C24" s="5">
        <v>59.061</v>
      </c>
      <c r="D24" s="4">
        <v>940</v>
      </c>
      <c r="E24" s="4">
        <f t="shared" si="1"/>
        <v>33443</v>
      </c>
      <c r="F24" s="4">
        <f t="shared" si="2"/>
        <v>60001</v>
      </c>
      <c r="G24" s="6">
        <v>610000000</v>
      </c>
      <c r="H24" s="6">
        <f t="shared" si="3"/>
        <v>610000</v>
      </c>
      <c r="I24" s="6">
        <v>1760000000</v>
      </c>
      <c r="J24" s="6">
        <f t="shared" si="4"/>
        <v>5.3283606557377051E-2</v>
      </c>
      <c r="K24" s="6">
        <f t="shared" si="5"/>
        <v>9.682131147540983E-2</v>
      </c>
      <c r="L24" s="6">
        <f t="shared" si="0"/>
        <v>1.5409836065573771E-3</v>
      </c>
      <c r="M24" s="6">
        <f t="shared" si="6"/>
        <v>0.98135262732074557</v>
      </c>
      <c r="N24" s="6">
        <f t="shared" si="7"/>
        <v>0.96703243569646391</v>
      </c>
    </row>
    <row r="25" spans="1:14" x14ac:dyDescent="0.2">
      <c r="A25" s="3">
        <v>32782</v>
      </c>
      <c r="B25" s="4">
        <v>33135.333333333336</v>
      </c>
      <c r="C25" s="5">
        <v>60.364333333333335</v>
      </c>
      <c r="D25" s="4">
        <v>977</v>
      </c>
      <c r="E25" s="4">
        <f t="shared" si="1"/>
        <v>34112.333333333336</v>
      </c>
      <c r="F25" s="4">
        <f t="shared" si="2"/>
        <v>61341.333333333336</v>
      </c>
      <c r="G25" s="6">
        <v>668000000</v>
      </c>
      <c r="H25" s="6">
        <f t="shared" si="3"/>
        <v>668000</v>
      </c>
      <c r="I25" s="6">
        <v>1790000000</v>
      </c>
      <c r="J25" s="6">
        <f t="shared" si="4"/>
        <v>4.9603792415169663E-2</v>
      </c>
      <c r="K25" s="6">
        <f t="shared" si="5"/>
        <v>9.0365768463073856E-2</v>
      </c>
      <c r="L25" s="6">
        <f t="shared" si="0"/>
        <v>1.4625748502994011E-3</v>
      </c>
      <c r="M25" s="6">
        <f t="shared" si="6"/>
        <v>0.98129921457688007</v>
      </c>
      <c r="N25" s="6">
        <f t="shared" si="7"/>
        <v>0.96686654576933773</v>
      </c>
    </row>
    <row r="26" spans="1:14" x14ac:dyDescent="0.2">
      <c r="A26" s="3">
        <v>32874</v>
      </c>
      <c r="B26" s="4">
        <v>31806.333333333332</v>
      </c>
      <c r="C26" s="5">
        <v>60.405999999999999</v>
      </c>
      <c r="D26" s="4">
        <v>975.33333333333337</v>
      </c>
      <c r="E26" s="4">
        <f t="shared" si="1"/>
        <v>32781.666666666664</v>
      </c>
      <c r="F26" s="4">
        <f t="shared" si="2"/>
        <v>61381.333333333336</v>
      </c>
      <c r="G26" s="6">
        <v>620000000</v>
      </c>
      <c r="H26" s="6">
        <f t="shared" si="3"/>
        <v>620000</v>
      </c>
      <c r="I26" s="6">
        <v>1810000000</v>
      </c>
      <c r="J26" s="6">
        <f t="shared" si="4"/>
        <v>5.1300537634408602E-2</v>
      </c>
      <c r="K26" s="6">
        <f t="shared" si="5"/>
        <v>9.7429032258064513E-2</v>
      </c>
      <c r="L26" s="6">
        <f t="shared" si="0"/>
        <v>1.5731182795698925E-3</v>
      </c>
      <c r="M26" s="6">
        <f t="shared" si="6"/>
        <v>0.98221077013102476</v>
      </c>
      <c r="N26" s="6">
        <f t="shared" si="7"/>
        <v>0.96719998632026538</v>
      </c>
    </row>
    <row r="27" spans="1:14" x14ac:dyDescent="0.2">
      <c r="A27" s="3">
        <v>32964</v>
      </c>
      <c r="B27" s="4">
        <v>33137.333333333336</v>
      </c>
      <c r="C27" s="5">
        <v>60.437333333333335</v>
      </c>
      <c r="D27" s="4">
        <v>871.33333333333337</v>
      </c>
      <c r="E27" s="4">
        <f t="shared" si="1"/>
        <v>34008.666666666672</v>
      </c>
      <c r="F27" s="4">
        <f t="shared" si="2"/>
        <v>61308.666666666672</v>
      </c>
      <c r="G27" s="6">
        <v>631000000</v>
      </c>
      <c r="H27" s="6">
        <f t="shared" si="3"/>
        <v>631000</v>
      </c>
      <c r="I27" s="6">
        <v>1830000000</v>
      </c>
      <c r="J27" s="6">
        <f t="shared" si="4"/>
        <v>5.2515583729529851E-2</v>
      </c>
      <c r="K27" s="6">
        <f t="shared" si="5"/>
        <v>9.5780243000528259E-2</v>
      </c>
      <c r="L27" s="6">
        <f t="shared" si="0"/>
        <v>1.3808769149498152E-3</v>
      </c>
      <c r="M27" s="6">
        <f t="shared" si="6"/>
        <v>0.98175509198276256</v>
      </c>
      <c r="N27" s="6">
        <f t="shared" si="7"/>
        <v>0.96758399739439671</v>
      </c>
    </row>
    <row r="28" spans="1:14" x14ac:dyDescent="0.2">
      <c r="A28" s="3">
        <v>33055</v>
      </c>
      <c r="B28" s="4">
        <v>31986.666666666668</v>
      </c>
      <c r="C28" s="5">
        <v>60.142000000000003</v>
      </c>
      <c r="D28" s="4">
        <v>886.33333333333337</v>
      </c>
      <c r="E28" s="4">
        <f t="shared" si="1"/>
        <v>32873</v>
      </c>
      <c r="F28" s="4">
        <f t="shared" si="2"/>
        <v>61028.333333333336</v>
      </c>
      <c r="G28" s="6">
        <v>621000000</v>
      </c>
      <c r="H28" s="6">
        <f t="shared" si="3"/>
        <v>621000</v>
      </c>
      <c r="I28" s="6">
        <v>1840000000</v>
      </c>
      <c r="J28" s="6">
        <f t="shared" si="4"/>
        <v>5.1508319914117015E-2</v>
      </c>
      <c r="K28" s="6">
        <f t="shared" si="5"/>
        <v>9.6847020933977457E-2</v>
      </c>
      <c r="L28" s="6">
        <f t="shared" si="0"/>
        <v>1.4272678475577027E-3</v>
      </c>
      <c r="M28" s="6">
        <f t="shared" si="6"/>
        <v>0.98244782214277204</v>
      </c>
      <c r="N28" s="6">
        <f t="shared" si="7"/>
        <v>0.96789719949816633</v>
      </c>
    </row>
    <row r="29" spans="1:14" x14ac:dyDescent="0.2">
      <c r="A29" s="3">
        <v>33147</v>
      </c>
      <c r="B29" s="4">
        <v>30750.666666666668</v>
      </c>
      <c r="C29" s="5">
        <v>59.581666666666663</v>
      </c>
      <c r="D29" s="4">
        <v>1144.6666666666667</v>
      </c>
      <c r="E29" s="4">
        <f t="shared" si="1"/>
        <v>31895.333333333336</v>
      </c>
      <c r="F29" s="4">
        <f t="shared" si="2"/>
        <v>60726.333333333328</v>
      </c>
      <c r="G29" s="6">
        <v>684000000</v>
      </c>
      <c r="H29" s="6">
        <f t="shared" si="3"/>
        <v>684000</v>
      </c>
      <c r="I29" s="6">
        <v>1860000000</v>
      </c>
      <c r="J29" s="6">
        <f t="shared" si="4"/>
        <v>4.4957115009746591E-2</v>
      </c>
      <c r="K29" s="6">
        <f t="shared" si="5"/>
        <v>8.7107699805068217E-2</v>
      </c>
      <c r="L29" s="6">
        <f t="shared" si="0"/>
        <v>1.6734892787524367E-3</v>
      </c>
      <c r="M29" s="6">
        <f t="shared" si="6"/>
        <v>0.9831410687624369</v>
      </c>
      <c r="N29" s="6">
        <f t="shared" si="7"/>
        <v>0.96838366180571622</v>
      </c>
    </row>
    <row r="30" spans="1:14" x14ac:dyDescent="0.2">
      <c r="A30" s="3">
        <v>33239</v>
      </c>
      <c r="B30" s="4">
        <v>19444.666666666668</v>
      </c>
      <c r="C30" s="5">
        <v>47.627333333333333</v>
      </c>
      <c r="D30" s="4">
        <v>1709</v>
      </c>
      <c r="E30" s="4">
        <f t="shared" si="1"/>
        <v>21153.666666666668</v>
      </c>
      <c r="F30" s="4">
        <f t="shared" si="2"/>
        <v>49336.333333333336</v>
      </c>
      <c r="G30" s="6">
        <v>613000000</v>
      </c>
      <c r="H30" s="6">
        <f t="shared" si="3"/>
        <v>613000</v>
      </c>
      <c r="I30" s="6">
        <v>1850000000</v>
      </c>
      <c r="J30" s="6">
        <f t="shared" si="4"/>
        <v>3.1720500271886894E-2</v>
      </c>
      <c r="K30" s="6">
        <f t="shared" si="5"/>
        <v>7.7695486677542142E-2</v>
      </c>
      <c r="L30" s="6">
        <f t="shared" si="0"/>
        <v>2.7879282218597062E-3</v>
      </c>
      <c r="M30" s="6">
        <f t="shared" si="6"/>
        <v>0.98869485331776596</v>
      </c>
      <c r="N30" s="6">
        <f t="shared" si="7"/>
        <v>0.97402443555283968</v>
      </c>
    </row>
    <row r="31" spans="1:14" x14ac:dyDescent="0.2">
      <c r="A31" s="3">
        <v>33329</v>
      </c>
      <c r="B31" s="4">
        <v>22130.333333333332</v>
      </c>
      <c r="C31" s="5">
        <v>48.899666666666668</v>
      </c>
      <c r="D31" s="4">
        <v>1020</v>
      </c>
      <c r="E31" s="4">
        <f t="shared" si="1"/>
        <v>23150.333333333332</v>
      </c>
      <c r="F31" s="4">
        <f t="shared" si="2"/>
        <v>49919.666666666672</v>
      </c>
      <c r="G31" s="6">
        <v>642000000</v>
      </c>
      <c r="H31" s="6">
        <f t="shared" si="3"/>
        <v>642000</v>
      </c>
      <c r="I31" s="6">
        <v>1840000000</v>
      </c>
      <c r="J31" s="6">
        <f t="shared" si="4"/>
        <v>3.4470924195223261E-2</v>
      </c>
      <c r="K31" s="6">
        <f t="shared" si="5"/>
        <v>7.6167705088265841E-2</v>
      </c>
      <c r="L31" s="6">
        <f t="shared" si="0"/>
        <v>1.5887850467289719E-3</v>
      </c>
      <c r="M31" s="6">
        <f t="shared" si="6"/>
        <v>0.98757462942246033</v>
      </c>
      <c r="N31" s="6">
        <f t="shared" si="7"/>
        <v>0.97358635525778081</v>
      </c>
    </row>
    <row r="32" spans="1:14" x14ac:dyDescent="0.2">
      <c r="A32" s="3">
        <v>33420</v>
      </c>
      <c r="B32" s="4">
        <v>22189.333333333332</v>
      </c>
      <c r="C32" s="5">
        <v>49.825666666666663</v>
      </c>
      <c r="D32" s="4">
        <v>974.33333333333337</v>
      </c>
      <c r="E32" s="4">
        <f t="shared" si="1"/>
        <v>23163.666666666664</v>
      </c>
      <c r="F32" s="4">
        <f t="shared" si="2"/>
        <v>50800</v>
      </c>
      <c r="G32" s="6">
        <v>671000000</v>
      </c>
      <c r="H32" s="6">
        <f t="shared" si="3"/>
        <v>671000</v>
      </c>
      <c r="I32" s="6">
        <v>1810000000</v>
      </c>
      <c r="J32" s="6">
        <f t="shared" si="4"/>
        <v>3.3069051167411823E-2</v>
      </c>
      <c r="K32" s="6">
        <f t="shared" si="5"/>
        <v>7.4255837059115745E-2</v>
      </c>
      <c r="L32" s="6">
        <f t="shared" si="0"/>
        <v>1.4520615996025832E-3</v>
      </c>
      <c r="M32" s="6">
        <f t="shared" si="6"/>
        <v>0.98736410333247204</v>
      </c>
      <c r="N32" s="6">
        <f t="shared" si="7"/>
        <v>0.97269991401547717</v>
      </c>
    </row>
    <row r="33" spans="1:14" x14ac:dyDescent="0.2">
      <c r="A33" s="3">
        <v>33512</v>
      </c>
      <c r="B33" s="4">
        <v>23967.666666666668</v>
      </c>
      <c r="C33" s="5">
        <v>52.406999999999996</v>
      </c>
      <c r="D33" s="4">
        <v>980</v>
      </c>
      <c r="E33" s="4">
        <f t="shared" si="1"/>
        <v>24947.666666666668</v>
      </c>
      <c r="F33" s="4">
        <f t="shared" si="2"/>
        <v>53387</v>
      </c>
      <c r="G33" s="6">
        <v>707000000</v>
      </c>
      <c r="H33" s="6">
        <f t="shared" si="3"/>
        <v>707000</v>
      </c>
      <c r="I33" s="6">
        <v>1810000000</v>
      </c>
      <c r="J33" s="6">
        <f t="shared" si="4"/>
        <v>3.3900518623290903E-2</v>
      </c>
      <c r="K33" s="6">
        <f t="shared" si="5"/>
        <v>7.412588401697312E-2</v>
      </c>
      <c r="L33" s="6">
        <f t="shared" si="0"/>
        <v>1.3861386138613861E-3</v>
      </c>
      <c r="M33" s="6">
        <f t="shared" si="6"/>
        <v>0.98640415357894851</v>
      </c>
      <c r="N33" s="6">
        <f t="shared" si="7"/>
        <v>0.97134948349430361</v>
      </c>
    </row>
    <row r="34" spans="1:14" x14ac:dyDescent="0.2">
      <c r="A34" s="3">
        <v>33604</v>
      </c>
      <c r="B34" s="4">
        <v>25083</v>
      </c>
      <c r="C34" s="5">
        <v>54.735999999999997</v>
      </c>
      <c r="D34" s="4">
        <v>1021.3333333333334</v>
      </c>
      <c r="E34" s="4">
        <f t="shared" si="1"/>
        <v>26104.333333333332</v>
      </c>
      <c r="F34" s="4">
        <f t="shared" si="2"/>
        <v>55757.333333333336</v>
      </c>
      <c r="G34" s="6">
        <v>698000000</v>
      </c>
      <c r="H34" s="6">
        <f t="shared" si="3"/>
        <v>698000</v>
      </c>
      <c r="I34" s="6">
        <v>1800000000</v>
      </c>
      <c r="J34" s="6">
        <f t="shared" si="4"/>
        <v>3.5935530085959885E-2</v>
      </c>
      <c r="K34" s="6">
        <f t="shared" si="5"/>
        <v>7.8418338108882518E-2</v>
      </c>
      <c r="L34" s="6">
        <f t="shared" si="0"/>
        <v>1.463228271251194E-3</v>
      </c>
      <c r="M34" s="6">
        <f t="shared" si="6"/>
        <v>0.98570490587157034</v>
      </c>
      <c r="N34" s="6">
        <f t="shared" si="7"/>
        <v>0.96995440495811958</v>
      </c>
    </row>
    <row r="35" spans="1:14" x14ac:dyDescent="0.2">
      <c r="A35" s="3">
        <v>33695</v>
      </c>
      <c r="B35" s="4">
        <v>20635.666666666668</v>
      </c>
      <c r="C35" s="5">
        <v>48.578666666666663</v>
      </c>
      <c r="D35" s="4">
        <v>1020.3333333333334</v>
      </c>
      <c r="E35" s="4">
        <f t="shared" si="1"/>
        <v>21656</v>
      </c>
      <c r="F35" s="4">
        <f t="shared" si="2"/>
        <v>49599</v>
      </c>
      <c r="G35" s="6">
        <v>714000000</v>
      </c>
      <c r="H35" s="6">
        <f t="shared" si="3"/>
        <v>714000</v>
      </c>
      <c r="I35" s="6">
        <v>1780000000</v>
      </c>
      <c r="J35" s="6">
        <f t="shared" si="4"/>
        <v>2.8901493930905697E-2</v>
      </c>
      <c r="K35" s="6">
        <f t="shared" si="5"/>
        <v>6.8037348272642392E-2</v>
      </c>
      <c r="L35" s="6">
        <f t="shared" si="0"/>
        <v>1.4290382819794585E-3</v>
      </c>
      <c r="M35" s="6">
        <f t="shared" si="6"/>
        <v>0.98797994733733852</v>
      </c>
      <c r="N35" s="6">
        <f t="shared" si="7"/>
        <v>0.97289078098534165</v>
      </c>
    </row>
    <row r="36" spans="1:14" x14ac:dyDescent="0.2">
      <c r="A36" s="3">
        <v>33786</v>
      </c>
      <c r="B36" s="4">
        <v>20729.333333333332</v>
      </c>
      <c r="C36" s="5">
        <v>49.533333333333331</v>
      </c>
      <c r="D36" s="4">
        <v>976.66666666666663</v>
      </c>
      <c r="E36" s="4">
        <f t="shared" si="1"/>
        <v>21706</v>
      </c>
      <c r="F36" s="4">
        <f t="shared" si="2"/>
        <v>50509.999999999993</v>
      </c>
      <c r="G36" s="6">
        <v>720000000</v>
      </c>
      <c r="H36" s="6">
        <f t="shared" si="3"/>
        <v>720000</v>
      </c>
      <c r="I36" s="6">
        <v>1780000000</v>
      </c>
      <c r="J36" s="6">
        <f t="shared" si="4"/>
        <v>2.8790740740740738E-2</v>
      </c>
      <c r="K36" s="6">
        <f t="shared" si="5"/>
        <v>6.8796296296296286E-2</v>
      </c>
      <c r="L36" s="6">
        <f t="shared" si="0"/>
        <v>1.3564814814814815E-3</v>
      </c>
      <c r="M36" s="6">
        <f t="shared" si="6"/>
        <v>0.9879525294359901</v>
      </c>
      <c r="N36" s="6">
        <f t="shared" si="7"/>
        <v>0.97240659706857646</v>
      </c>
    </row>
    <row r="37" spans="1:14" x14ac:dyDescent="0.2">
      <c r="A37" s="3">
        <v>33878</v>
      </c>
      <c r="B37" s="4">
        <v>23752</v>
      </c>
      <c r="C37" s="5">
        <v>53.715000000000003</v>
      </c>
      <c r="D37" s="4">
        <v>1087</v>
      </c>
      <c r="E37" s="4">
        <f t="shared" si="1"/>
        <v>24839</v>
      </c>
      <c r="F37" s="4">
        <f t="shared" si="2"/>
        <v>54802</v>
      </c>
      <c r="G37" s="6">
        <v>810000000</v>
      </c>
      <c r="H37" s="6">
        <f t="shared" si="3"/>
        <v>810000</v>
      </c>
      <c r="I37" s="6">
        <v>1790000000</v>
      </c>
      <c r="J37" s="6">
        <f t="shared" si="4"/>
        <v>2.9323456790123457E-2</v>
      </c>
      <c r="K37" s="6">
        <f t="shared" si="5"/>
        <v>6.6314814814814813E-2</v>
      </c>
      <c r="L37" s="6">
        <f t="shared" si="0"/>
        <v>1.3419753086419753E-3</v>
      </c>
      <c r="M37" s="6">
        <f t="shared" si="6"/>
        <v>0.98631338647670674</v>
      </c>
      <c r="N37" s="6">
        <f t="shared" si="7"/>
        <v>0.97029383099107658</v>
      </c>
    </row>
    <row r="38" spans="1:14" x14ac:dyDescent="0.2">
      <c r="A38" s="3">
        <v>33970</v>
      </c>
      <c r="B38" s="4">
        <v>22654</v>
      </c>
      <c r="C38" s="5">
        <v>53.536666666666669</v>
      </c>
      <c r="D38" s="4">
        <v>1196.6666666666667</v>
      </c>
      <c r="E38" s="4">
        <f t="shared" si="1"/>
        <v>23850.666666666668</v>
      </c>
      <c r="F38" s="4">
        <f t="shared" si="2"/>
        <v>54733.333333333336</v>
      </c>
      <c r="G38" s="6">
        <v>752000000</v>
      </c>
      <c r="H38" s="6">
        <f t="shared" si="3"/>
        <v>752000</v>
      </c>
      <c r="I38" s="6">
        <v>1780000000</v>
      </c>
      <c r="J38" s="6">
        <f t="shared" si="4"/>
        <v>3.0124999999999999E-2</v>
      </c>
      <c r="K38" s="6">
        <f t="shared" si="5"/>
        <v>7.1192375886524828E-2</v>
      </c>
      <c r="L38" s="6">
        <f t="shared" si="0"/>
        <v>1.5913120567375887E-3</v>
      </c>
      <c r="M38" s="6">
        <f t="shared" si="6"/>
        <v>0.9867779150971846</v>
      </c>
      <c r="N38" s="6">
        <f t="shared" si="7"/>
        <v>0.97016823516587336</v>
      </c>
    </row>
    <row r="39" spans="1:14" x14ac:dyDescent="0.2">
      <c r="A39" s="3">
        <v>34060</v>
      </c>
      <c r="B39" s="4">
        <v>25457.333333333332</v>
      </c>
      <c r="C39" s="5">
        <v>55.613333333333337</v>
      </c>
      <c r="D39" s="4">
        <v>999</v>
      </c>
      <c r="E39" s="4">
        <f t="shared" si="1"/>
        <v>26456.333333333332</v>
      </c>
      <c r="F39" s="4">
        <f t="shared" si="2"/>
        <v>56612.333333333336</v>
      </c>
      <c r="G39" s="6">
        <v>785000000</v>
      </c>
      <c r="H39" s="6">
        <f t="shared" si="3"/>
        <v>785000</v>
      </c>
      <c r="I39" s="6">
        <v>1800000000</v>
      </c>
      <c r="J39" s="6">
        <f t="shared" si="4"/>
        <v>3.2429723991507432E-2</v>
      </c>
      <c r="K39" s="6">
        <f t="shared" si="5"/>
        <v>7.084501061571126E-2</v>
      </c>
      <c r="L39" s="6">
        <f t="shared" si="0"/>
        <v>1.2726114649681528E-3</v>
      </c>
      <c r="M39" s="6">
        <f t="shared" si="6"/>
        <v>0.98551493794267186</v>
      </c>
      <c r="N39" s="6">
        <f t="shared" si="7"/>
        <v>0.96950772527095497</v>
      </c>
    </row>
    <row r="40" spans="1:14" x14ac:dyDescent="0.2">
      <c r="A40" s="3">
        <v>34151</v>
      </c>
      <c r="B40" s="4">
        <v>25752</v>
      </c>
      <c r="C40" s="5">
        <v>57.164999999999999</v>
      </c>
      <c r="D40" s="4">
        <v>1036</v>
      </c>
      <c r="E40" s="4">
        <f t="shared" si="1"/>
        <v>26788</v>
      </c>
      <c r="F40" s="4">
        <f t="shared" si="2"/>
        <v>58201</v>
      </c>
      <c r="G40" s="6">
        <v>799000000</v>
      </c>
      <c r="H40" s="6">
        <f t="shared" si="3"/>
        <v>799000</v>
      </c>
      <c r="I40" s="6">
        <v>1820000000</v>
      </c>
      <c r="J40" s="6">
        <f t="shared" si="4"/>
        <v>3.2230287859824784E-2</v>
      </c>
      <c r="K40" s="6">
        <f t="shared" si="5"/>
        <v>7.154568210262828E-2</v>
      </c>
      <c r="L40" s="6">
        <f t="shared" si="0"/>
        <v>1.2966207759699624E-3</v>
      </c>
      <c r="M40" s="6">
        <f t="shared" si="6"/>
        <v>0.98549481586408405</v>
      </c>
      <c r="N40" s="6">
        <f t="shared" si="7"/>
        <v>0.96901236875073538</v>
      </c>
    </row>
    <row r="41" spans="1:14" x14ac:dyDescent="0.2">
      <c r="A41" s="3">
        <v>34243</v>
      </c>
      <c r="B41" s="4">
        <v>27795.666666666668</v>
      </c>
      <c r="C41" s="5">
        <v>60.294333333333334</v>
      </c>
      <c r="D41" s="4">
        <v>1089.3333333333333</v>
      </c>
      <c r="E41" s="4">
        <f t="shared" si="1"/>
        <v>28885</v>
      </c>
      <c r="F41" s="4">
        <f t="shared" si="2"/>
        <v>61383.666666666672</v>
      </c>
      <c r="G41" s="6">
        <v>855000000</v>
      </c>
      <c r="H41" s="6">
        <f t="shared" si="3"/>
        <v>855000</v>
      </c>
      <c r="I41" s="6">
        <v>1860000000</v>
      </c>
      <c r="J41" s="6">
        <f t="shared" si="4"/>
        <v>3.2509551656920078E-2</v>
      </c>
      <c r="K41" s="6">
        <f t="shared" si="5"/>
        <v>7.0519688109161802E-2</v>
      </c>
      <c r="L41" s="6">
        <f t="shared" si="0"/>
        <v>1.274074074074074E-3</v>
      </c>
      <c r="M41" s="6">
        <f t="shared" si="6"/>
        <v>0.98470790969275523</v>
      </c>
      <c r="N41" s="6">
        <f t="shared" si="7"/>
        <v>0.96805236365251357</v>
      </c>
    </row>
    <row r="42" spans="1:14" x14ac:dyDescent="0.2">
      <c r="A42" s="3">
        <v>34335</v>
      </c>
      <c r="B42" s="4">
        <v>26169</v>
      </c>
      <c r="C42" s="5">
        <v>59.21</v>
      </c>
      <c r="D42" s="4">
        <v>1197.3333333333333</v>
      </c>
      <c r="E42" s="4">
        <f t="shared" si="1"/>
        <v>27366.333333333332</v>
      </c>
      <c r="F42" s="4">
        <f t="shared" si="2"/>
        <v>60407.333333333336</v>
      </c>
      <c r="G42" s="6">
        <v>823000000</v>
      </c>
      <c r="H42" s="6">
        <f t="shared" si="3"/>
        <v>823000</v>
      </c>
      <c r="I42" s="6">
        <v>1880000000</v>
      </c>
      <c r="J42" s="6">
        <f t="shared" si="4"/>
        <v>3.1797083839611176E-2</v>
      </c>
      <c r="K42" s="6">
        <f t="shared" si="5"/>
        <v>7.1944106925880921E-2</v>
      </c>
      <c r="L42" s="6">
        <f t="shared" si="0"/>
        <v>1.4548400162008909E-3</v>
      </c>
      <c r="M42" s="6">
        <f t="shared" si="6"/>
        <v>0.98565229297850321</v>
      </c>
      <c r="N42" s="6">
        <f t="shared" si="7"/>
        <v>0.96886873580839217</v>
      </c>
    </row>
    <row r="43" spans="1:14" x14ac:dyDescent="0.2">
      <c r="A43" s="3">
        <v>34425</v>
      </c>
      <c r="B43" s="4">
        <v>26589.666666666668</v>
      </c>
      <c r="C43" s="5">
        <v>59.216666666666669</v>
      </c>
      <c r="D43" s="4">
        <v>1042.6666666666667</v>
      </c>
      <c r="E43" s="4">
        <f t="shared" si="1"/>
        <v>27632.333333333336</v>
      </c>
      <c r="F43" s="4">
        <f t="shared" si="2"/>
        <v>60259.333333333336</v>
      </c>
      <c r="G43" s="6">
        <v>818000000</v>
      </c>
      <c r="H43" s="6">
        <f t="shared" si="3"/>
        <v>818000</v>
      </c>
      <c r="I43" s="6">
        <v>1910000000</v>
      </c>
      <c r="J43" s="6">
        <f t="shared" si="4"/>
        <v>3.2505704971475147E-2</v>
      </c>
      <c r="K43" s="6">
        <f t="shared" si="5"/>
        <v>7.2392013039934811E-2</v>
      </c>
      <c r="L43" s="6">
        <f t="shared" si="0"/>
        <v>1.2746536267318664E-3</v>
      </c>
      <c r="M43" s="6">
        <f t="shared" si="6"/>
        <v>0.98573912457076052</v>
      </c>
      <c r="N43" s="6">
        <f t="shared" si="7"/>
        <v>0.96941553210085041</v>
      </c>
    </row>
    <row r="44" spans="1:14" x14ac:dyDescent="0.2">
      <c r="A44" s="3">
        <v>34516</v>
      </c>
      <c r="B44" s="4">
        <v>24426.666666666668</v>
      </c>
      <c r="C44" s="5">
        <v>58.745333333333335</v>
      </c>
      <c r="D44" s="4">
        <v>1058.6666666666667</v>
      </c>
      <c r="E44" s="4">
        <f t="shared" si="1"/>
        <v>25485.333333333336</v>
      </c>
      <c r="F44" s="4">
        <f t="shared" si="2"/>
        <v>59804</v>
      </c>
      <c r="G44" s="6">
        <v>813000000</v>
      </c>
      <c r="H44" s="6">
        <f t="shared" si="3"/>
        <v>813000</v>
      </c>
      <c r="I44" s="6">
        <v>1970000000</v>
      </c>
      <c r="J44" s="6">
        <f t="shared" si="4"/>
        <v>3.0045100451004513E-2</v>
      </c>
      <c r="K44" s="6">
        <f t="shared" si="5"/>
        <v>7.2257482574825754E-2</v>
      </c>
      <c r="L44" s="6">
        <f t="shared" si="0"/>
        <v>1.3021730217302175E-3</v>
      </c>
      <c r="M44" s="6">
        <f t="shared" si="6"/>
        <v>0.98722850380926552</v>
      </c>
      <c r="N44" s="6">
        <f t="shared" si="7"/>
        <v>0.97053705677986646</v>
      </c>
    </row>
    <row r="45" spans="1:14" x14ac:dyDescent="0.2">
      <c r="A45" s="3">
        <v>34608</v>
      </c>
      <c r="B45" s="4">
        <v>23718</v>
      </c>
      <c r="C45" s="5">
        <v>59.298333333333332</v>
      </c>
      <c r="D45" s="4">
        <v>988.66666666666663</v>
      </c>
      <c r="E45" s="4">
        <f t="shared" si="1"/>
        <v>24706.666666666668</v>
      </c>
      <c r="F45" s="4">
        <f t="shared" si="2"/>
        <v>60286.999999999993</v>
      </c>
      <c r="G45" s="6">
        <v>853000000</v>
      </c>
      <c r="H45" s="6">
        <f t="shared" si="3"/>
        <v>853000</v>
      </c>
      <c r="I45" s="6">
        <v>2030000000</v>
      </c>
      <c r="J45" s="6">
        <f t="shared" si="4"/>
        <v>2.7805392731535757E-2</v>
      </c>
      <c r="K45" s="6">
        <f t="shared" si="5"/>
        <v>6.9517389605314575E-2</v>
      </c>
      <c r="L45" s="6">
        <f t="shared" si="0"/>
        <v>1.1590465025400547E-3</v>
      </c>
      <c r="M45" s="6">
        <f t="shared" si="6"/>
        <v>0.98797557477790821</v>
      </c>
      <c r="N45" s="6">
        <f t="shared" si="7"/>
        <v>0.97115850598506326</v>
      </c>
    </row>
    <row r="46" spans="1:14" x14ac:dyDescent="0.2">
      <c r="A46" s="3">
        <v>34700</v>
      </c>
      <c r="B46" s="4">
        <v>21169.666666666668</v>
      </c>
      <c r="C46" s="5">
        <v>57.547666666666665</v>
      </c>
      <c r="D46" s="4">
        <v>1042.3333333333333</v>
      </c>
      <c r="E46" s="4">
        <f t="shared" si="1"/>
        <v>22212</v>
      </c>
      <c r="F46" s="4">
        <f t="shared" si="2"/>
        <v>58590</v>
      </c>
      <c r="G46" s="6">
        <v>797000000</v>
      </c>
      <c r="H46" s="6">
        <f t="shared" si="3"/>
        <v>797000</v>
      </c>
      <c r="I46" s="6">
        <v>2090000000</v>
      </c>
      <c r="J46" s="6">
        <f t="shared" si="4"/>
        <v>2.6561689669594313E-2</v>
      </c>
      <c r="K46" s="6">
        <f t="shared" si="5"/>
        <v>7.2205353408615641E-2</v>
      </c>
      <c r="L46" s="6">
        <f t="shared" si="0"/>
        <v>1.3078209953994143E-3</v>
      </c>
      <c r="M46" s="6">
        <f t="shared" si="6"/>
        <v>0.98948401012777132</v>
      </c>
      <c r="N46" s="6">
        <f t="shared" si="7"/>
        <v>0.97273095378829832</v>
      </c>
    </row>
    <row r="47" spans="1:14" x14ac:dyDescent="0.2">
      <c r="A47" s="3">
        <v>34790</v>
      </c>
      <c r="B47" s="4">
        <v>21368</v>
      </c>
      <c r="C47" s="5">
        <v>56.673666666666669</v>
      </c>
      <c r="D47" s="4">
        <v>872</v>
      </c>
      <c r="E47" s="4">
        <f t="shared" si="1"/>
        <v>22240</v>
      </c>
      <c r="F47" s="4">
        <f t="shared" si="2"/>
        <v>57545.666666666672</v>
      </c>
      <c r="G47" s="6">
        <v>808000000</v>
      </c>
      <c r="H47" s="6">
        <f t="shared" si="3"/>
        <v>808000</v>
      </c>
      <c r="I47" s="6">
        <v>2150000000</v>
      </c>
      <c r="J47" s="6">
        <f t="shared" si="4"/>
        <v>2.6445544554455445E-2</v>
      </c>
      <c r="K47" s="6">
        <f t="shared" si="5"/>
        <v>7.0140676567656768E-2</v>
      </c>
      <c r="L47" s="6">
        <f t="shared" si="0"/>
        <v>1.0792079207920793E-3</v>
      </c>
      <c r="M47" s="6">
        <f t="shared" si="6"/>
        <v>0.9897617206201893</v>
      </c>
      <c r="N47" s="6">
        <f t="shared" si="7"/>
        <v>0.97393228709349466</v>
      </c>
    </row>
    <row r="48" spans="1:14" x14ac:dyDescent="0.2">
      <c r="A48" s="3">
        <v>34881</v>
      </c>
      <c r="B48" s="4">
        <v>19603.333333333332</v>
      </c>
      <c r="C48" s="5">
        <v>56.087666666666664</v>
      </c>
      <c r="D48" s="4">
        <v>1028.3333333333333</v>
      </c>
      <c r="E48" s="4">
        <f t="shared" si="1"/>
        <v>20631.666666666664</v>
      </c>
      <c r="F48" s="4">
        <f t="shared" si="2"/>
        <v>57116</v>
      </c>
      <c r="G48" s="6">
        <v>778000000</v>
      </c>
      <c r="H48" s="6">
        <f t="shared" si="3"/>
        <v>778000</v>
      </c>
      <c r="I48" s="6">
        <v>2210000000</v>
      </c>
      <c r="J48" s="6">
        <f t="shared" si="4"/>
        <v>2.5197086546700942E-2</v>
      </c>
      <c r="K48" s="6">
        <f t="shared" si="5"/>
        <v>7.2092116538131953E-2</v>
      </c>
      <c r="L48" s="6">
        <f t="shared" si="0"/>
        <v>1.3217652099400171E-3</v>
      </c>
      <c r="M48" s="6">
        <f t="shared" si="6"/>
        <v>0.99075075146875446</v>
      </c>
      <c r="N48" s="6">
        <f t="shared" si="7"/>
        <v>0.97480675889544244</v>
      </c>
    </row>
    <row r="49" spans="1:14" x14ac:dyDescent="0.2">
      <c r="A49" s="3">
        <v>34973</v>
      </c>
      <c r="B49" s="4">
        <v>19077.333333333332</v>
      </c>
      <c r="C49" s="5">
        <v>55.789000000000001</v>
      </c>
      <c r="D49" s="4">
        <v>1105.6666666666667</v>
      </c>
      <c r="E49" s="4">
        <f t="shared" si="1"/>
        <v>20183</v>
      </c>
      <c r="F49" s="4">
        <f t="shared" si="2"/>
        <v>56894.666666666664</v>
      </c>
      <c r="G49" s="6">
        <v>825000000</v>
      </c>
      <c r="H49" s="6">
        <f t="shared" si="3"/>
        <v>825000</v>
      </c>
      <c r="I49" s="6">
        <v>2240000000</v>
      </c>
      <c r="J49" s="6">
        <f t="shared" si="4"/>
        <v>2.3124040404040404E-2</v>
      </c>
      <c r="K49" s="6">
        <f t="shared" si="5"/>
        <v>6.762303030303031E-2</v>
      </c>
      <c r="L49" s="6">
        <f t="shared" si="0"/>
        <v>1.3402020202020204E-3</v>
      </c>
      <c r="M49" s="6">
        <f t="shared" si="6"/>
        <v>0.99107019210391367</v>
      </c>
      <c r="N49" s="6">
        <f t="shared" si="7"/>
        <v>0.97522974497161685</v>
      </c>
    </row>
    <row r="50" spans="1:14" x14ac:dyDescent="0.2">
      <c r="A50" s="3">
        <v>35065</v>
      </c>
      <c r="B50" s="4">
        <v>16560</v>
      </c>
      <c r="C50" s="5">
        <v>54.024333333333331</v>
      </c>
      <c r="D50" s="4">
        <v>1157</v>
      </c>
      <c r="E50" s="4">
        <f t="shared" si="1"/>
        <v>17717</v>
      </c>
      <c r="F50" s="4">
        <f t="shared" si="2"/>
        <v>55181.333333333328</v>
      </c>
      <c r="G50" s="6">
        <v>754000000</v>
      </c>
      <c r="H50" s="6">
        <f t="shared" si="3"/>
        <v>754000</v>
      </c>
      <c r="I50" s="6">
        <v>2270000000</v>
      </c>
      <c r="J50" s="6">
        <f t="shared" si="4"/>
        <v>2.1962864721485412E-2</v>
      </c>
      <c r="K50" s="6">
        <f t="shared" si="5"/>
        <v>7.1650309460654288E-2</v>
      </c>
      <c r="L50" s="6">
        <f t="shared" si="0"/>
        <v>1.5344827586206897E-3</v>
      </c>
      <c r="M50" s="6">
        <f t="shared" si="6"/>
        <v>0.99225559804818519</v>
      </c>
      <c r="N50" s="6">
        <f t="shared" si="7"/>
        <v>0.97626794412020046</v>
      </c>
    </row>
    <row r="51" spans="1:14" x14ac:dyDescent="0.2">
      <c r="A51" s="3">
        <v>35156</v>
      </c>
      <c r="B51" s="4">
        <v>16508.666666666668</v>
      </c>
      <c r="C51" s="5">
        <v>53.213333333333331</v>
      </c>
      <c r="D51" s="4">
        <v>1050.6666666666667</v>
      </c>
      <c r="E51" s="4">
        <f t="shared" si="1"/>
        <v>17559.333333333336</v>
      </c>
      <c r="F51" s="4">
        <f t="shared" si="2"/>
        <v>54263.999999999993</v>
      </c>
      <c r="G51" s="6">
        <v>760000000</v>
      </c>
      <c r="H51" s="6">
        <f t="shared" si="3"/>
        <v>760000</v>
      </c>
      <c r="I51" s="6">
        <v>2290000000</v>
      </c>
      <c r="J51" s="6">
        <f t="shared" si="4"/>
        <v>2.1721929824561406E-2</v>
      </c>
      <c r="K51" s="6">
        <f t="shared" si="5"/>
        <v>7.0017543859649117E-2</v>
      </c>
      <c r="L51" s="6">
        <f t="shared" si="0"/>
        <v>1.3824561403508772E-3</v>
      </c>
      <c r="M51" s="6">
        <f t="shared" si="6"/>
        <v>0.99239051708023973</v>
      </c>
      <c r="N51" s="6">
        <f t="shared" si="7"/>
        <v>0.97685243641501129</v>
      </c>
    </row>
    <row r="52" spans="1:14" x14ac:dyDescent="0.2">
      <c r="A52" s="3">
        <v>35247</v>
      </c>
      <c r="B52" s="4">
        <v>13641.333333333332</v>
      </c>
      <c r="C52" s="5">
        <v>50.86633333333333</v>
      </c>
      <c r="D52" s="4">
        <v>1011.3333333333334</v>
      </c>
      <c r="E52" s="4">
        <f t="shared" si="1"/>
        <v>14652.666666666666</v>
      </c>
      <c r="F52" s="4">
        <f t="shared" si="2"/>
        <v>51877.666666666664</v>
      </c>
      <c r="G52" s="6">
        <v>769000000</v>
      </c>
      <c r="H52" s="6">
        <f t="shared" si="3"/>
        <v>769000</v>
      </c>
      <c r="I52" s="6">
        <v>2310000000</v>
      </c>
      <c r="J52" s="6">
        <f t="shared" si="4"/>
        <v>1.7739055049848285E-2</v>
      </c>
      <c r="K52" s="6">
        <f t="shared" si="5"/>
        <v>6.6146077156480271E-2</v>
      </c>
      <c r="L52" s="6">
        <f t="shared" si="0"/>
        <v>1.3151278716948419E-3</v>
      </c>
      <c r="M52" s="6">
        <f t="shared" si="6"/>
        <v>0.99369683614383686</v>
      </c>
      <c r="N52" s="6">
        <f t="shared" si="7"/>
        <v>0.97803541334980237</v>
      </c>
    </row>
    <row r="53" spans="1:14" x14ac:dyDescent="0.2">
      <c r="A53" s="3">
        <v>35339</v>
      </c>
      <c r="B53" s="4">
        <v>11841.666666666666</v>
      </c>
      <c r="C53" s="5">
        <v>48.993333333333332</v>
      </c>
      <c r="D53" s="4">
        <v>1160.6666666666667</v>
      </c>
      <c r="E53" s="4">
        <f t="shared" si="1"/>
        <v>13002.333333333332</v>
      </c>
      <c r="F53" s="4">
        <f t="shared" si="2"/>
        <v>50154</v>
      </c>
      <c r="G53" s="6">
        <v>798000000</v>
      </c>
      <c r="H53" s="6">
        <f t="shared" si="3"/>
        <v>798000</v>
      </c>
      <c r="I53" s="6">
        <v>2370000000</v>
      </c>
      <c r="J53" s="6">
        <f t="shared" si="4"/>
        <v>1.4839181286549707E-2</v>
      </c>
      <c r="K53" s="6">
        <f t="shared" si="5"/>
        <v>6.1395154553049294E-2</v>
      </c>
      <c r="L53" s="6">
        <f t="shared" si="0"/>
        <v>1.4544695071010861E-3</v>
      </c>
      <c r="M53" s="6">
        <f t="shared" si="6"/>
        <v>0.99454371774989159</v>
      </c>
      <c r="N53" s="6">
        <f t="shared" si="7"/>
        <v>0.97927652537813714</v>
      </c>
    </row>
    <row r="54" spans="1:14" x14ac:dyDescent="0.2">
      <c r="A54" s="3">
        <v>35431</v>
      </c>
      <c r="B54" s="4">
        <v>10387.666666666666</v>
      </c>
      <c r="C54" s="5">
        <v>47.591666666666669</v>
      </c>
      <c r="D54" s="4">
        <v>1144.3333333333333</v>
      </c>
      <c r="E54" s="4">
        <f t="shared" si="1"/>
        <v>11532</v>
      </c>
      <c r="F54" s="4">
        <f t="shared" si="2"/>
        <v>48736.000000000007</v>
      </c>
      <c r="G54" s="6">
        <v>746000000</v>
      </c>
      <c r="H54" s="6">
        <f t="shared" si="3"/>
        <v>746000</v>
      </c>
      <c r="I54" s="6">
        <v>2400000000</v>
      </c>
      <c r="J54" s="6">
        <f t="shared" si="4"/>
        <v>1.3924486148346737E-2</v>
      </c>
      <c r="K54" s="6">
        <f t="shared" si="5"/>
        <v>6.3795799821268998E-2</v>
      </c>
      <c r="L54" s="6">
        <f t="shared" si="0"/>
        <v>1.5339588918677389E-3</v>
      </c>
      <c r="M54" s="6">
        <f t="shared" si="6"/>
        <v>0.99521797761754771</v>
      </c>
      <c r="N54" s="6">
        <f t="shared" si="7"/>
        <v>0.98009748703004329</v>
      </c>
    </row>
    <row r="55" spans="1:14" x14ac:dyDescent="0.2">
      <c r="A55" s="3">
        <v>35521</v>
      </c>
      <c r="B55" s="4">
        <v>9927.6666666666661</v>
      </c>
      <c r="C55" s="5">
        <v>45.634999999999998</v>
      </c>
      <c r="D55" s="4">
        <v>1214.3333333333333</v>
      </c>
      <c r="E55" s="4">
        <f t="shared" si="1"/>
        <v>11142</v>
      </c>
      <c r="F55" s="4">
        <f t="shared" si="2"/>
        <v>46849.333333333336</v>
      </c>
      <c r="G55" s="6">
        <v>762000000</v>
      </c>
      <c r="H55" s="6">
        <f t="shared" si="3"/>
        <v>762000</v>
      </c>
      <c r="I55" s="6">
        <v>2460000000</v>
      </c>
      <c r="J55" s="6">
        <f t="shared" si="4"/>
        <v>1.3028433945756779E-2</v>
      </c>
      <c r="K55" s="6">
        <f t="shared" si="5"/>
        <v>5.9888451443569551E-2</v>
      </c>
      <c r="L55" s="6">
        <f t="shared" si="0"/>
        <v>1.5936132983377076E-3</v>
      </c>
      <c r="M55" s="6">
        <f t="shared" si="6"/>
        <v>0.99549115348288364</v>
      </c>
      <c r="N55" s="6">
        <f t="shared" si="7"/>
        <v>0.98131146826002569</v>
      </c>
    </row>
    <row r="56" spans="1:14" x14ac:dyDescent="0.2">
      <c r="A56" s="3">
        <v>35612</v>
      </c>
      <c r="B56" s="4">
        <v>8770.6666666666661</v>
      </c>
      <c r="C56" s="5">
        <v>45.107333333333337</v>
      </c>
      <c r="D56" s="4">
        <v>1265.3333333333333</v>
      </c>
      <c r="E56" s="4">
        <f t="shared" si="1"/>
        <v>10036</v>
      </c>
      <c r="F56" s="4">
        <f t="shared" si="2"/>
        <v>46372.666666666672</v>
      </c>
      <c r="G56" s="6">
        <v>718000000</v>
      </c>
      <c r="H56" s="6">
        <f t="shared" si="3"/>
        <v>718000</v>
      </c>
      <c r="I56" s="6">
        <v>2510000000</v>
      </c>
      <c r="J56" s="6">
        <f t="shared" si="4"/>
        <v>1.2215413184772515E-2</v>
      </c>
      <c r="K56" s="6">
        <f t="shared" si="5"/>
        <v>6.2823584029712165E-2</v>
      </c>
      <c r="L56" s="6">
        <f t="shared" si="0"/>
        <v>1.7623026926648095E-3</v>
      </c>
      <c r="M56" s="6">
        <f t="shared" si="6"/>
        <v>0.99601751721007159</v>
      </c>
      <c r="N56" s="6">
        <f t="shared" si="7"/>
        <v>0.98185997398918634</v>
      </c>
    </row>
    <row r="57" spans="1:14" x14ac:dyDescent="0.2">
      <c r="A57" s="3">
        <v>35704</v>
      </c>
      <c r="B57" s="4">
        <v>8818</v>
      </c>
      <c r="C57" s="5">
        <v>45.094333333333331</v>
      </c>
      <c r="D57" s="4">
        <v>1590.3333333333333</v>
      </c>
      <c r="E57" s="4">
        <f t="shared" si="1"/>
        <v>10408.333333333334</v>
      </c>
      <c r="F57" s="4">
        <f t="shared" si="2"/>
        <v>46684.666666666664</v>
      </c>
      <c r="G57" s="6">
        <v>762000000</v>
      </c>
      <c r="H57" s="6">
        <f t="shared" si="3"/>
        <v>762000</v>
      </c>
      <c r="I57" s="6">
        <v>2550000000</v>
      </c>
      <c r="J57" s="6">
        <f t="shared" si="4"/>
        <v>1.1572178477690289E-2</v>
      </c>
      <c r="K57" s="6">
        <f t="shared" si="5"/>
        <v>5.9178915135608044E-2</v>
      </c>
      <c r="L57" s="6">
        <f t="shared" si="0"/>
        <v>2.0870516185476813E-3</v>
      </c>
      <c r="M57" s="6">
        <f t="shared" si="6"/>
        <v>0.99593489319737405</v>
      </c>
      <c r="N57" s="6">
        <f t="shared" si="7"/>
        <v>0.98202143399776187</v>
      </c>
    </row>
    <row r="58" spans="1:14" x14ac:dyDescent="0.2">
      <c r="A58" s="3">
        <v>35796</v>
      </c>
      <c r="B58" s="4">
        <v>8267.6666666666661</v>
      </c>
      <c r="C58" s="5">
        <v>44.548333333333332</v>
      </c>
      <c r="D58" s="4">
        <v>1550.3333333333333</v>
      </c>
      <c r="E58" s="4">
        <f t="shared" si="1"/>
        <v>9818</v>
      </c>
      <c r="F58" s="4">
        <f t="shared" si="2"/>
        <v>46098.666666666664</v>
      </c>
      <c r="G58" s="6">
        <v>733000000</v>
      </c>
      <c r="H58" s="6">
        <f t="shared" si="3"/>
        <v>733000</v>
      </c>
      <c r="I58" s="6">
        <v>2590000000</v>
      </c>
      <c r="J58" s="6">
        <f t="shared" si="4"/>
        <v>1.1279217826284674E-2</v>
      </c>
      <c r="K58" s="6">
        <f t="shared" si="5"/>
        <v>6.0775352432924049E-2</v>
      </c>
      <c r="L58" s="6">
        <f t="shared" si="0"/>
        <v>2.1150522964984084E-3</v>
      </c>
      <c r="M58" s="6">
        <f t="shared" si="6"/>
        <v>0.99622358180457249</v>
      </c>
      <c r="N58" s="6">
        <f t="shared" si="7"/>
        <v>0.98251254126046883</v>
      </c>
    </row>
    <row r="59" spans="1:14" x14ac:dyDescent="0.2">
      <c r="A59" s="3">
        <v>35886</v>
      </c>
      <c r="B59" s="4">
        <v>8782</v>
      </c>
      <c r="C59" s="5">
        <v>44.119666666666667</v>
      </c>
      <c r="D59" s="4">
        <v>1433.6666666666667</v>
      </c>
      <c r="E59" s="4">
        <f t="shared" si="1"/>
        <v>10215.666666666666</v>
      </c>
      <c r="F59" s="4">
        <f t="shared" si="2"/>
        <v>45553.333333333328</v>
      </c>
      <c r="G59" s="6">
        <v>743000000</v>
      </c>
      <c r="H59" s="6">
        <f t="shared" si="3"/>
        <v>743000</v>
      </c>
      <c r="I59" s="6">
        <v>2650000000</v>
      </c>
      <c r="J59" s="6">
        <f t="shared" si="4"/>
        <v>1.1819650067294751E-2</v>
      </c>
      <c r="K59" s="6">
        <f t="shared" si="5"/>
        <v>5.9380439659039927E-2</v>
      </c>
      <c r="L59" s="6">
        <f t="shared" si="0"/>
        <v>1.9295648272768058E-3</v>
      </c>
      <c r="M59" s="6">
        <f t="shared" si="6"/>
        <v>0.99615983516123452</v>
      </c>
      <c r="N59" s="6">
        <f t="shared" si="7"/>
        <v>0.98310056314968097</v>
      </c>
    </row>
    <row r="60" spans="1:14" x14ac:dyDescent="0.2">
      <c r="A60" s="3">
        <v>35977</v>
      </c>
      <c r="B60" s="4">
        <v>8008</v>
      </c>
      <c r="C60" s="5">
        <v>42.972000000000001</v>
      </c>
      <c r="D60" s="4">
        <v>1535</v>
      </c>
      <c r="E60" s="4">
        <f t="shared" si="1"/>
        <v>9543</v>
      </c>
      <c r="F60" s="4">
        <f t="shared" si="2"/>
        <v>44507</v>
      </c>
      <c r="G60" s="6">
        <v>694000000</v>
      </c>
      <c r="H60" s="6">
        <f t="shared" si="3"/>
        <v>694000</v>
      </c>
      <c r="I60" s="6">
        <v>2690000000</v>
      </c>
      <c r="J60" s="6">
        <f t="shared" si="4"/>
        <v>1.1538904899135448E-2</v>
      </c>
      <c r="K60" s="6">
        <f t="shared" si="5"/>
        <v>6.1919308357348705E-2</v>
      </c>
      <c r="L60" s="6">
        <f t="shared" si="0"/>
        <v>2.2118155619596544E-3</v>
      </c>
      <c r="M60" s="6">
        <f t="shared" si="6"/>
        <v>0.99646495721683259</v>
      </c>
      <c r="N60" s="6">
        <f t="shared" si="7"/>
        <v>0.98372394000088503</v>
      </c>
    </row>
    <row r="61" spans="1:14" x14ac:dyDescent="0.2">
      <c r="A61" s="3">
        <v>36069</v>
      </c>
      <c r="B61" s="4">
        <v>7401.666666666667</v>
      </c>
      <c r="C61" s="5">
        <v>42.926666666666669</v>
      </c>
      <c r="D61" s="4">
        <v>1566.6666666666667</v>
      </c>
      <c r="E61" s="4">
        <f t="shared" si="1"/>
        <v>8968.3333333333339</v>
      </c>
      <c r="F61" s="4">
        <f t="shared" si="2"/>
        <v>44493.333333333336</v>
      </c>
      <c r="G61" s="6">
        <v>753000000</v>
      </c>
      <c r="H61" s="6">
        <f t="shared" si="3"/>
        <v>753000</v>
      </c>
      <c r="I61" s="6">
        <v>2750000000</v>
      </c>
      <c r="J61" s="6">
        <f t="shared" si="4"/>
        <v>9.8295706064630371E-3</v>
      </c>
      <c r="K61" s="6">
        <f t="shared" si="5"/>
        <v>5.7007525453740597E-2</v>
      </c>
      <c r="L61" s="6">
        <f t="shared" si="0"/>
        <v>2.0805666223992917E-3</v>
      </c>
      <c r="M61" s="6">
        <f t="shared" si="6"/>
        <v>0.99674938881139741</v>
      </c>
      <c r="N61" s="6">
        <f t="shared" si="7"/>
        <v>0.98407821095774062</v>
      </c>
    </row>
    <row r="62" spans="1:14" x14ac:dyDescent="0.2">
      <c r="A62" s="3">
        <v>36161</v>
      </c>
      <c r="B62" s="4">
        <v>7701</v>
      </c>
      <c r="C62" s="5">
        <v>43.843000000000004</v>
      </c>
      <c r="D62" s="4">
        <v>1317.3333333333333</v>
      </c>
      <c r="E62" s="4">
        <f t="shared" si="1"/>
        <v>9018.3333333333339</v>
      </c>
      <c r="F62" s="4">
        <f t="shared" si="2"/>
        <v>45160.333333333336</v>
      </c>
      <c r="G62" s="6">
        <v>692000000</v>
      </c>
      <c r="H62" s="6">
        <f t="shared" si="3"/>
        <v>692000</v>
      </c>
      <c r="I62" s="6">
        <v>2800000000</v>
      </c>
      <c r="J62" s="6">
        <f t="shared" si="4"/>
        <v>1.1128612716763006E-2</v>
      </c>
      <c r="K62" s="6">
        <f t="shared" si="5"/>
        <v>6.3356936416184978E-2</v>
      </c>
      <c r="L62" s="6">
        <f t="shared" si="0"/>
        <v>1.9036608863198458E-3</v>
      </c>
      <c r="M62" s="6">
        <f t="shared" si="6"/>
        <v>0.99678950712912151</v>
      </c>
      <c r="N62" s="6">
        <f t="shared" si="7"/>
        <v>0.98412731514486407</v>
      </c>
    </row>
    <row r="63" spans="1:14" x14ac:dyDescent="0.2">
      <c r="A63" s="3">
        <v>36251</v>
      </c>
      <c r="B63" s="4">
        <v>8003.333333333333</v>
      </c>
      <c r="C63" s="5">
        <v>42.36633333333333</v>
      </c>
      <c r="D63" s="4">
        <v>1225.3333333333333</v>
      </c>
      <c r="E63" s="4">
        <f t="shared" si="1"/>
        <v>9228.6666666666661</v>
      </c>
      <c r="F63" s="4">
        <f t="shared" si="2"/>
        <v>43591.666666666664</v>
      </c>
      <c r="G63" s="6">
        <v>695000000</v>
      </c>
      <c r="H63" s="6">
        <f t="shared" si="3"/>
        <v>695000</v>
      </c>
      <c r="I63" s="6">
        <v>2820000000</v>
      </c>
      <c r="J63" s="6">
        <f t="shared" si="4"/>
        <v>1.1515587529976019E-2</v>
      </c>
      <c r="K63" s="6">
        <f t="shared" si="5"/>
        <v>6.0958752997601909E-2</v>
      </c>
      <c r="L63" s="6">
        <f t="shared" si="0"/>
        <v>1.7630695443645083E-3</v>
      </c>
      <c r="M63" s="6">
        <f t="shared" si="6"/>
        <v>0.99673809799278634</v>
      </c>
      <c r="N63" s="6">
        <f t="shared" si="7"/>
        <v>0.98477727562414341</v>
      </c>
    </row>
    <row r="64" spans="1:14" x14ac:dyDescent="0.2">
      <c r="A64" s="3">
        <v>36342</v>
      </c>
      <c r="B64" s="4">
        <v>6538.666666666667</v>
      </c>
      <c r="C64" s="5">
        <v>40.427999999999997</v>
      </c>
      <c r="D64" s="4">
        <v>1113.6666666666667</v>
      </c>
      <c r="E64" s="4">
        <f t="shared" si="1"/>
        <v>7652.3333333333339</v>
      </c>
      <c r="F64" s="4">
        <f t="shared" si="2"/>
        <v>41541.666666666664</v>
      </c>
      <c r="G64" s="6">
        <v>660000000</v>
      </c>
      <c r="H64" s="6">
        <f t="shared" si="3"/>
        <v>660000</v>
      </c>
      <c r="I64" s="6">
        <v>2880000000</v>
      </c>
      <c r="J64" s="6">
        <f t="shared" si="4"/>
        <v>9.907070707070708E-3</v>
      </c>
      <c r="K64" s="6">
        <f t="shared" si="5"/>
        <v>6.1254545454545457E-2</v>
      </c>
      <c r="L64" s="6">
        <f t="shared" si="0"/>
        <v>1.6873737373737374E-3</v>
      </c>
      <c r="M64" s="6">
        <f t="shared" si="6"/>
        <v>0.9973499810745915</v>
      </c>
      <c r="N64" s="6">
        <f t="shared" si="7"/>
        <v>0.9857809090520131</v>
      </c>
    </row>
    <row r="65" spans="1:14" x14ac:dyDescent="0.2">
      <c r="A65" s="3">
        <v>36434</v>
      </c>
      <c r="B65" s="4">
        <v>4847.333333333333</v>
      </c>
      <c r="C65" s="5">
        <v>39.859666666666669</v>
      </c>
      <c r="D65" s="4">
        <v>1257.3333333333333</v>
      </c>
      <c r="E65" s="4">
        <f t="shared" si="1"/>
        <v>6104.6666666666661</v>
      </c>
      <c r="F65" s="4">
        <f t="shared" si="2"/>
        <v>41117.000000000007</v>
      </c>
      <c r="G65" s="6">
        <v>686000000</v>
      </c>
      <c r="H65" s="6">
        <f t="shared" si="3"/>
        <v>686000</v>
      </c>
      <c r="I65" s="6">
        <v>2970000000</v>
      </c>
      <c r="J65" s="6">
        <f t="shared" si="4"/>
        <v>7.0660835762876573E-3</v>
      </c>
      <c r="K65" s="6">
        <f t="shared" si="5"/>
        <v>5.8104470359572405E-2</v>
      </c>
      <c r="L65" s="6">
        <f t="shared" si="0"/>
        <v>1.8328474246841592E-3</v>
      </c>
      <c r="M65" s="6">
        <f t="shared" si="6"/>
        <v>0.99794877285901917</v>
      </c>
      <c r="N65" s="6">
        <f t="shared" si="7"/>
        <v>0.98634493445455629</v>
      </c>
    </row>
    <row r="66" spans="1:14" x14ac:dyDescent="0.2">
      <c r="A66" s="3">
        <v>36526</v>
      </c>
      <c r="B66" s="4">
        <v>4140.666666666667</v>
      </c>
      <c r="C66" s="5">
        <v>40.58</v>
      </c>
      <c r="D66" s="4">
        <v>1445</v>
      </c>
      <c r="E66" s="4">
        <f t="shared" si="1"/>
        <v>5585.666666666667</v>
      </c>
      <c r="F66" s="4">
        <f t="shared" si="2"/>
        <v>42025</v>
      </c>
      <c r="G66" s="6">
        <v>669000000</v>
      </c>
      <c r="H66" s="6">
        <f t="shared" si="3"/>
        <v>669000</v>
      </c>
      <c r="I66" s="6">
        <v>3070000000</v>
      </c>
      <c r="J66" s="6">
        <f t="shared" si="4"/>
        <v>6.1893373193821627E-3</v>
      </c>
      <c r="K66" s="6">
        <f t="shared" si="5"/>
        <v>6.0657698056801199E-2</v>
      </c>
      <c r="L66" s="6">
        <f t="shared" si="0"/>
        <v>2.1599402092675637E-3</v>
      </c>
      <c r="M66" s="6">
        <f t="shared" si="6"/>
        <v>0.99818386893683231</v>
      </c>
      <c r="N66" s="6">
        <f t="shared" si="7"/>
        <v>0.98649593110595191</v>
      </c>
    </row>
    <row r="67" spans="1:14" x14ac:dyDescent="0.2">
      <c r="A67" s="3">
        <v>36617</v>
      </c>
      <c r="B67" s="4">
        <v>6049.333333333333</v>
      </c>
      <c r="C67" s="5">
        <v>39.433999999999997</v>
      </c>
      <c r="D67" s="4">
        <v>1084</v>
      </c>
      <c r="E67" s="4">
        <f t="shared" si="1"/>
        <v>7133.333333333333</v>
      </c>
      <c r="F67" s="4">
        <f t="shared" si="2"/>
        <v>40518</v>
      </c>
      <c r="G67" s="6">
        <v>664000000</v>
      </c>
      <c r="H67" s="6">
        <f t="shared" si="3"/>
        <v>664000</v>
      </c>
      <c r="I67" s="6">
        <v>3170000000</v>
      </c>
      <c r="J67" s="6">
        <f t="shared" si="4"/>
        <v>9.1104417670682721E-3</v>
      </c>
      <c r="K67" s="6">
        <f t="shared" si="5"/>
        <v>5.9388554216867472E-2</v>
      </c>
      <c r="L67" s="6">
        <f t="shared" ref="L67:L130" si="8">D67/H67</f>
        <v>1.6325301204819277E-3</v>
      </c>
      <c r="M67" s="6">
        <f t="shared" si="6"/>
        <v>0.99775478943282203</v>
      </c>
      <c r="N67" s="6">
        <f t="shared" si="7"/>
        <v>0.98737960665537461</v>
      </c>
    </row>
    <row r="68" spans="1:14" x14ac:dyDescent="0.2">
      <c r="A68" s="3">
        <v>36708</v>
      </c>
      <c r="B68" s="4">
        <v>5759.333333333333</v>
      </c>
      <c r="C68" s="5">
        <v>38.408333333333331</v>
      </c>
      <c r="D68" s="4">
        <v>1114.6666666666667</v>
      </c>
      <c r="E68" s="4">
        <f t="shared" ref="E68:E131" si="9">B68+D68</f>
        <v>6874</v>
      </c>
      <c r="F68" s="4">
        <f t="shared" ref="F68:F131" si="10">C68*1000+D68</f>
        <v>39522.999999999993</v>
      </c>
      <c r="G68" s="6">
        <v>629000000</v>
      </c>
      <c r="H68" s="6">
        <f t="shared" si="3"/>
        <v>629000</v>
      </c>
      <c r="I68" s="6">
        <v>3250000000</v>
      </c>
      <c r="J68" s="6">
        <f t="shared" si="4"/>
        <v>9.1563328033916272E-3</v>
      </c>
      <c r="K68" s="6">
        <f t="shared" si="5"/>
        <v>6.1062533121356642E-2</v>
      </c>
      <c r="L68" s="6">
        <f t="shared" si="8"/>
        <v>1.7721250662427134E-3</v>
      </c>
      <c r="M68" s="6">
        <f t="shared" si="6"/>
        <v>0.99788938718538078</v>
      </c>
      <c r="N68" s="6">
        <f t="shared" si="7"/>
        <v>0.98798518812605962</v>
      </c>
    </row>
    <row r="69" spans="1:14" x14ac:dyDescent="0.2">
      <c r="A69" s="3">
        <v>36800</v>
      </c>
      <c r="B69" s="4">
        <v>5679.333333333333</v>
      </c>
      <c r="C69" s="5">
        <v>37.379666666666665</v>
      </c>
      <c r="D69" s="4">
        <v>1226</v>
      </c>
      <c r="E69" s="4">
        <f t="shared" si="9"/>
        <v>6905.333333333333</v>
      </c>
      <c r="F69" s="4">
        <f t="shared" si="10"/>
        <v>38605.666666666664</v>
      </c>
      <c r="G69" s="6">
        <v>679000000</v>
      </c>
      <c r="H69" s="6">
        <f t="shared" si="3"/>
        <v>679000</v>
      </c>
      <c r="I69" s="6">
        <v>3300000000</v>
      </c>
      <c r="J69" s="6">
        <f t="shared" si="4"/>
        <v>8.3642611683848785E-3</v>
      </c>
      <c r="K69" s="6">
        <f t="shared" si="5"/>
        <v>5.5051055473735885E-2</v>
      </c>
      <c r="L69" s="6">
        <f t="shared" si="8"/>
        <v>1.8055964653902797E-3</v>
      </c>
      <c r="M69" s="6">
        <f t="shared" si="6"/>
        <v>0.99791184426607915</v>
      </c>
      <c r="N69" s="6">
        <f t="shared" si="7"/>
        <v>0.98843658984584093</v>
      </c>
    </row>
    <row r="70" spans="1:14" x14ac:dyDescent="0.2">
      <c r="A70" s="3">
        <v>36892</v>
      </c>
      <c r="B70" s="4">
        <v>5343.333333333333</v>
      </c>
      <c r="C70" s="5">
        <v>37.49</v>
      </c>
      <c r="D70" s="4">
        <v>1286.3333333333333</v>
      </c>
      <c r="E70" s="4">
        <f t="shared" si="9"/>
        <v>6629.6666666666661</v>
      </c>
      <c r="F70" s="4">
        <f t="shared" si="10"/>
        <v>38776.333333333336</v>
      </c>
      <c r="G70" s="6">
        <v>638000000</v>
      </c>
      <c r="H70" s="6">
        <f t="shared" si="3"/>
        <v>638000</v>
      </c>
      <c r="I70" s="6">
        <v>3320000000</v>
      </c>
      <c r="J70" s="6">
        <f t="shared" si="4"/>
        <v>8.3751306165099262E-3</v>
      </c>
      <c r="K70" s="6">
        <f t="shared" si="5"/>
        <v>5.8761755485893415E-2</v>
      </c>
      <c r="L70" s="6">
        <f t="shared" si="8"/>
        <v>2.0161964472309299E-3</v>
      </c>
      <c r="M70" s="6">
        <f t="shared" si="6"/>
        <v>0.99800709206284766</v>
      </c>
      <c r="N70" s="6">
        <f t="shared" si="7"/>
        <v>0.98845522015011611</v>
      </c>
    </row>
    <row r="71" spans="1:14" x14ac:dyDescent="0.2">
      <c r="A71" s="3">
        <v>36982</v>
      </c>
      <c r="B71" s="4">
        <v>5949</v>
      </c>
      <c r="C71" s="5">
        <v>37.507333333333335</v>
      </c>
      <c r="D71" s="4">
        <v>1175.3333333333333</v>
      </c>
      <c r="E71" s="4">
        <f t="shared" si="9"/>
        <v>7124.333333333333</v>
      </c>
      <c r="F71" s="4">
        <f t="shared" si="10"/>
        <v>38682.666666666672</v>
      </c>
      <c r="G71" s="6">
        <v>653000000</v>
      </c>
      <c r="H71" s="6">
        <f t="shared" si="3"/>
        <v>653000</v>
      </c>
      <c r="I71" s="6">
        <v>3360000000</v>
      </c>
      <c r="J71" s="6">
        <f t="shared" si="4"/>
        <v>9.1102603369065845E-3</v>
      </c>
      <c r="K71" s="6">
        <f t="shared" si="5"/>
        <v>5.7438489025012765E-2</v>
      </c>
      <c r="L71" s="6">
        <f t="shared" si="8"/>
        <v>1.7998979070954566E-3</v>
      </c>
      <c r="M71" s="6">
        <f t="shared" si="6"/>
        <v>0.99788414901617828</v>
      </c>
      <c r="N71" s="6">
        <f t="shared" si="7"/>
        <v>0.98861833526087761</v>
      </c>
    </row>
    <row r="72" spans="1:14" x14ac:dyDescent="0.2">
      <c r="A72" s="3">
        <v>37073</v>
      </c>
      <c r="B72" s="4">
        <v>6422.333333333333</v>
      </c>
      <c r="C72" s="5">
        <v>38.313333333333333</v>
      </c>
      <c r="D72" s="4">
        <v>7206.666666666667</v>
      </c>
      <c r="E72" s="4">
        <f t="shared" si="9"/>
        <v>13629</v>
      </c>
      <c r="F72" s="4">
        <f t="shared" si="10"/>
        <v>45520</v>
      </c>
      <c r="G72" s="6">
        <v>651000000</v>
      </c>
      <c r="H72" s="6">
        <f t="shared" si="3"/>
        <v>651000</v>
      </c>
      <c r="I72" s="6">
        <v>3370000000</v>
      </c>
      <c r="J72" s="6">
        <f t="shared" si="4"/>
        <v>9.8653353814644133E-3</v>
      </c>
      <c r="K72" s="6">
        <f t="shared" si="5"/>
        <v>5.8853046594982084E-2</v>
      </c>
      <c r="L72" s="6">
        <f t="shared" si="8"/>
        <v>1.1070148489503329E-2</v>
      </c>
      <c r="M72" s="6">
        <f t="shared" si="6"/>
        <v>0.99597207613482452</v>
      </c>
      <c r="N72" s="6">
        <f t="shared" si="7"/>
        <v>0.98667260036539095</v>
      </c>
    </row>
    <row r="73" spans="1:14" x14ac:dyDescent="0.2">
      <c r="A73" s="3">
        <v>37165</v>
      </c>
      <c r="B73" s="4">
        <v>8508.3333333333339</v>
      </c>
      <c r="C73" s="5">
        <v>40.444000000000003</v>
      </c>
      <c r="D73" s="4">
        <v>1470</v>
      </c>
      <c r="E73" s="4">
        <f t="shared" si="9"/>
        <v>9978.3333333333339</v>
      </c>
      <c r="F73" s="4">
        <f t="shared" si="10"/>
        <v>41914</v>
      </c>
      <c r="G73" s="6">
        <v>741000000</v>
      </c>
      <c r="H73" s="6">
        <f t="shared" si="3"/>
        <v>741000</v>
      </c>
      <c r="I73" s="6">
        <v>3430000000</v>
      </c>
      <c r="J73" s="6">
        <f t="shared" si="4"/>
        <v>1.1482231219073324E-2</v>
      </c>
      <c r="K73" s="6">
        <f t="shared" si="5"/>
        <v>5.4580296896086372E-2</v>
      </c>
      <c r="L73" s="6">
        <f t="shared" si="8"/>
        <v>1.9838056680161944E-3</v>
      </c>
      <c r="M73" s="6">
        <f t="shared" si="6"/>
        <v>0.99709930343553521</v>
      </c>
      <c r="N73" s="6">
        <f t="shared" si="7"/>
        <v>0.98792769636575095</v>
      </c>
    </row>
    <row r="74" spans="1:14" x14ac:dyDescent="0.2">
      <c r="A74" s="3">
        <v>37257</v>
      </c>
      <c r="B74" s="4">
        <v>8055.666666666667</v>
      </c>
      <c r="C74" s="5">
        <v>40.781999999999996</v>
      </c>
      <c r="D74" s="4">
        <v>1394.3333333333333</v>
      </c>
      <c r="E74" s="4">
        <f t="shared" si="9"/>
        <v>9450</v>
      </c>
      <c r="F74" s="4">
        <f t="shared" si="10"/>
        <v>42176.333333333336</v>
      </c>
      <c r="G74" s="6">
        <v>649000000</v>
      </c>
      <c r="H74" s="6">
        <f t="shared" si="3"/>
        <v>649000</v>
      </c>
      <c r="I74" s="6">
        <v>3420000000</v>
      </c>
      <c r="J74" s="6">
        <f t="shared" si="4"/>
        <v>1.2412429378531074E-2</v>
      </c>
      <c r="K74" s="6">
        <f t="shared" si="5"/>
        <v>6.283821263482281E-2</v>
      </c>
      <c r="L74" s="6">
        <f t="shared" si="8"/>
        <v>2.1484334874165381E-3</v>
      </c>
      <c r="M74" s="6">
        <f t="shared" si="6"/>
        <v>0.99724445610812229</v>
      </c>
      <c r="N74" s="6">
        <f t="shared" si="7"/>
        <v>0.98781797075808475</v>
      </c>
    </row>
    <row r="75" spans="1:14" x14ac:dyDescent="0.2">
      <c r="A75" s="3">
        <v>37347</v>
      </c>
      <c r="B75" s="4">
        <v>7703.666666666667</v>
      </c>
      <c r="C75" s="5">
        <v>38.712333333333333</v>
      </c>
      <c r="D75" s="4">
        <v>1234</v>
      </c>
      <c r="E75" s="4">
        <f t="shared" si="9"/>
        <v>8937.6666666666679</v>
      </c>
      <c r="F75" s="4">
        <f t="shared" si="10"/>
        <v>39946.333333333336</v>
      </c>
      <c r="G75" s="6">
        <v>652000000</v>
      </c>
      <c r="H75" s="6">
        <f t="shared" si="3"/>
        <v>652000</v>
      </c>
      <c r="I75" s="6">
        <v>3410000000</v>
      </c>
      <c r="J75" s="6">
        <f t="shared" si="4"/>
        <v>1.1815439672801636E-2</v>
      </c>
      <c r="K75" s="6">
        <f t="shared" si="5"/>
        <v>5.937474437627812E-2</v>
      </c>
      <c r="L75" s="6">
        <f t="shared" si="8"/>
        <v>1.8926380368098159E-3</v>
      </c>
      <c r="M75" s="6">
        <f t="shared" si="6"/>
        <v>0.99738583515171819</v>
      </c>
      <c r="N75" s="6">
        <f t="shared" si="7"/>
        <v>0.98842117254191098</v>
      </c>
    </row>
    <row r="76" spans="1:14" x14ac:dyDescent="0.2">
      <c r="A76" s="3">
        <v>37438</v>
      </c>
      <c r="B76" s="4">
        <v>6897</v>
      </c>
      <c r="C76" s="5">
        <v>37.882333333333335</v>
      </c>
      <c r="D76" s="4">
        <v>1489.3333333333333</v>
      </c>
      <c r="E76" s="4">
        <f t="shared" si="9"/>
        <v>8386.3333333333339</v>
      </c>
      <c r="F76" s="4">
        <f t="shared" si="10"/>
        <v>39371.666666666672</v>
      </c>
      <c r="G76" s="6">
        <v>672000000</v>
      </c>
      <c r="H76" s="6">
        <f t="shared" si="3"/>
        <v>672000</v>
      </c>
      <c r="I76" s="6">
        <v>3480000000</v>
      </c>
      <c r="J76" s="6">
        <f t="shared" si="4"/>
        <v>1.0263392857142856E-2</v>
      </c>
      <c r="K76" s="6">
        <f t="shared" si="5"/>
        <v>5.6372519841269848E-2</v>
      </c>
      <c r="L76" s="6">
        <f t="shared" si="8"/>
        <v>2.216269841269841E-3</v>
      </c>
      <c r="M76" s="6">
        <f t="shared" si="6"/>
        <v>0.99759592759173554</v>
      </c>
      <c r="N76" s="6">
        <f t="shared" si="7"/>
        <v>0.98881287047924749</v>
      </c>
    </row>
    <row r="77" spans="1:14" x14ac:dyDescent="0.2">
      <c r="A77" s="3">
        <v>37530</v>
      </c>
      <c r="B77" s="4">
        <v>7760</v>
      </c>
      <c r="C77" s="5">
        <v>37.658333333333331</v>
      </c>
      <c r="D77" s="4">
        <v>1726.3333333333333</v>
      </c>
      <c r="E77" s="4">
        <f t="shared" si="9"/>
        <v>9486.3333333333339</v>
      </c>
      <c r="F77" s="4">
        <f t="shared" si="10"/>
        <v>39384.666666666664</v>
      </c>
      <c r="G77" s="6">
        <v>707000000</v>
      </c>
      <c r="H77" s="6">
        <f t="shared" si="3"/>
        <v>707000</v>
      </c>
      <c r="I77" s="6">
        <v>3610000000</v>
      </c>
      <c r="J77" s="6">
        <f t="shared" si="4"/>
        <v>1.0975954738330976E-2</v>
      </c>
      <c r="K77" s="6">
        <f t="shared" si="5"/>
        <v>5.3264969354078255E-2</v>
      </c>
      <c r="L77" s="6">
        <f t="shared" si="8"/>
        <v>2.4417727487034417E-3</v>
      </c>
      <c r="M77" s="6">
        <f t="shared" si="6"/>
        <v>0.99737909403166691</v>
      </c>
      <c r="N77" s="6">
        <f t="shared" si="7"/>
        <v>0.98920786097820701</v>
      </c>
    </row>
    <row r="78" spans="1:14" x14ac:dyDescent="0.2">
      <c r="A78" s="3">
        <v>37622</v>
      </c>
      <c r="B78" s="4">
        <v>8151.333333333333</v>
      </c>
      <c r="C78" s="5">
        <v>40.03</v>
      </c>
      <c r="D78" s="4">
        <v>1767</v>
      </c>
      <c r="E78" s="4">
        <f t="shared" si="9"/>
        <v>9918.3333333333321</v>
      </c>
      <c r="F78" s="4">
        <f t="shared" si="10"/>
        <v>41797</v>
      </c>
      <c r="G78" s="6">
        <v>699000000</v>
      </c>
      <c r="H78" s="6">
        <f t="shared" ref="H78:H141" si="11">G78/1000</f>
        <v>699000</v>
      </c>
      <c r="I78" s="6">
        <v>3670000000</v>
      </c>
      <c r="J78" s="6">
        <f t="shared" ref="J78:J121" si="12">B78/H78</f>
        <v>1.166142107773009E-2</v>
      </c>
      <c r="K78" s="6">
        <f t="shared" ref="K78:K141" si="13">C78*1000/H78</f>
        <v>5.7267525035765376E-2</v>
      </c>
      <c r="L78" s="6">
        <f t="shared" si="8"/>
        <v>2.5278969957081543E-3</v>
      </c>
      <c r="M78" s="6">
        <f t="shared" si="6"/>
        <v>0.99730474091136978</v>
      </c>
      <c r="N78" s="6">
        <f t="shared" si="7"/>
        <v>0.98873941651442687</v>
      </c>
    </row>
    <row r="79" spans="1:14" x14ac:dyDescent="0.2">
      <c r="A79" s="3">
        <v>37712</v>
      </c>
      <c r="B79" s="4">
        <v>9423.6666666666661</v>
      </c>
      <c r="C79" s="5">
        <v>39.925666666666665</v>
      </c>
      <c r="D79" s="4">
        <v>1732</v>
      </c>
      <c r="E79" s="4">
        <f t="shared" si="9"/>
        <v>11155.666666666666</v>
      </c>
      <c r="F79" s="4">
        <f t="shared" si="10"/>
        <v>41657.666666666664</v>
      </c>
      <c r="G79" s="6">
        <v>734000000</v>
      </c>
      <c r="H79" s="6">
        <f t="shared" si="11"/>
        <v>734000</v>
      </c>
      <c r="I79" s="6">
        <v>3730000000</v>
      </c>
      <c r="J79" s="6">
        <f t="shared" si="12"/>
        <v>1.2838782924613986E-2</v>
      </c>
      <c r="K79" s="6">
        <f t="shared" si="13"/>
        <v>5.4394641235240689E-2</v>
      </c>
      <c r="L79" s="6">
        <f t="shared" si="8"/>
        <v>2.3596730245231609E-3</v>
      </c>
      <c r="M79" s="6">
        <f t="shared" ref="M79:M142" si="14">I79/1000/(E79+I79/1000)</f>
        <v>0.99701812283138536</v>
      </c>
      <c r="N79" s="6">
        <f t="shared" ref="N79:N142" si="15">I79/1000/(F79+I79/1000)</f>
        <v>0.98895507748891676</v>
      </c>
    </row>
    <row r="80" spans="1:14" x14ac:dyDescent="0.2">
      <c r="A80" s="3">
        <v>37803</v>
      </c>
      <c r="B80" s="4">
        <v>10531.666666666666</v>
      </c>
      <c r="C80" s="5">
        <v>42.30766666666667</v>
      </c>
      <c r="D80" s="4">
        <v>2402.3333333333335</v>
      </c>
      <c r="E80" s="4">
        <f t="shared" si="9"/>
        <v>12934</v>
      </c>
      <c r="F80" s="4">
        <f t="shared" si="10"/>
        <v>44710.000000000007</v>
      </c>
      <c r="G80" s="6">
        <v>690000000</v>
      </c>
      <c r="H80" s="6">
        <f t="shared" si="11"/>
        <v>690000</v>
      </c>
      <c r="I80" s="6">
        <v>3820000000</v>
      </c>
      <c r="J80" s="6">
        <f t="shared" si="12"/>
        <v>1.5263285024154588E-2</v>
      </c>
      <c r="K80" s="6">
        <f t="shared" si="13"/>
        <v>6.1315458937198072E-2</v>
      </c>
      <c r="L80" s="6">
        <f t="shared" si="8"/>
        <v>3.4816425120772947E-3</v>
      </c>
      <c r="M80" s="6">
        <f t="shared" si="14"/>
        <v>0.99662556151501691</v>
      </c>
      <c r="N80" s="6">
        <f t="shared" si="15"/>
        <v>0.98843121476126283</v>
      </c>
    </row>
    <row r="81" spans="1:14" x14ac:dyDescent="0.2">
      <c r="A81" s="3">
        <v>37895</v>
      </c>
      <c r="B81" s="4">
        <v>9995</v>
      </c>
      <c r="C81" s="5">
        <v>41.573666666666668</v>
      </c>
      <c r="D81" s="4">
        <v>1332</v>
      </c>
      <c r="E81" s="4">
        <f t="shared" si="9"/>
        <v>11327</v>
      </c>
      <c r="F81" s="4">
        <f t="shared" si="10"/>
        <v>42905.666666666672</v>
      </c>
      <c r="G81" s="6">
        <v>722000000</v>
      </c>
      <c r="H81" s="6">
        <f t="shared" si="11"/>
        <v>722000</v>
      </c>
      <c r="I81" s="6">
        <v>3850000000</v>
      </c>
      <c r="J81" s="6">
        <f t="shared" si="12"/>
        <v>1.3843490304709142E-2</v>
      </c>
      <c r="K81" s="6">
        <f t="shared" si="13"/>
        <v>5.7581255771006472E-2</v>
      </c>
      <c r="L81" s="6">
        <f t="shared" si="8"/>
        <v>1.8448753462603877E-3</v>
      </c>
      <c r="M81" s="6">
        <f t="shared" si="14"/>
        <v>0.99706655250902088</v>
      </c>
      <c r="N81" s="6">
        <f t="shared" si="15"/>
        <v>0.98897849823743489</v>
      </c>
    </row>
    <row r="82" spans="1:14" x14ac:dyDescent="0.2">
      <c r="A82" s="3">
        <v>37987</v>
      </c>
      <c r="B82" s="4">
        <v>10211.666666666666</v>
      </c>
      <c r="C82" s="5">
        <v>43.206666666666663</v>
      </c>
      <c r="D82" s="4">
        <v>1295.6666666666667</v>
      </c>
      <c r="E82" s="4">
        <f t="shared" si="9"/>
        <v>11507.333333333332</v>
      </c>
      <c r="F82" s="4">
        <f t="shared" si="10"/>
        <v>44502.333333333328</v>
      </c>
      <c r="G82" s="6">
        <v>715000000</v>
      </c>
      <c r="H82" s="6">
        <f t="shared" si="11"/>
        <v>715000</v>
      </c>
      <c r="I82" s="6">
        <v>3920000000</v>
      </c>
      <c r="J82" s="6">
        <f t="shared" si="12"/>
        <v>1.428205128205128E-2</v>
      </c>
      <c r="K82" s="6">
        <f t="shared" si="13"/>
        <v>6.0428904428904424E-2</v>
      </c>
      <c r="L82" s="6">
        <f t="shared" si="8"/>
        <v>1.8121212121212122E-3</v>
      </c>
      <c r="M82" s="6">
        <f t="shared" si="14"/>
        <v>0.99707304797939245</v>
      </c>
      <c r="N82" s="6">
        <f t="shared" si="15"/>
        <v>0.98877479956080239</v>
      </c>
    </row>
    <row r="83" spans="1:14" x14ac:dyDescent="0.2">
      <c r="A83" s="3">
        <v>38078</v>
      </c>
      <c r="B83" s="4">
        <v>11983.666666666666</v>
      </c>
      <c r="C83" s="5">
        <v>44.231999999999999</v>
      </c>
      <c r="D83" s="4">
        <v>1807</v>
      </c>
      <c r="E83" s="4">
        <f t="shared" si="9"/>
        <v>13790.666666666666</v>
      </c>
      <c r="F83" s="4">
        <f t="shared" si="10"/>
        <v>46039</v>
      </c>
      <c r="G83" s="6">
        <v>721000000</v>
      </c>
      <c r="H83" s="6">
        <f t="shared" si="11"/>
        <v>721000</v>
      </c>
      <c r="I83" s="6">
        <v>4090000000</v>
      </c>
      <c r="J83" s="6">
        <f t="shared" si="12"/>
        <v>1.6620896902450298E-2</v>
      </c>
      <c r="K83" s="6">
        <f t="shared" si="13"/>
        <v>6.1348127600554782E-2</v>
      </c>
      <c r="L83" s="6">
        <f t="shared" si="8"/>
        <v>2.50624133148405E-3</v>
      </c>
      <c r="M83" s="6">
        <f t="shared" si="14"/>
        <v>0.99663952969660896</v>
      </c>
      <c r="N83" s="6">
        <f t="shared" si="15"/>
        <v>0.98886881869344079</v>
      </c>
    </row>
    <row r="84" spans="1:14" x14ac:dyDescent="0.2">
      <c r="A84" s="3">
        <v>38169</v>
      </c>
      <c r="B84" s="4">
        <v>11250.666666666666</v>
      </c>
      <c r="C84" s="5">
        <v>44.719666666666669</v>
      </c>
      <c r="D84" s="4">
        <v>1652.6666666666667</v>
      </c>
      <c r="E84" s="4">
        <f t="shared" si="9"/>
        <v>12903.333333333332</v>
      </c>
      <c r="F84" s="4">
        <f t="shared" si="10"/>
        <v>46372.333333333336</v>
      </c>
      <c r="G84" s="6">
        <v>711000000</v>
      </c>
      <c r="H84" s="6">
        <f t="shared" si="11"/>
        <v>711000</v>
      </c>
      <c r="I84" s="6">
        <v>4230000000</v>
      </c>
      <c r="J84" s="6">
        <f t="shared" si="12"/>
        <v>1.5823722456633847E-2</v>
      </c>
      <c r="K84" s="6">
        <f t="shared" si="13"/>
        <v>6.2896858884200657E-2</v>
      </c>
      <c r="L84" s="6">
        <f t="shared" si="8"/>
        <v>2.3244256915142991E-3</v>
      </c>
      <c r="M84" s="6">
        <f t="shared" si="14"/>
        <v>0.99695884343346663</v>
      </c>
      <c r="N84" s="6">
        <f t="shared" si="15"/>
        <v>0.98915615158860903</v>
      </c>
    </row>
    <row r="85" spans="1:14" x14ac:dyDescent="0.2">
      <c r="A85" s="3">
        <v>38261</v>
      </c>
      <c r="B85" s="4">
        <v>10203</v>
      </c>
      <c r="C85" s="5">
        <v>44.231666666666669</v>
      </c>
      <c r="D85" s="4">
        <v>1816.6666666666667</v>
      </c>
      <c r="E85" s="4">
        <f t="shared" si="9"/>
        <v>12019.666666666666</v>
      </c>
      <c r="F85" s="4">
        <f t="shared" si="10"/>
        <v>46048.333333333336</v>
      </c>
      <c r="G85" s="6">
        <v>755000000</v>
      </c>
      <c r="H85" s="6">
        <f t="shared" si="11"/>
        <v>755000</v>
      </c>
      <c r="I85" s="6">
        <v>4300000000</v>
      </c>
      <c r="J85" s="6">
        <f t="shared" si="12"/>
        <v>1.3513907284768211E-2</v>
      </c>
      <c r="K85" s="6">
        <f t="shared" si="13"/>
        <v>5.8584988962472412E-2</v>
      </c>
      <c r="L85" s="6">
        <f t="shared" si="8"/>
        <v>2.4061810154525388E-3</v>
      </c>
      <c r="M85" s="6">
        <f t="shared" si="14"/>
        <v>0.99721252044382291</v>
      </c>
      <c r="N85" s="6">
        <f t="shared" si="15"/>
        <v>0.98940455103084068</v>
      </c>
    </row>
    <row r="86" spans="1:14" x14ac:dyDescent="0.2">
      <c r="A86" s="3">
        <v>38353</v>
      </c>
      <c r="B86" s="4">
        <v>11106.333333333334</v>
      </c>
      <c r="C86" s="5">
        <v>45.989333333333335</v>
      </c>
      <c r="D86" s="4">
        <v>1669.6666666666667</v>
      </c>
      <c r="E86" s="4">
        <f t="shared" si="9"/>
        <v>12776</v>
      </c>
      <c r="F86" s="4">
        <f t="shared" si="10"/>
        <v>47659</v>
      </c>
      <c r="G86" s="6">
        <v>738000000</v>
      </c>
      <c r="H86" s="6">
        <f t="shared" si="11"/>
        <v>738000</v>
      </c>
      <c r="I86" s="6">
        <v>4390000000</v>
      </c>
      <c r="J86" s="6">
        <f t="shared" si="12"/>
        <v>1.5049232158988258E-2</v>
      </c>
      <c r="K86" s="6">
        <f t="shared" si="13"/>
        <v>6.2316169828364951E-2</v>
      </c>
      <c r="L86" s="6">
        <f t="shared" si="8"/>
        <v>2.2624209575429089E-3</v>
      </c>
      <c r="M86" s="6">
        <f t="shared" si="14"/>
        <v>0.99709819441188918</v>
      </c>
      <c r="N86" s="6">
        <f t="shared" si="15"/>
        <v>0.98926032847499101</v>
      </c>
    </row>
    <row r="87" spans="1:14" x14ac:dyDescent="0.2">
      <c r="A87" s="3">
        <v>38443</v>
      </c>
      <c r="B87" s="4">
        <v>10351.333333333334</v>
      </c>
      <c r="C87" s="5">
        <v>44.635333333333335</v>
      </c>
      <c r="D87" s="4">
        <v>1642.6666666666667</v>
      </c>
      <c r="E87" s="4">
        <f t="shared" si="9"/>
        <v>11994</v>
      </c>
      <c r="F87" s="4">
        <f t="shared" si="10"/>
        <v>46278</v>
      </c>
      <c r="G87" s="6">
        <v>753000000</v>
      </c>
      <c r="H87" s="6">
        <f t="shared" si="11"/>
        <v>753000</v>
      </c>
      <c r="I87" s="6">
        <v>4480000000</v>
      </c>
      <c r="J87" s="6">
        <f t="shared" si="12"/>
        <v>1.3746790615316513E-2</v>
      </c>
      <c r="K87" s="6">
        <f t="shared" si="13"/>
        <v>5.9276671093404162E-2</v>
      </c>
      <c r="L87" s="6">
        <f t="shared" si="8"/>
        <v>2.1814962372731297E-3</v>
      </c>
      <c r="M87" s="6">
        <f t="shared" si="14"/>
        <v>0.99732991629107248</v>
      </c>
      <c r="N87" s="6">
        <f t="shared" si="15"/>
        <v>0.98977570533670267</v>
      </c>
    </row>
    <row r="88" spans="1:14" x14ac:dyDescent="0.2">
      <c r="A88" s="3">
        <v>38534</v>
      </c>
      <c r="B88" s="4">
        <v>9610</v>
      </c>
      <c r="C88" s="5">
        <v>44.429000000000002</v>
      </c>
      <c r="D88" s="4">
        <v>1802</v>
      </c>
      <c r="E88" s="4">
        <f t="shared" si="9"/>
        <v>11412</v>
      </c>
      <c r="F88" s="4">
        <f t="shared" si="10"/>
        <v>46231</v>
      </c>
      <c r="G88" s="6">
        <v>710000000</v>
      </c>
      <c r="H88" s="6">
        <f t="shared" si="11"/>
        <v>710000</v>
      </c>
      <c r="I88" s="6">
        <v>4650000000</v>
      </c>
      <c r="J88" s="6">
        <f t="shared" si="12"/>
        <v>1.3535211267605634E-2</v>
      </c>
      <c r="K88" s="6">
        <f t="shared" si="13"/>
        <v>6.2576056338028166E-2</v>
      </c>
      <c r="L88" s="6">
        <f t="shared" si="8"/>
        <v>2.5380281690140843E-3</v>
      </c>
      <c r="M88" s="6">
        <f t="shared" si="14"/>
        <v>0.99755181477200472</v>
      </c>
      <c r="N88" s="6">
        <f t="shared" si="15"/>
        <v>0.99015572274873187</v>
      </c>
    </row>
    <row r="89" spans="1:14" x14ac:dyDescent="0.2">
      <c r="A89" s="3">
        <v>38626</v>
      </c>
      <c r="B89" s="4">
        <v>8292.6666666666661</v>
      </c>
      <c r="C89" s="5">
        <v>43.080333333333336</v>
      </c>
      <c r="D89" s="4">
        <v>1855</v>
      </c>
      <c r="E89" s="4">
        <f t="shared" si="9"/>
        <v>10147.666666666666</v>
      </c>
      <c r="F89" s="4">
        <f t="shared" si="10"/>
        <v>44935.333333333336</v>
      </c>
      <c r="G89" s="6">
        <v>746000000</v>
      </c>
      <c r="H89" s="6">
        <f t="shared" si="11"/>
        <v>746000</v>
      </c>
      <c r="I89" s="6">
        <v>4750000000</v>
      </c>
      <c r="J89" s="6">
        <f t="shared" si="12"/>
        <v>1.1116175156389633E-2</v>
      </c>
      <c r="K89" s="6">
        <f t="shared" si="13"/>
        <v>5.7748436103663987E-2</v>
      </c>
      <c r="L89" s="6">
        <f t="shared" si="8"/>
        <v>2.4865951742627347E-3</v>
      </c>
      <c r="M89" s="6">
        <f t="shared" si="14"/>
        <v>0.99786820338836824</v>
      </c>
      <c r="N89" s="6">
        <f t="shared" si="15"/>
        <v>0.99062858407683785</v>
      </c>
    </row>
    <row r="90" spans="1:14" x14ac:dyDescent="0.2">
      <c r="A90" s="3">
        <v>38718</v>
      </c>
      <c r="B90" s="4">
        <v>8063</v>
      </c>
      <c r="C90" s="5">
        <v>43.283666666666669</v>
      </c>
      <c r="D90" s="4">
        <v>1543.3333333333333</v>
      </c>
      <c r="E90" s="4">
        <f t="shared" si="9"/>
        <v>9606.3333333333339</v>
      </c>
      <c r="F90" s="4">
        <f t="shared" si="10"/>
        <v>44827.000000000007</v>
      </c>
      <c r="G90" s="6">
        <v>729000000</v>
      </c>
      <c r="H90" s="6">
        <f t="shared" si="11"/>
        <v>729000</v>
      </c>
      <c r="I90" s="6">
        <v>4850000000</v>
      </c>
      <c r="J90" s="6">
        <f t="shared" si="12"/>
        <v>1.1060356652949245E-2</v>
      </c>
      <c r="K90" s="6">
        <f t="shared" si="13"/>
        <v>5.9374028349336999E-2</v>
      </c>
      <c r="L90" s="6">
        <f t="shared" si="8"/>
        <v>2.1170553269318701E-3</v>
      </c>
      <c r="M90" s="6">
        <f t="shared" si="14"/>
        <v>0.9980232280817809</v>
      </c>
      <c r="N90" s="6">
        <f t="shared" si="15"/>
        <v>0.99084196438403238</v>
      </c>
    </row>
    <row r="91" spans="1:14" x14ac:dyDescent="0.2">
      <c r="A91" s="3">
        <v>38808</v>
      </c>
      <c r="B91" s="4">
        <v>8536.3333333333339</v>
      </c>
      <c r="C91" s="5">
        <v>43.314999999999998</v>
      </c>
      <c r="D91" s="4">
        <v>1801</v>
      </c>
      <c r="E91" s="4">
        <f t="shared" si="9"/>
        <v>10337.333333333334</v>
      </c>
      <c r="F91" s="4">
        <f t="shared" si="10"/>
        <v>45116</v>
      </c>
      <c r="G91" s="6">
        <v>723000000</v>
      </c>
      <c r="H91" s="6">
        <f t="shared" si="11"/>
        <v>723000</v>
      </c>
      <c r="I91" s="6">
        <v>4970000000</v>
      </c>
      <c r="J91" s="6">
        <f t="shared" si="12"/>
        <v>1.1806823420931306E-2</v>
      </c>
      <c r="K91" s="6">
        <f t="shared" si="13"/>
        <v>5.9910096818810508E-2</v>
      </c>
      <c r="L91" s="6">
        <f t="shared" si="8"/>
        <v>2.4910096818810514E-3</v>
      </c>
      <c r="M91" s="6">
        <f t="shared" si="14"/>
        <v>0.99792437085252328</v>
      </c>
      <c r="N91" s="6">
        <f t="shared" si="15"/>
        <v>0.9910039967171248</v>
      </c>
    </row>
    <row r="92" spans="1:14" x14ac:dyDescent="0.2">
      <c r="A92" s="3">
        <v>38899</v>
      </c>
      <c r="B92" s="4">
        <v>7620</v>
      </c>
      <c r="C92" s="5">
        <v>41.812666666666665</v>
      </c>
      <c r="D92" s="4">
        <v>1610.6666666666667</v>
      </c>
      <c r="E92" s="4">
        <f t="shared" si="9"/>
        <v>9230.6666666666661</v>
      </c>
      <c r="F92" s="4">
        <f t="shared" si="10"/>
        <v>43423.333333333328</v>
      </c>
      <c r="G92" s="6">
        <v>672000000</v>
      </c>
      <c r="H92" s="6">
        <f t="shared" si="11"/>
        <v>672000</v>
      </c>
      <c r="I92" s="6">
        <v>5070000000</v>
      </c>
      <c r="J92" s="6">
        <f t="shared" si="12"/>
        <v>1.1339285714285715E-2</v>
      </c>
      <c r="K92" s="6">
        <f t="shared" si="13"/>
        <v>6.2221230158730156E-2</v>
      </c>
      <c r="L92" s="6">
        <f t="shared" si="8"/>
        <v>2.3968253968253968E-3</v>
      </c>
      <c r="M92" s="6">
        <f t="shared" si="14"/>
        <v>0.9981826644087568</v>
      </c>
      <c r="N92" s="6">
        <f t="shared" si="15"/>
        <v>0.99150797215433628</v>
      </c>
    </row>
    <row r="93" spans="1:14" x14ac:dyDescent="0.2">
      <c r="A93" s="3">
        <v>38991</v>
      </c>
      <c r="B93" s="4">
        <v>6610.333333333333</v>
      </c>
      <c r="C93" s="5">
        <v>40.633333333333333</v>
      </c>
      <c r="D93" s="4">
        <v>1748.3333333333333</v>
      </c>
      <c r="E93" s="4">
        <f t="shared" si="9"/>
        <v>8358.6666666666661</v>
      </c>
      <c r="F93" s="4">
        <f t="shared" si="10"/>
        <v>42381.666666666672</v>
      </c>
      <c r="G93" s="6">
        <v>713000000</v>
      </c>
      <c r="H93" s="6">
        <f t="shared" si="11"/>
        <v>713000</v>
      </c>
      <c r="I93" s="6">
        <v>5260000000</v>
      </c>
      <c r="J93" s="6">
        <f t="shared" si="12"/>
        <v>9.2711547452080413E-3</v>
      </c>
      <c r="K93" s="6">
        <f t="shared" si="13"/>
        <v>5.6989247311827959E-2</v>
      </c>
      <c r="L93" s="6">
        <f t="shared" si="8"/>
        <v>2.4520804114071997E-3</v>
      </c>
      <c r="M93" s="6">
        <f t="shared" si="14"/>
        <v>0.99841342110597886</v>
      </c>
      <c r="N93" s="6">
        <f t="shared" si="15"/>
        <v>0.99200705091957098</v>
      </c>
    </row>
    <row r="94" spans="1:14" x14ac:dyDescent="0.2">
      <c r="A94" s="3">
        <v>39083</v>
      </c>
      <c r="B94" s="4">
        <v>6395</v>
      </c>
      <c r="C94" s="5">
        <v>41.081000000000003</v>
      </c>
      <c r="D94" s="4">
        <v>1538.3333333333333</v>
      </c>
      <c r="E94" s="4">
        <f t="shared" si="9"/>
        <v>7933.333333333333</v>
      </c>
      <c r="F94" s="4">
        <f t="shared" si="10"/>
        <v>42619.333333333336</v>
      </c>
      <c r="G94" s="6">
        <v>696000000</v>
      </c>
      <c r="H94" s="6">
        <f t="shared" si="11"/>
        <v>696000</v>
      </c>
      <c r="I94" s="6">
        <v>5280000000</v>
      </c>
      <c r="J94" s="6">
        <f t="shared" si="12"/>
        <v>9.1882183908045985E-3</v>
      </c>
      <c r="K94" s="6">
        <f t="shared" si="13"/>
        <v>5.9024425287356325E-2</v>
      </c>
      <c r="L94" s="6">
        <f t="shared" si="8"/>
        <v>2.2102490421455939E-3</v>
      </c>
      <c r="M94" s="6">
        <f t="shared" si="14"/>
        <v>0.99849972894262418</v>
      </c>
      <c r="N94" s="6">
        <f t="shared" si="15"/>
        <v>0.99199278951503711</v>
      </c>
    </row>
    <row r="95" spans="1:14" x14ac:dyDescent="0.2">
      <c r="A95" s="3">
        <v>39173</v>
      </c>
      <c r="B95" s="4">
        <v>7192</v>
      </c>
      <c r="C95" s="5">
        <v>41.88066666666667</v>
      </c>
      <c r="D95" s="4">
        <v>1599</v>
      </c>
      <c r="E95" s="4">
        <f t="shared" si="9"/>
        <v>8791</v>
      </c>
      <c r="F95" s="4">
        <f t="shared" si="10"/>
        <v>43479.666666666672</v>
      </c>
      <c r="G95" s="6">
        <v>677000000</v>
      </c>
      <c r="H95" s="6">
        <f t="shared" si="11"/>
        <v>677000</v>
      </c>
      <c r="I95" s="6">
        <v>5390000000</v>
      </c>
      <c r="J95" s="6">
        <f t="shared" si="12"/>
        <v>1.0623338257016248E-2</v>
      </c>
      <c r="K95" s="6">
        <f t="shared" si="13"/>
        <v>6.1862136878385036E-2</v>
      </c>
      <c r="L95" s="6">
        <f t="shared" si="8"/>
        <v>2.3618906942392908E-3</v>
      </c>
      <c r="M95" s="6">
        <f t="shared" si="14"/>
        <v>0.99837167247259617</v>
      </c>
      <c r="N95" s="6">
        <f t="shared" si="15"/>
        <v>0.99199782288072114</v>
      </c>
    </row>
    <row r="96" spans="1:14" x14ac:dyDescent="0.2">
      <c r="A96" s="3">
        <v>39264</v>
      </c>
      <c r="B96" s="4">
        <v>6580.333333333333</v>
      </c>
      <c r="C96" s="5">
        <v>40.770666666666664</v>
      </c>
      <c r="D96" s="4">
        <v>2731.6666666666665</v>
      </c>
      <c r="E96" s="4">
        <f t="shared" si="9"/>
        <v>9312</v>
      </c>
      <c r="F96" s="4">
        <f t="shared" si="10"/>
        <v>43502.333333333328</v>
      </c>
      <c r="G96" s="6">
        <v>628000000</v>
      </c>
      <c r="H96" s="6">
        <f t="shared" si="11"/>
        <v>628000</v>
      </c>
      <c r="I96" s="6">
        <v>5520000000</v>
      </c>
      <c r="J96" s="6">
        <f t="shared" si="12"/>
        <v>1.0478237791932059E-2</v>
      </c>
      <c r="K96" s="6">
        <f t="shared" si="13"/>
        <v>6.4921443736730353E-2</v>
      </c>
      <c r="L96" s="6">
        <f t="shared" si="8"/>
        <v>4.3497876857749463E-3</v>
      </c>
      <c r="M96" s="6">
        <f t="shared" si="14"/>
        <v>0.99831588450787367</v>
      </c>
      <c r="N96" s="6">
        <f t="shared" si="15"/>
        <v>0.99218076479042849</v>
      </c>
    </row>
    <row r="97" spans="1:14" x14ac:dyDescent="0.2">
      <c r="A97" s="3">
        <v>39356</v>
      </c>
      <c r="B97" s="4">
        <v>6644</v>
      </c>
      <c r="C97" s="5">
        <v>41.058</v>
      </c>
      <c r="D97" s="4">
        <v>1646</v>
      </c>
      <c r="E97" s="4">
        <f t="shared" si="9"/>
        <v>8290</v>
      </c>
      <c r="F97" s="4">
        <f t="shared" si="10"/>
        <v>42704</v>
      </c>
      <c r="G97" s="6">
        <v>702000000</v>
      </c>
      <c r="H97" s="6">
        <f t="shared" si="11"/>
        <v>702000</v>
      </c>
      <c r="I97" s="6">
        <v>5750000000</v>
      </c>
      <c r="J97" s="6">
        <f t="shared" si="12"/>
        <v>9.4643874643874637E-3</v>
      </c>
      <c r="K97" s="6">
        <f t="shared" si="13"/>
        <v>5.8487179487179485E-2</v>
      </c>
      <c r="L97" s="6">
        <f t="shared" si="8"/>
        <v>2.3447293447293447E-3</v>
      </c>
      <c r="M97" s="6">
        <f t="shared" si="14"/>
        <v>0.99856033648878395</v>
      </c>
      <c r="N97" s="6">
        <f t="shared" si="15"/>
        <v>0.99262796787130847</v>
      </c>
    </row>
    <row r="98" spans="1:14" x14ac:dyDescent="0.2">
      <c r="A98" s="3">
        <v>39448</v>
      </c>
      <c r="B98" s="4">
        <v>6995.666666666667</v>
      </c>
      <c r="C98" s="5">
        <v>42.193333333333335</v>
      </c>
      <c r="D98" s="4">
        <v>1969</v>
      </c>
      <c r="E98" s="4">
        <f t="shared" si="9"/>
        <v>8964.6666666666679</v>
      </c>
      <c r="F98" s="4">
        <f t="shared" si="10"/>
        <v>44162.333333333336</v>
      </c>
      <c r="G98" s="6">
        <v>697000000</v>
      </c>
      <c r="H98" s="6">
        <f t="shared" si="11"/>
        <v>697000</v>
      </c>
      <c r="I98" s="6">
        <v>5830000000</v>
      </c>
      <c r="J98" s="6">
        <f t="shared" si="12"/>
        <v>1.0036824485891918E-2</v>
      </c>
      <c r="K98" s="6">
        <f t="shared" si="13"/>
        <v>6.0535628885700625E-2</v>
      </c>
      <c r="L98" s="6">
        <f t="shared" si="8"/>
        <v>2.8249641319942611E-3</v>
      </c>
      <c r="M98" s="6">
        <f t="shared" si="14"/>
        <v>0.99846468215198425</v>
      </c>
      <c r="N98" s="6">
        <f t="shared" si="15"/>
        <v>0.99248193515478267</v>
      </c>
    </row>
    <row r="99" spans="1:14" x14ac:dyDescent="0.2">
      <c r="A99" s="3">
        <v>39539</v>
      </c>
      <c r="B99" s="4">
        <v>8314.3333333333339</v>
      </c>
      <c r="C99" s="5">
        <v>43.972666666666669</v>
      </c>
      <c r="D99" s="4">
        <v>1933.3333333333333</v>
      </c>
      <c r="E99" s="4">
        <f t="shared" si="9"/>
        <v>10247.666666666668</v>
      </c>
      <c r="F99" s="4">
        <f t="shared" si="10"/>
        <v>45906.000000000007</v>
      </c>
      <c r="G99" s="6">
        <v>683000000</v>
      </c>
      <c r="H99" s="6">
        <f t="shared" si="11"/>
        <v>683000</v>
      </c>
      <c r="I99" s="6">
        <v>5870000000</v>
      </c>
      <c r="J99" s="6">
        <f t="shared" si="12"/>
        <v>1.2173255246461689E-2</v>
      </c>
      <c r="K99" s="6">
        <f t="shared" si="13"/>
        <v>6.43816495851635E-2</v>
      </c>
      <c r="L99" s="6">
        <f t="shared" si="8"/>
        <v>2.8306490971205466E-3</v>
      </c>
      <c r="M99" s="6">
        <f t="shared" si="14"/>
        <v>0.99825727295046462</v>
      </c>
      <c r="N99" s="6">
        <f t="shared" si="15"/>
        <v>0.99224024181587744</v>
      </c>
    </row>
    <row r="100" spans="1:14" x14ac:dyDescent="0.2">
      <c r="A100" s="3">
        <v>39630</v>
      </c>
      <c r="B100" s="4">
        <v>8402.6666666666661</v>
      </c>
      <c r="C100" s="5">
        <v>43.796999999999997</v>
      </c>
      <c r="D100" s="4">
        <v>21090</v>
      </c>
      <c r="E100" s="4">
        <f t="shared" si="9"/>
        <v>29492.666666666664</v>
      </c>
      <c r="F100" s="4">
        <f t="shared" si="10"/>
        <v>64887</v>
      </c>
      <c r="G100" s="6">
        <v>730000000</v>
      </c>
      <c r="H100" s="6">
        <f t="shared" si="11"/>
        <v>730000</v>
      </c>
      <c r="I100" s="6">
        <v>5900000000</v>
      </c>
      <c r="J100" s="6">
        <f t="shared" si="12"/>
        <v>1.1510502283105023E-2</v>
      </c>
      <c r="K100" s="6">
        <f t="shared" si="13"/>
        <v>5.9995890410958902E-2</v>
      </c>
      <c r="L100" s="6">
        <f t="shared" si="8"/>
        <v>2.8890410958904111E-2</v>
      </c>
      <c r="M100" s="6">
        <f t="shared" si="14"/>
        <v>0.99502610622448973</v>
      </c>
      <c r="N100" s="6">
        <f t="shared" si="15"/>
        <v>0.98912183918991259</v>
      </c>
    </row>
    <row r="101" spans="1:14" x14ac:dyDescent="0.2">
      <c r="A101" s="3">
        <v>39722</v>
      </c>
      <c r="B101" s="4">
        <v>13147</v>
      </c>
      <c r="C101" s="5">
        <v>50.509</v>
      </c>
      <c r="D101" s="4">
        <v>531095</v>
      </c>
      <c r="E101" s="4">
        <f t="shared" si="9"/>
        <v>544242</v>
      </c>
      <c r="F101" s="4">
        <f t="shared" si="10"/>
        <v>581604</v>
      </c>
      <c r="G101" s="6">
        <v>847000000</v>
      </c>
      <c r="H101" s="6">
        <f t="shared" si="11"/>
        <v>847000</v>
      </c>
      <c r="I101" s="6">
        <v>6220000000</v>
      </c>
      <c r="J101" s="6">
        <f t="shared" si="12"/>
        <v>1.5521841794569067E-2</v>
      </c>
      <c r="K101" s="6">
        <f t="shared" si="13"/>
        <v>5.9632821723730814E-2</v>
      </c>
      <c r="L101" s="6">
        <f t="shared" si="8"/>
        <v>0.62703069657615107</v>
      </c>
      <c r="M101" s="6">
        <f t="shared" si="14"/>
        <v>0.91954131741590561</v>
      </c>
      <c r="N101" s="6">
        <f t="shared" si="15"/>
        <v>0.9144901702598387</v>
      </c>
    </row>
    <row r="102" spans="1:14" x14ac:dyDescent="0.2">
      <c r="A102" s="3">
        <v>39814</v>
      </c>
      <c r="B102" s="4">
        <v>20623.666666666668</v>
      </c>
      <c r="C102" s="5">
        <v>59.105333333333334</v>
      </c>
      <c r="D102" s="4">
        <v>720670</v>
      </c>
      <c r="E102" s="4">
        <f t="shared" si="9"/>
        <v>741293.66666666663</v>
      </c>
      <c r="F102" s="4">
        <f t="shared" si="10"/>
        <v>779775.33333333337</v>
      </c>
      <c r="G102" s="6">
        <v>780000000</v>
      </c>
      <c r="H102" s="6">
        <f t="shared" si="11"/>
        <v>780000</v>
      </c>
      <c r="I102" s="6">
        <v>6190000000</v>
      </c>
      <c r="J102" s="6">
        <f t="shared" si="12"/>
        <v>2.6440598290598291E-2</v>
      </c>
      <c r="K102" s="6">
        <f t="shared" si="13"/>
        <v>7.5776068376068373E-2</v>
      </c>
      <c r="L102" s="6">
        <f t="shared" si="8"/>
        <v>0.92393589743589744</v>
      </c>
      <c r="M102" s="6">
        <f t="shared" si="14"/>
        <v>0.89305118173947418</v>
      </c>
      <c r="N102" s="6">
        <f t="shared" si="15"/>
        <v>0.88812044921964495</v>
      </c>
    </row>
    <row r="103" spans="1:14" x14ac:dyDescent="0.2">
      <c r="A103" s="3">
        <v>39904</v>
      </c>
      <c r="B103" s="4">
        <v>22557.666666666668</v>
      </c>
      <c r="C103" s="5">
        <v>60.045333333333332</v>
      </c>
      <c r="D103" s="4">
        <v>804714.33333333337</v>
      </c>
      <c r="E103" s="4">
        <f t="shared" si="9"/>
        <v>827272</v>
      </c>
      <c r="F103" s="4">
        <f t="shared" si="10"/>
        <v>864759.66666666674</v>
      </c>
      <c r="G103" s="6">
        <v>837000000</v>
      </c>
      <c r="H103" s="6">
        <f t="shared" si="11"/>
        <v>837000</v>
      </c>
      <c r="I103" s="6">
        <v>6170000000</v>
      </c>
      <c r="J103" s="6">
        <f t="shared" si="12"/>
        <v>2.695061728395062E-2</v>
      </c>
      <c r="K103" s="6">
        <f t="shared" si="13"/>
        <v>7.1738749502190363E-2</v>
      </c>
      <c r="L103" s="6">
        <f t="shared" si="8"/>
        <v>0.96142692154520115</v>
      </c>
      <c r="M103" s="6">
        <f t="shared" si="14"/>
        <v>0.88177221065580991</v>
      </c>
      <c r="N103" s="6">
        <f t="shared" si="15"/>
        <v>0.87707331769069197</v>
      </c>
    </row>
    <row r="104" spans="1:14" x14ac:dyDescent="0.2">
      <c r="A104" s="3">
        <v>39995</v>
      </c>
      <c r="B104" s="4">
        <v>25371.666666666668</v>
      </c>
      <c r="C104" s="5">
        <v>63.373666666666665</v>
      </c>
      <c r="D104" s="4">
        <v>785919.33333333337</v>
      </c>
      <c r="E104" s="4">
        <f t="shared" si="9"/>
        <v>811291</v>
      </c>
      <c r="F104" s="4">
        <f t="shared" si="10"/>
        <v>849293</v>
      </c>
      <c r="G104" s="6">
        <v>822000000</v>
      </c>
      <c r="H104" s="6">
        <f t="shared" si="11"/>
        <v>822000</v>
      </c>
      <c r="I104" s="6">
        <v>6020000000</v>
      </c>
      <c r="J104" s="6">
        <f t="shared" si="12"/>
        <v>3.0865774533657749E-2</v>
      </c>
      <c r="K104" s="6">
        <f t="shared" si="13"/>
        <v>7.7096918085969177E-2</v>
      </c>
      <c r="L104" s="6">
        <f t="shared" si="8"/>
        <v>0.95610624493106244</v>
      </c>
      <c r="M104" s="6">
        <f t="shared" si="14"/>
        <v>0.88123899274675899</v>
      </c>
      <c r="N104" s="6">
        <f t="shared" si="15"/>
        <v>0.87636384122791089</v>
      </c>
    </row>
    <row r="105" spans="1:14" x14ac:dyDescent="0.2">
      <c r="A105" s="3">
        <v>40087</v>
      </c>
      <c r="B105" s="4">
        <v>24444</v>
      </c>
      <c r="C105" s="5">
        <v>64.016999999999996</v>
      </c>
      <c r="D105" s="4">
        <v>1048904</v>
      </c>
      <c r="E105" s="4">
        <f t="shared" si="9"/>
        <v>1073348</v>
      </c>
      <c r="F105" s="4">
        <f t="shared" si="10"/>
        <v>1112921</v>
      </c>
      <c r="G105" s="6">
        <v>904000000</v>
      </c>
      <c r="H105" s="6">
        <f t="shared" si="11"/>
        <v>904000</v>
      </c>
      <c r="I105" s="6">
        <v>5960000000</v>
      </c>
      <c r="J105" s="6">
        <f t="shared" si="12"/>
        <v>2.7039823008849558E-2</v>
      </c>
      <c r="K105" s="6">
        <f t="shared" si="13"/>
        <v>7.0815265486725662E-2</v>
      </c>
      <c r="L105" s="6">
        <f t="shared" si="8"/>
        <v>1.16029203539823</v>
      </c>
      <c r="M105" s="6">
        <f t="shared" si="14"/>
        <v>0.84739159785638363</v>
      </c>
      <c r="N105" s="6">
        <f t="shared" si="15"/>
        <v>0.84265044102712305</v>
      </c>
    </row>
    <row r="106" spans="1:14" x14ac:dyDescent="0.2">
      <c r="A106" s="3">
        <v>40179</v>
      </c>
      <c r="B106" s="4">
        <v>23353.333333333332</v>
      </c>
      <c r="C106" s="5">
        <v>64.775666666666666</v>
      </c>
      <c r="D106" s="4">
        <v>1109341</v>
      </c>
      <c r="E106" s="4">
        <f t="shared" si="9"/>
        <v>1132694.3333333333</v>
      </c>
      <c r="F106" s="4">
        <f t="shared" si="10"/>
        <v>1174116.6666666667</v>
      </c>
      <c r="G106" s="6">
        <v>838000000</v>
      </c>
      <c r="H106" s="6">
        <f t="shared" si="11"/>
        <v>838000</v>
      </c>
      <c r="I106" s="6">
        <v>6250000000</v>
      </c>
      <c r="J106" s="6">
        <f t="shared" si="12"/>
        <v>2.7867939538583929E-2</v>
      </c>
      <c r="K106" s="6">
        <f t="shared" si="13"/>
        <v>7.7297931583134444E-2</v>
      </c>
      <c r="L106" s="6">
        <f t="shared" si="8"/>
        <v>1.3237959427207637</v>
      </c>
      <c r="M106" s="6">
        <f t="shared" si="14"/>
        <v>0.84657439652903599</v>
      </c>
      <c r="N106" s="6">
        <f t="shared" si="15"/>
        <v>0.84185099461888846</v>
      </c>
    </row>
    <row r="107" spans="1:14" x14ac:dyDescent="0.2">
      <c r="A107" s="3">
        <v>40269</v>
      </c>
      <c r="B107" s="4">
        <v>25353.333333333332</v>
      </c>
      <c r="C107" s="5">
        <v>66.021666666666661</v>
      </c>
      <c r="D107" s="4">
        <v>1043307.3333333334</v>
      </c>
      <c r="E107" s="4">
        <f t="shared" si="9"/>
        <v>1068660.6666666667</v>
      </c>
      <c r="F107" s="4">
        <f t="shared" si="10"/>
        <v>1109329</v>
      </c>
      <c r="G107" s="6">
        <v>860000000</v>
      </c>
      <c r="H107" s="6">
        <f t="shared" si="11"/>
        <v>860000</v>
      </c>
      <c r="I107" s="6">
        <v>6080000000</v>
      </c>
      <c r="J107" s="6">
        <f t="shared" si="12"/>
        <v>2.9480620155038759E-2</v>
      </c>
      <c r="K107" s="6">
        <f t="shared" si="13"/>
        <v>7.6769379844961225E-2</v>
      </c>
      <c r="L107" s="6">
        <f t="shared" si="8"/>
        <v>1.213148062015504</v>
      </c>
      <c r="M107" s="6">
        <f t="shared" si="14"/>
        <v>0.85050896713426316</v>
      </c>
      <c r="N107" s="6">
        <f t="shared" si="15"/>
        <v>0.84569783911683549</v>
      </c>
    </row>
    <row r="108" spans="1:14" x14ac:dyDescent="0.2">
      <c r="A108" s="3">
        <v>40360</v>
      </c>
      <c r="B108" s="4">
        <v>25255.666666666668</v>
      </c>
      <c r="C108" s="5">
        <v>66.210999999999999</v>
      </c>
      <c r="D108" s="4">
        <v>1007345</v>
      </c>
      <c r="E108" s="4">
        <f t="shared" si="9"/>
        <v>1032600.6666666666</v>
      </c>
      <c r="F108" s="4">
        <f t="shared" si="10"/>
        <v>1073556</v>
      </c>
      <c r="G108" s="6">
        <v>868000000</v>
      </c>
      <c r="H108" s="6">
        <f t="shared" si="11"/>
        <v>868000</v>
      </c>
      <c r="I108" s="6">
        <v>5990000000</v>
      </c>
      <c r="J108" s="6">
        <f t="shared" si="12"/>
        <v>2.9096390168970816E-2</v>
      </c>
      <c r="K108" s="6">
        <f t="shared" si="13"/>
        <v>7.6279953917050697E-2</v>
      </c>
      <c r="L108" s="6">
        <f t="shared" si="8"/>
        <v>1.1605357142857142</v>
      </c>
      <c r="M108" s="6">
        <f t="shared" si="14"/>
        <v>0.85296036102864448</v>
      </c>
      <c r="N108" s="6">
        <f t="shared" si="15"/>
        <v>0.8480147959469706</v>
      </c>
    </row>
    <row r="109" spans="1:14" x14ac:dyDescent="0.2">
      <c r="A109" s="3">
        <v>40452</v>
      </c>
      <c r="B109" s="4">
        <v>26510.333333333332</v>
      </c>
      <c r="C109" s="5">
        <v>68.171666666666667</v>
      </c>
      <c r="D109" s="4">
        <v>983931</v>
      </c>
      <c r="E109" s="4">
        <f t="shared" si="9"/>
        <v>1010441.3333333334</v>
      </c>
      <c r="F109" s="4">
        <f t="shared" si="10"/>
        <v>1052102.6666666667</v>
      </c>
      <c r="G109" s="6">
        <v>964000000</v>
      </c>
      <c r="H109" s="6">
        <f t="shared" si="11"/>
        <v>964000</v>
      </c>
      <c r="I109" s="6">
        <v>5990000000</v>
      </c>
      <c r="J109" s="6">
        <f t="shared" si="12"/>
        <v>2.7500345781466113E-2</v>
      </c>
      <c r="K109" s="6">
        <f t="shared" si="13"/>
        <v>7.0717496542185343E-2</v>
      </c>
      <c r="L109" s="6">
        <f t="shared" si="8"/>
        <v>1.0206753112033196</v>
      </c>
      <c r="M109" s="6">
        <f t="shared" si="14"/>
        <v>0.8556603383672382</v>
      </c>
      <c r="N109" s="6">
        <f t="shared" si="15"/>
        <v>0.85059822094802362</v>
      </c>
    </row>
    <row r="110" spans="1:14" x14ac:dyDescent="0.2">
      <c r="A110" s="3">
        <v>40544</v>
      </c>
      <c r="B110" s="4">
        <v>29405</v>
      </c>
      <c r="C110" s="5">
        <v>73.439333333333337</v>
      </c>
      <c r="D110" s="4">
        <v>1196204.3333333333</v>
      </c>
      <c r="E110" s="4">
        <f t="shared" si="9"/>
        <v>1225609.3333333333</v>
      </c>
      <c r="F110" s="4">
        <f t="shared" si="10"/>
        <v>1269643.6666666665</v>
      </c>
      <c r="G110" s="6">
        <v>995000000</v>
      </c>
      <c r="H110" s="6">
        <f t="shared" si="11"/>
        <v>995000</v>
      </c>
      <c r="I110" s="6">
        <v>5900000000</v>
      </c>
      <c r="J110" s="6">
        <f t="shared" si="12"/>
        <v>2.9552763819095478E-2</v>
      </c>
      <c r="K110" s="6">
        <f t="shared" si="13"/>
        <v>7.3808375209380245E-2</v>
      </c>
      <c r="L110" s="6">
        <f t="shared" si="8"/>
        <v>1.2022154103852596</v>
      </c>
      <c r="M110" s="6">
        <f t="shared" si="14"/>
        <v>0.82799936454557244</v>
      </c>
      <c r="N110" s="6">
        <f t="shared" si="15"/>
        <v>0.82291397931398824</v>
      </c>
    </row>
    <row r="111" spans="1:14" x14ac:dyDescent="0.2">
      <c r="A111" s="3">
        <v>40634</v>
      </c>
      <c r="B111" s="4">
        <v>33272.666666666664</v>
      </c>
      <c r="C111" s="5">
        <v>76.821666666666673</v>
      </c>
      <c r="D111" s="4">
        <v>1517720.3333333333</v>
      </c>
      <c r="E111" s="4">
        <f t="shared" si="9"/>
        <v>1550993</v>
      </c>
      <c r="F111" s="4">
        <f t="shared" si="10"/>
        <v>1594542</v>
      </c>
      <c r="G111" s="6">
        <v>1090000000</v>
      </c>
      <c r="H111" s="6">
        <f t="shared" si="11"/>
        <v>1090000</v>
      </c>
      <c r="I111" s="6">
        <v>5860000000</v>
      </c>
      <c r="J111" s="6">
        <f t="shared" si="12"/>
        <v>3.052538226299694E-2</v>
      </c>
      <c r="K111" s="6">
        <f t="shared" si="13"/>
        <v>7.0478593272171264E-2</v>
      </c>
      <c r="L111" s="6">
        <f t="shared" si="8"/>
        <v>1.392403975535168</v>
      </c>
      <c r="M111" s="6">
        <f t="shared" si="14"/>
        <v>0.79071724936186016</v>
      </c>
      <c r="N111" s="6">
        <f t="shared" si="15"/>
        <v>0.78609792526489219</v>
      </c>
    </row>
    <row r="112" spans="1:14" x14ac:dyDescent="0.2">
      <c r="A112" s="3">
        <v>40725</v>
      </c>
      <c r="B112" s="4">
        <v>39258</v>
      </c>
      <c r="C112" s="5">
        <v>84.710666666666668</v>
      </c>
      <c r="D112" s="4">
        <v>1584146</v>
      </c>
      <c r="E112" s="4">
        <f t="shared" si="9"/>
        <v>1623404</v>
      </c>
      <c r="F112" s="4">
        <f t="shared" si="10"/>
        <v>1668856.6666666667</v>
      </c>
      <c r="G112" s="6">
        <v>1190000000</v>
      </c>
      <c r="H112" s="6">
        <f t="shared" si="11"/>
        <v>1190000</v>
      </c>
      <c r="I112" s="6">
        <v>5870000000</v>
      </c>
      <c r="J112" s="6">
        <f t="shared" si="12"/>
        <v>3.2989915966386556E-2</v>
      </c>
      <c r="K112" s="6">
        <f t="shared" si="13"/>
        <v>7.1185434173669473E-2</v>
      </c>
      <c r="L112" s="6">
        <f t="shared" si="8"/>
        <v>1.3312151260504201</v>
      </c>
      <c r="M112" s="6">
        <f t="shared" si="14"/>
        <v>0.78335560180660213</v>
      </c>
      <c r="N112" s="6">
        <f t="shared" si="15"/>
        <v>0.7786326573835024</v>
      </c>
    </row>
    <row r="113" spans="1:14" x14ac:dyDescent="0.2">
      <c r="A113" s="3">
        <v>40817</v>
      </c>
      <c r="B113" s="4">
        <v>47834.666666666664</v>
      </c>
      <c r="C113" s="5">
        <v>94.978666666666669</v>
      </c>
      <c r="D113" s="4">
        <v>1515036.6666666667</v>
      </c>
      <c r="E113" s="4">
        <f t="shared" si="9"/>
        <v>1562871.3333333335</v>
      </c>
      <c r="F113" s="4">
        <f t="shared" si="10"/>
        <v>1610015.3333333335</v>
      </c>
      <c r="G113" s="6">
        <v>1300000000</v>
      </c>
      <c r="H113" s="6">
        <f t="shared" si="11"/>
        <v>1300000</v>
      </c>
      <c r="I113" s="6">
        <v>5970000000</v>
      </c>
      <c r="J113" s="6">
        <f t="shared" si="12"/>
        <v>3.6795897435897437E-2</v>
      </c>
      <c r="K113" s="6">
        <f t="shared" si="13"/>
        <v>7.3060512820512818E-2</v>
      </c>
      <c r="L113" s="6">
        <f t="shared" si="8"/>
        <v>1.1654128205128205</v>
      </c>
      <c r="M113" s="6">
        <f t="shared" si="14"/>
        <v>0.79252647972127843</v>
      </c>
      <c r="N113" s="6">
        <f t="shared" si="15"/>
        <v>0.78759735138618447</v>
      </c>
    </row>
    <row r="114" spans="1:14" x14ac:dyDescent="0.2">
      <c r="A114" s="3">
        <v>40909</v>
      </c>
      <c r="B114" s="4">
        <v>49128</v>
      </c>
      <c r="C114" s="5">
        <v>98.765333333333331</v>
      </c>
      <c r="D114" s="4">
        <v>1529721.6666666667</v>
      </c>
      <c r="E114" s="4">
        <f t="shared" si="9"/>
        <v>1578849.6666666667</v>
      </c>
      <c r="F114" s="4">
        <f t="shared" si="10"/>
        <v>1628487</v>
      </c>
      <c r="G114" s="6">
        <v>1250000000</v>
      </c>
      <c r="H114" s="6">
        <f t="shared" si="11"/>
        <v>1250000</v>
      </c>
      <c r="I114" s="6">
        <v>6050000000</v>
      </c>
      <c r="J114" s="6">
        <f t="shared" si="12"/>
        <v>3.9302400000000001E-2</v>
      </c>
      <c r="K114" s="6">
        <f t="shared" si="13"/>
        <v>7.9012266666666664E-2</v>
      </c>
      <c r="L114" s="6">
        <f t="shared" si="8"/>
        <v>1.2237773333333335</v>
      </c>
      <c r="M114" s="6">
        <f t="shared" si="14"/>
        <v>0.79304223629346648</v>
      </c>
      <c r="N114" s="6">
        <f t="shared" si="15"/>
        <v>0.78791564015150384</v>
      </c>
    </row>
    <row r="115" spans="1:14" x14ac:dyDescent="0.2">
      <c r="A115" s="3">
        <v>41000</v>
      </c>
      <c r="B115" s="4">
        <v>51470.333333333336</v>
      </c>
      <c r="C115" s="5">
        <v>99.826333333333338</v>
      </c>
      <c r="D115" s="4">
        <v>1467037.3333333333</v>
      </c>
      <c r="E115" s="4">
        <f t="shared" si="9"/>
        <v>1518507.6666666665</v>
      </c>
      <c r="F115" s="4">
        <f t="shared" si="10"/>
        <v>1566863.6666666665</v>
      </c>
      <c r="G115" s="6">
        <v>1270000000</v>
      </c>
      <c r="H115" s="6">
        <f t="shared" si="11"/>
        <v>1270000</v>
      </c>
      <c r="I115" s="6">
        <v>6100000000</v>
      </c>
      <c r="J115" s="6">
        <f t="shared" si="12"/>
        <v>4.0527821522309715E-2</v>
      </c>
      <c r="K115" s="6">
        <f t="shared" si="13"/>
        <v>7.8603412073490822E-2</v>
      </c>
      <c r="L115" s="6">
        <f t="shared" si="8"/>
        <v>1.1551475065616796</v>
      </c>
      <c r="M115" s="6">
        <f t="shared" si="14"/>
        <v>0.80068174331429653</v>
      </c>
      <c r="N115" s="6">
        <f t="shared" si="15"/>
        <v>0.79563172963686024</v>
      </c>
    </row>
    <row r="116" spans="1:14" x14ac:dyDescent="0.2">
      <c r="A116" s="3">
        <v>41091</v>
      </c>
      <c r="B116" s="4">
        <v>55490</v>
      </c>
      <c r="C116" s="5">
        <v>104.41166666666666</v>
      </c>
      <c r="D116" s="4">
        <v>1456746.3333333333</v>
      </c>
      <c r="E116" s="4">
        <f t="shared" si="9"/>
        <v>1512236.3333333333</v>
      </c>
      <c r="F116" s="4">
        <f t="shared" si="10"/>
        <v>1561158</v>
      </c>
      <c r="G116" s="6">
        <v>1300000000</v>
      </c>
      <c r="H116" s="6">
        <f t="shared" si="11"/>
        <v>1300000</v>
      </c>
      <c r="I116" s="6">
        <v>6160000000</v>
      </c>
      <c r="J116" s="6">
        <f t="shared" si="12"/>
        <v>4.2684615384615383E-2</v>
      </c>
      <c r="K116" s="6">
        <f t="shared" si="13"/>
        <v>8.0316666666666661E-2</v>
      </c>
      <c r="L116" s="6">
        <f t="shared" si="8"/>
        <v>1.1205741025641025</v>
      </c>
      <c r="M116" s="6">
        <f t="shared" si="14"/>
        <v>0.80289497512437602</v>
      </c>
      <c r="N116" s="6">
        <f t="shared" si="15"/>
        <v>0.79780778997140067</v>
      </c>
    </row>
    <row r="117" spans="1:14" x14ac:dyDescent="0.2">
      <c r="A117" s="3">
        <v>41183</v>
      </c>
      <c r="B117" s="4">
        <v>59777.666666666664</v>
      </c>
      <c r="C117" s="5">
        <v>109.917</v>
      </c>
      <c r="D117" s="4">
        <v>1437442.6666666667</v>
      </c>
      <c r="E117" s="4">
        <f t="shared" si="9"/>
        <v>1497220.3333333335</v>
      </c>
      <c r="F117" s="4">
        <f t="shared" si="10"/>
        <v>1547359.6666666667</v>
      </c>
      <c r="G117" s="6">
        <v>1480000000</v>
      </c>
      <c r="H117" s="6">
        <f t="shared" si="11"/>
        <v>1480000</v>
      </c>
      <c r="I117" s="6">
        <v>6220000000</v>
      </c>
      <c r="J117" s="6">
        <f t="shared" si="12"/>
        <v>4.0390315315315312E-2</v>
      </c>
      <c r="K117" s="6">
        <f t="shared" si="13"/>
        <v>7.4268243243243243E-2</v>
      </c>
      <c r="L117" s="6">
        <f t="shared" si="8"/>
        <v>0.97124504504504505</v>
      </c>
      <c r="M117" s="6">
        <f t="shared" si="14"/>
        <v>0.8059896868738704</v>
      </c>
      <c r="N117" s="6">
        <f t="shared" si="15"/>
        <v>0.80078691690986026</v>
      </c>
    </row>
    <row r="118" spans="1:14" x14ac:dyDescent="0.2">
      <c r="A118" s="3">
        <v>41275</v>
      </c>
      <c r="B118" s="4">
        <v>62856.333333333336</v>
      </c>
      <c r="C118" s="5">
        <v>115.74266666666666</v>
      </c>
      <c r="D118" s="4">
        <v>1611466.6666666667</v>
      </c>
      <c r="E118" s="4">
        <f t="shared" si="9"/>
        <v>1674323</v>
      </c>
      <c r="F118" s="4">
        <f t="shared" si="10"/>
        <v>1727209.3333333335</v>
      </c>
      <c r="G118" s="6">
        <v>1460000000</v>
      </c>
      <c r="H118" s="6">
        <f t="shared" si="11"/>
        <v>1460000</v>
      </c>
      <c r="I118" s="6">
        <v>6280000000</v>
      </c>
      <c r="J118" s="6">
        <f t="shared" si="12"/>
        <v>4.3052283105022834E-2</v>
      </c>
      <c r="K118" s="6">
        <f t="shared" si="13"/>
        <v>7.9275799086757998E-2</v>
      </c>
      <c r="L118" s="6">
        <f t="shared" si="8"/>
        <v>1.103744292237443</v>
      </c>
      <c r="M118" s="6">
        <f t="shared" si="14"/>
        <v>0.78950779343509181</v>
      </c>
      <c r="N118" s="6">
        <f t="shared" si="15"/>
        <v>0.78429322109225896</v>
      </c>
    </row>
    <row r="119" spans="1:14" x14ac:dyDescent="0.2">
      <c r="A119" s="3">
        <v>41365</v>
      </c>
      <c r="B119" s="4">
        <v>65054.666666666664</v>
      </c>
      <c r="C119" s="5">
        <v>116.82133333333333</v>
      </c>
      <c r="D119" s="4">
        <v>1859705</v>
      </c>
      <c r="E119" s="4">
        <f t="shared" si="9"/>
        <v>1924759.6666666667</v>
      </c>
      <c r="F119" s="4">
        <f t="shared" si="10"/>
        <v>1976526.3333333333</v>
      </c>
      <c r="G119" s="6">
        <v>1410000000</v>
      </c>
      <c r="H119" s="6">
        <f t="shared" si="11"/>
        <v>1410000</v>
      </c>
      <c r="I119" s="6">
        <v>6320000000</v>
      </c>
      <c r="J119" s="6">
        <f t="shared" si="12"/>
        <v>4.6138061465721039E-2</v>
      </c>
      <c r="K119" s="6">
        <f t="shared" si="13"/>
        <v>8.2852009456264766E-2</v>
      </c>
      <c r="L119" s="6">
        <f t="shared" si="8"/>
        <v>1.3189397163120566</v>
      </c>
      <c r="M119" s="6">
        <f t="shared" si="14"/>
        <v>0.76654751084517159</v>
      </c>
      <c r="N119" s="6">
        <f t="shared" si="15"/>
        <v>0.76176459232195126</v>
      </c>
    </row>
    <row r="120" spans="1:14" x14ac:dyDescent="0.2">
      <c r="A120" s="3">
        <v>41456</v>
      </c>
      <c r="B120" s="4">
        <v>65231</v>
      </c>
      <c r="C120" s="5">
        <v>118.506</v>
      </c>
      <c r="D120" s="4">
        <v>2126222.6666666665</v>
      </c>
      <c r="E120" s="4">
        <f t="shared" si="9"/>
        <v>2191453.6666666665</v>
      </c>
      <c r="F120" s="4">
        <f t="shared" si="10"/>
        <v>2244728.6666666665</v>
      </c>
      <c r="G120" s="6">
        <v>1480000000</v>
      </c>
      <c r="H120" s="6">
        <f t="shared" si="11"/>
        <v>1480000</v>
      </c>
      <c r="I120" s="6">
        <v>6360000000</v>
      </c>
      <c r="J120" s="6">
        <f t="shared" si="12"/>
        <v>4.4075000000000003E-2</v>
      </c>
      <c r="K120" s="6">
        <f t="shared" si="13"/>
        <v>8.0071621621621625E-2</v>
      </c>
      <c r="L120" s="6">
        <f t="shared" si="8"/>
        <v>1.4366369369369367</v>
      </c>
      <c r="M120" s="6">
        <f t="shared" si="14"/>
        <v>0.74373319998108711</v>
      </c>
      <c r="N120" s="6">
        <f t="shared" si="15"/>
        <v>0.73912847765178424</v>
      </c>
    </row>
    <row r="121" spans="1:14" x14ac:dyDescent="0.2">
      <c r="A121" s="3">
        <v>41548</v>
      </c>
      <c r="B121" s="4">
        <v>68742</v>
      </c>
      <c r="C121" s="5">
        <v>122.95866666666667</v>
      </c>
      <c r="D121" s="4">
        <v>2372330.6666666665</v>
      </c>
      <c r="E121" s="4">
        <f t="shared" si="9"/>
        <v>2441072.6666666665</v>
      </c>
      <c r="F121" s="4">
        <f t="shared" si="10"/>
        <v>2495289.333333333</v>
      </c>
      <c r="G121" s="6">
        <v>1610000000</v>
      </c>
      <c r="H121" s="6">
        <f t="shared" si="11"/>
        <v>1610000</v>
      </c>
      <c r="I121" s="6">
        <v>6430000000</v>
      </c>
      <c r="J121" s="6">
        <f t="shared" si="12"/>
        <v>4.2696894409937888E-2</v>
      </c>
      <c r="K121" s="6">
        <f t="shared" si="13"/>
        <v>7.6371842650103522E-2</v>
      </c>
      <c r="L121" s="6">
        <f t="shared" si="8"/>
        <v>1.4734973084886127</v>
      </c>
      <c r="M121" s="6">
        <f t="shared" si="14"/>
        <v>0.72482779046111601</v>
      </c>
      <c r="N121" s="6">
        <f t="shared" si="15"/>
        <v>0.72042482432315558</v>
      </c>
    </row>
    <row r="122" spans="1:14" x14ac:dyDescent="0.2">
      <c r="A122" s="3">
        <v>41640</v>
      </c>
      <c r="B122" s="4">
        <v>77230.666666666672</v>
      </c>
      <c r="C122" s="5">
        <v>133.28733333333332</v>
      </c>
      <c r="D122" s="4">
        <v>2494455.6666666665</v>
      </c>
      <c r="E122" s="4">
        <f t="shared" si="9"/>
        <v>2571686.333333333</v>
      </c>
      <c r="F122" s="4">
        <f t="shared" si="10"/>
        <v>2627743</v>
      </c>
      <c r="G122" s="6">
        <v>1600000000</v>
      </c>
      <c r="H122" s="6">
        <f t="shared" si="11"/>
        <v>1600000</v>
      </c>
      <c r="I122" s="6">
        <v>6500000000</v>
      </c>
      <c r="J122" s="6">
        <f>B122/H122</f>
        <v>4.8269166666666669E-2</v>
      </c>
      <c r="K122" s="6">
        <f t="shared" si="13"/>
        <v>8.3304583333333321E-2</v>
      </c>
      <c r="L122" s="6">
        <f t="shared" si="8"/>
        <v>1.5590347916666665</v>
      </c>
      <c r="M122" s="6">
        <f t="shared" si="14"/>
        <v>0.71651507351132337</v>
      </c>
      <c r="N122" s="6">
        <f t="shared" si="15"/>
        <v>0.71211470349241868</v>
      </c>
    </row>
    <row r="123" spans="1:14" x14ac:dyDescent="0.2">
      <c r="A123" s="3">
        <v>41730</v>
      </c>
      <c r="B123" s="4">
        <v>81517.333333333328</v>
      </c>
      <c r="C123" s="5">
        <v>135.40033333333332</v>
      </c>
      <c r="D123" s="4">
        <v>2573116.6666666665</v>
      </c>
      <c r="E123" s="4">
        <f t="shared" si="9"/>
        <v>2654634</v>
      </c>
      <c r="F123" s="4">
        <f t="shared" si="10"/>
        <v>2708517</v>
      </c>
      <c r="G123" s="6">
        <v>1690000000</v>
      </c>
      <c r="H123" s="6">
        <f t="shared" si="11"/>
        <v>1690000</v>
      </c>
      <c r="I123" s="6">
        <v>6610000000</v>
      </c>
      <c r="J123" s="6">
        <f t="shared" ref="J123:J145" si="16">B123/H123</f>
        <v>4.8235108481262327E-2</v>
      </c>
      <c r="K123" s="6">
        <f t="shared" si="13"/>
        <v>8.0118540433925037E-2</v>
      </c>
      <c r="L123" s="6">
        <f t="shared" si="8"/>
        <v>1.5225542406311636</v>
      </c>
      <c r="M123" s="6">
        <f t="shared" si="14"/>
        <v>0.71346585304934873</v>
      </c>
      <c r="N123" s="6">
        <f t="shared" si="15"/>
        <v>0.70934033816754316</v>
      </c>
    </row>
    <row r="124" spans="1:14" x14ac:dyDescent="0.2">
      <c r="A124" s="3">
        <v>41821</v>
      </c>
      <c r="B124" s="4">
        <v>84460.333333333328</v>
      </c>
      <c r="C124" s="5">
        <v>139.59166666666667</v>
      </c>
      <c r="D124" s="4">
        <v>2665591.3333333335</v>
      </c>
      <c r="E124" s="4">
        <f t="shared" si="9"/>
        <v>2750051.666666667</v>
      </c>
      <c r="F124" s="4">
        <f t="shared" si="10"/>
        <v>2805183</v>
      </c>
      <c r="G124" s="6">
        <v>1690000000</v>
      </c>
      <c r="H124" s="6">
        <f t="shared" si="11"/>
        <v>1690000</v>
      </c>
      <c r="I124" s="6">
        <v>6720000000</v>
      </c>
      <c r="J124" s="6">
        <f t="shared" si="16"/>
        <v>4.9976528599605517E-2</v>
      </c>
      <c r="K124" s="6">
        <f t="shared" si="13"/>
        <v>8.2598619329388556E-2</v>
      </c>
      <c r="L124" s="6">
        <f t="shared" si="8"/>
        <v>1.5772729783037476</v>
      </c>
      <c r="M124" s="6">
        <f t="shared" si="14"/>
        <v>0.7096054210193502</v>
      </c>
      <c r="N124" s="6">
        <f t="shared" si="15"/>
        <v>0.70549825656892895</v>
      </c>
    </row>
    <row r="125" spans="1:14" x14ac:dyDescent="0.2">
      <c r="A125" s="3">
        <v>41913</v>
      </c>
      <c r="B125" s="4">
        <v>84740</v>
      </c>
      <c r="C125" s="5">
        <v>141.209</v>
      </c>
      <c r="D125" s="4">
        <v>2525908.6666666665</v>
      </c>
      <c r="E125" s="4">
        <f t="shared" si="9"/>
        <v>2610648.6666666665</v>
      </c>
      <c r="F125" s="4">
        <f t="shared" si="10"/>
        <v>2667117.6666666665</v>
      </c>
      <c r="G125" s="6">
        <v>1740000000</v>
      </c>
      <c r="H125" s="6">
        <f t="shared" si="11"/>
        <v>1740000</v>
      </c>
      <c r="I125" s="6">
        <v>6820000000</v>
      </c>
      <c r="J125" s="6">
        <f t="shared" si="16"/>
        <v>4.8701149425287353E-2</v>
      </c>
      <c r="K125" s="6">
        <f t="shared" si="13"/>
        <v>8.1154597701149425E-2</v>
      </c>
      <c r="L125" s="6">
        <f t="shared" si="8"/>
        <v>1.4516716475095786</v>
      </c>
      <c r="M125" s="6">
        <f t="shared" si="14"/>
        <v>0.72317400860301373</v>
      </c>
      <c r="N125" s="6">
        <f t="shared" si="15"/>
        <v>0.71886954917427859</v>
      </c>
    </row>
    <row r="126" spans="1:14" x14ac:dyDescent="0.2">
      <c r="A126" s="3">
        <v>42005</v>
      </c>
      <c r="B126" s="4">
        <v>90378.333333333328</v>
      </c>
      <c r="C126" s="5">
        <v>149.95766666666665</v>
      </c>
      <c r="D126" s="4">
        <v>2528214.6666666665</v>
      </c>
      <c r="E126" s="4">
        <f t="shared" si="9"/>
        <v>2618593</v>
      </c>
      <c r="F126" s="4">
        <f t="shared" si="10"/>
        <v>2678172.333333333</v>
      </c>
      <c r="G126" s="6">
        <v>1760000000</v>
      </c>
      <c r="H126" s="6">
        <f t="shared" si="11"/>
        <v>1760000</v>
      </c>
      <c r="I126" s="6">
        <v>6930000000</v>
      </c>
      <c r="J126" s="6">
        <f t="shared" si="16"/>
        <v>5.1351325757575755E-2</v>
      </c>
      <c r="K126" s="6">
        <f t="shared" si="13"/>
        <v>8.5203219696969687E-2</v>
      </c>
      <c r="L126" s="6">
        <f t="shared" si="8"/>
        <v>1.4364856060606059</v>
      </c>
      <c r="M126" s="6">
        <f t="shared" si="14"/>
        <v>0.72576137657139639</v>
      </c>
      <c r="N126" s="6">
        <f t="shared" si="15"/>
        <v>0.72126100152866401</v>
      </c>
    </row>
    <row r="127" spans="1:14" x14ac:dyDescent="0.2">
      <c r="A127" s="3">
        <v>42095</v>
      </c>
      <c r="B127" s="4">
        <v>90903</v>
      </c>
      <c r="C127" s="5">
        <v>148.61833333333334</v>
      </c>
      <c r="D127" s="4">
        <v>2521249.3333333335</v>
      </c>
      <c r="E127" s="4">
        <f t="shared" si="9"/>
        <v>2612152.3333333335</v>
      </c>
      <c r="F127" s="4">
        <f t="shared" si="10"/>
        <v>2669867.666666667</v>
      </c>
      <c r="G127" s="6">
        <v>1780000000</v>
      </c>
      <c r="H127" s="6">
        <f t="shared" si="11"/>
        <v>1780000</v>
      </c>
      <c r="I127" s="6">
        <v>7050000000</v>
      </c>
      <c r="J127" s="6">
        <f t="shared" si="16"/>
        <v>5.1069101123595508E-2</v>
      </c>
      <c r="K127" s="6">
        <f t="shared" si="13"/>
        <v>8.3493445692883902E-2</v>
      </c>
      <c r="L127" s="6">
        <f t="shared" si="8"/>
        <v>1.4164322097378279</v>
      </c>
      <c r="M127" s="6">
        <f t="shared" si="14"/>
        <v>0.72965109188749766</v>
      </c>
      <c r="N127" s="6">
        <f t="shared" si="15"/>
        <v>0.72531851685360726</v>
      </c>
    </row>
    <row r="128" spans="1:14" x14ac:dyDescent="0.2">
      <c r="A128" s="3">
        <v>42186</v>
      </c>
      <c r="B128" s="4">
        <v>93317.666666666672</v>
      </c>
      <c r="C128" s="5">
        <v>151.17566666666667</v>
      </c>
      <c r="D128" s="4">
        <v>2521036.3333333335</v>
      </c>
      <c r="E128" s="4">
        <f t="shared" si="9"/>
        <v>2614354</v>
      </c>
      <c r="F128" s="4">
        <f t="shared" si="10"/>
        <v>2672212</v>
      </c>
      <c r="G128" s="6">
        <v>1720000000</v>
      </c>
      <c r="H128" s="6">
        <f t="shared" si="11"/>
        <v>1720000</v>
      </c>
      <c r="I128" s="6">
        <v>7170000000</v>
      </c>
      <c r="J128" s="6">
        <f t="shared" si="16"/>
        <v>5.4254457364341091E-2</v>
      </c>
      <c r="K128" s="6">
        <f t="shared" si="13"/>
        <v>8.7892829457364346E-2</v>
      </c>
      <c r="L128" s="6">
        <f t="shared" si="8"/>
        <v>1.4657187984496125</v>
      </c>
      <c r="M128" s="6">
        <f t="shared" si="14"/>
        <v>0.73280259483661359</v>
      </c>
      <c r="N128" s="6">
        <f t="shared" si="15"/>
        <v>0.72849477332941015</v>
      </c>
    </row>
    <row r="129" spans="1:14" x14ac:dyDescent="0.2">
      <c r="A129" s="3">
        <v>42278</v>
      </c>
      <c r="B129" s="4">
        <v>89507.666666666672</v>
      </c>
      <c r="C129" s="5">
        <v>148.64166666666668</v>
      </c>
      <c r="D129" s="4">
        <v>2473849.3333333335</v>
      </c>
      <c r="E129" s="4">
        <f t="shared" si="9"/>
        <v>2563357</v>
      </c>
      <c r="F129" s="4">
        <f t="shared" si="10"/>
        <v>2622491</v>
      </c>
      <c r="G129" s="6">
        <v>1810000000</v>
      </c>
      <c r="H129" s="6">
        <f t="shared" si="11"/>
        <v>1810000</v>
      </c>
      <c r="I129" s="6">
        <v>7340000000</v>
      </c>
      <c r="J129" s="6">
        <f t="shared" si="16"/>
        <v>4.9451749539594844E-2</v>
      </c>
      <c r="K129" s="6">
        <f t="shared" si="13"/>
        <v>8.2122467771639049E-2</v>
      </c>
      <c r="L129" s="6">
        <f t="shared" si="8"/>
        <v>1.3667675874769798</v>
      </c>
      <c r="M129" s="6">
        <f t="shared" si="14"/>
        <v>0.74116281983977761</v>
      </c>
      <c r="N129" s="6">
        <f t="shared" si="15"/>
        <v>0.7367635263108393</v>
      </c>
    </row>
    <row r="130" spans="1:14" x14ac:dyDescent="0.2">
      <c r="A130" s="3">
        <v>42370</v>
      </c>
      <c r="B130" s="4">
        <v>93323.666666666672</v>
      </c>
      <c r="C130" s="5">
        <v>155.07733333333334</v>
      </c>
      <c r="D130" s="4">
        <v>2335105.3333333335</v>
      </c>
      <c r="E130" s="4">
        <f t="shared" si="9"/>
        <v>2428429</v>
      </c>
      <c r="F130" s="4">
        <f t="shared" si="10"/>
        <v>2490182.666666667</v>
      </c>
      <c r="G130" s="6">
        <v>1790000000</v>
      </c>
      <c r="H130" s="6">
        <f t="shared" si="11"/>
        <v>1790000</v>
      </c>
      <c r="I130" s="6">
        <v>7470000000</v>
      </c>
      <c r="J130" s="6">
        <f t="shared" si="16"/>
        <v>5.213612662942272E-2</v>
      </c>
      <c r="K130" s="6">
        <f t="shared" si="13"/>
        <v>8.6635381750465548E-2</v>
      </c>
      <c r="L130" s="6">
        <f t="shared" si="8"/>
        <v>1.3045281191806333</v>
      </c>
      <c r="M130" s="6">
        <f t="shared" si="14"/>
        <v>0.75466521000453712</v>
      </c>
      <c r="N130" s="6">
        <f t="shared" si="15"/>
        <v>0.74998624523218238</v>
      </c>
    </row>
    <row r="131" spans="1:14" x14ac:dyDescent="0.2">
      <c r="A131" s="3">
        <v>42461</v>
      </c>
      <c r="B131" s="4">
        <v>99355.666666666672</v>
      </c>
      <c r="C131" s="5">
        <v>159.16466666666668</v>
      </c>
      <c r="D131" s="4">
        <v>2293594.3333333335</v>
      </c>
      <c r="E131" s="4">
        <f t="shared" si="9"/>
        <v>2392950</v>
      </c>
      <c r="F131" s="4">
        <f t="shared" si="10"/>
        <v>2452759</v>
      </c>
      <c r="G131" s="6">
        <v>1830000000</v>
      </c>
      <c r="H131" s="6">
        <f t="shared" si="11"/>
        <v>1830000</v>
      </c>
      <c r="I131" s="6">
        <v>7620000000</v>
      </c>
      <c r="J131" s="6">
        <f t="shared" si="16"/>
        <v>5.4292714025500913E-2</v>
      </c>
      <c r="K131" s="6">
        <f t="shared" si="13"/>
        <v>8.6975227686703113E-2</v>
      </c>
      <c r="L131" s="6">
        <f t="shared" ref="L131:L145" si="17">D131/H131</f>
        <v>1.2533302367941712</v>
      </c>
      <c r="M131" s="6">
        <f t="shared" si="14"/>
        <v>0.76101448624031875</v>
      </c>
      <c r="N131" s="6">
        <f t="shared" si="15"/>
        <v>0.7564958121205918</v>
      </c>
    </row>
    <row r="132" spans="1:14" x14ac:dyDescent="0.2">
      <c r="A132" s="3">
        <v>42552</v>
      </c>
      <c r="B132" s="4">
        <v>104259.33333333333</v>
      </c>
      <c r="C132" s="5">
        <v>165.107</v>
      </c>
      <c r="D132" s="4">
        <v>2204833</v>
      </c>
      <c r="E132" s="4">
        <f t="shared" ref="E132:E147" si="18">B132+D132</f>
        <v>2309092.3333333335</v>
      </c>
      <c r="F132" s="4">
        <f t="shared" ref="F132:F147" si="19">C132*1000+D132</f>
        <v>2369940</v>
      </c>
      <c r="G132" s="6">
        <v>1890000000</v>
      </c>
      <c r="H132" s="6">
        <f t="shared" si="11"/>
        <v>1890000</v>
      </c>
      <c r="I132" s="6">
        <v>7730000000</v>
      </c>
      <c r="J132" s="6">
        <f t="shared" si="16"/>
        <v>5.5163668430335093E-2</v>
      </c>
      <c r="K132" s="6">
        <f t="shared" si="13"/>
        <v>8.7358201058201052E-2</v>
      </c>
      <c r="L132" s="6">
        <f t="shared" si="17"/>
        <v>1.1665783068783069</v>
      </c>
      <c r="M132" s="6">
        <f t="shared" si="14"/>
        <v>0.76998992970048385</v>
      </c>
      <c r="N132" s="6">
        <f t="shared" si="15"/>
        <v>0.76535108129355223</v>
      </c>
    </row>
    <row r="133" spans="1:14" x14ac:dyDescent="0.2">
      <c r="A133" s="3">
        <v>42644</v>
      </c>
      <c r="B133" s="4">
        <v>106325.66666666667</v>
      </c>
      <c r="C133" s="5">
        <v>168.51499999999999</v>
      </c>
      <c r="D133" s="4">
        <v>1982490.6666666667</v>
      </c>
      <c r="E133" s="4">
        <f t="shared" si="18"/>
        <v>2088816.3333333335</v>
      </c>
      <c r="F133" s="4">
        <f t="shared" si="19"/>
        <v>2151005.666666667</v>
      </c>
      <c r="G133" s="6">
        <v>1920000000</v>
      </c>
      <c r="H133" s="6">
        <f t="shared" si="11"/>
        <v>1920000</v>
      </c>
      <c r="I133" s="6">
        <v>7860000000</v>
      </c>
      <c r="J133" s="6">
        <f t="shared" si="16"/>
        <v>5.5377951388888888E-2</v>
      </c>
      <c r="K133" s="6">
        <f t="shared" si="13"/>
        <v>8.776822916666667E-2</v>
      </c>
      <c r="L133" s="6">
        <f t="shared" si="17"/>
        <v>1.0325472222222223</v>
      </c>
      <c r="M133" s="6">
        <f t="shared" si="14"/>
        <v>0.79004373351081059</v>
      </c>
      <c r="N133" s="6">
        <f t="shared" si="15"/>
        <v>0.78513590559350055</v>
      </c>
    </row>
    <row r="134" spans="1:14" x14ac:dyDescent="0.2">
      <c r="A134" s="3">
        <v>42736</v>
      </c>
      <c r="B134" s="4">
        <v>108969.66666666667</v>
      </c>
      <c r="C134" s="5">
        <v>173.05199999999999</v>
      </c>
      <c r="D134" s="4">
        <v>2110033.3333333335</v>
      </c>
      <c r="E134" s="4">
        <f t="shared" si="18"/>
        <v>2219003</v>
      </c>
      <c r="F134" s="4">
        <f t="shared" si="19"/>
        <v>2283085.3333333335</v>
      </c>
      <c r="G134" s="6">
        <v>1990000000</v>
      </c>
      <c r="H134" s="6">
        <f t="shared" si="11"/>
        <v>1990000</v>
      </c>
      <c r="I134" s="6">
        <v>7880000000</v>
      </c>
      <c r="J134" s="6">
        <f t="shared" si="16"/>
        <v>5.4758626465661646E-2</v>
      </c>
      <c r="K134" s="6">
        <f t="shared" si="13"/>
        <v>8.6960804020100507E-2</v>
      </c>
      <c r="L134" s="6">
        <f t="shared" si="17"/>
        <v>1.060318257956449</v>
      </c>
      <c r="M134" s="6">
        <f t="shared" si="14"/>
        <v>0.78027504299186756</v>
      </c>
      <c r="N134" s="6">
        <f t="shared" si="15"/>
        <v>0.77535509557858673</v>
      </c>
    </row>
    <row r="135" spans="1:14" x14ac:dyDescent="0.2">
      <c r="A135" s="3">
        <v>42826</v>
      </c>
      <c r="B135" s="4">
        <v>115625</v>
      </c>
      <c r="C135" s="5">
        <v>178.85666666666665</v>
      </c>
      <c r="D135" s="4">
        <v>2122287</v>
      </c>
      <c r="E135" s="4">
        <f t="shared" si="18"/>
        <v>2237912</v>
      </c>
      <c r="F135" s="4">
        <f t="shared" si="19"/>
        <v>2301143.6666666665</v>
      </c>
      <c r="G135" s="6">
        <v>2010000000</v>
      </c>
      <c r="H135" s="6">
        <f t="shared" si="11"/>
        <v>2010000</v>
      </c>
      <c r="I135" s="6">
        <v>7950000000</v>
      </c>
      <c r="J135" s="6">
        <f t="shared" si="16"/>
        <v>5.7524875621890549E-2</v>
      </c>
      <c r="K135" s="6">
        <f t="shared" si="13"/>
        <v>8.8983416252072969E-2</v>
      </c>
      <c r="L135" s="6">
        <f t="shared" si="17"/>
        <v>1.0558641791044776</v>
      </c>
      <c r="M135" s="6">
        <f t="shared" si="14"/>
        <v>0.7803365400093758</v>
      </c>
      <c r="N135" s="6">
        <f t="shared" si="15"/>
        <v>0.77552322535979812</v>
      </c>
    </row>
    <row r="136" spans="1:14" x14ac:dyDescent="0.2">
      <c r="A136" s="3">
        <v>42917</v>
      </c>
      <c r="B136" s="4">
        <v>120945.33333333333</v>
      </c>
      <c r="C136" s="5">
        <v>183.91300000000001</v>
      </c>
      <c r="D136" s="4">
        <v>2170079</v>
      </c>
      <c r="E136" s="4">
        <f t="shared" si="18"/>
        <v>2291024.3333333335</v>
      </c>
      <c r="F136" s="4">
        <f t="shared" si="19"/>
        <v>2353992</v>
      </c>
      <c r="G136" s="6">
        <v>1970000000</v>
      </c>
      <c r="H136" s="6">
        <f t="shared" si="11"/>
        <v>1970000</v>
      </c>
      <c r="I136" s="6">
        <v>8040000000</v>
      </c>
      <c r="J136" s="6">
        <f t="shared" si="16"/>
        <v>6.1393570219966158E-2</v>
      </c>
      <c r="K136" s="6">
        <f t="shared" si="13"/>
        <v>9.3356852791878178E-2</v>
      </c>
      <c r="L136" s="6">
        <f t="shared" si="17"/>
        <v>1.1015629441624366</v>
      </c>
      <c r="M136" s="6">
        <f t="shared" si="14"/>
        <v>0.77823841475803313</v>
      </c>
      <c r="N136" s="6">
        <f t="shared" si="15"/>
        <v>0.77352378181549497</v>
      </c>
    </row>
    <row r="137" spans="1:14" x14ac:dyDescent="0.2">
      <c r="A137" s="3">
        <v>43009</v>
      </c>
      <c r="B137" s="4">
        <v>121244.66666666667</v>
      </c>
      <c r="C137" s="5">
        <v>186.10366666666667</v>
      </c>
      <c r="D137" s="4">
        <v>2146898.6666666665</v>
      </c>
      <c r="E137" s="4">
        <f t="shared" si="18"/>
        <v>2268143.333333333</v>
      </c>
      <c r="F137" s="4">
        <f t="shared" si="19"/>
        <v>2333002.333333333</v>
      </c>
      <c r="G137" s="6">
        <v>2020000000</v>
      </c>
      <c r="H137" s="6">
        <f t="shared" si="11"/>
        <v>2020000</v>
      </c>
      <c r="I137" s="6">
        <v>8140000000</v>
      </c>
      <c r="J137" s="6">
        <f t="shared" si="16"/>
        <v>6.0022112211221126E-2</v>
      </c>
      <c r="K137" s="6">
        <f t="shared" si="13"/>
        <v>9.2130528052805277E-2</v>
      </c>
      <c r="L137" s="6">
        <f t="shared" si="17"/>
        <v>1.0628211221122112</v>
      </c>
      <c r="M137" s="6">
        <f t="shared" si="14"/>
        <v>0.78207992908117152</v>
      </c>
      <c r="N137" s="6">
        <f t="shared" si="15"/>
        <v>0.77723653074077115</v>
      </c>
    </row>
    <row r="138" spans="1:14" x14ac:dyDescent="0.2">
      <c r="A138" s="3">
        <v>43101</v>
      </c>
      <c r="B138" s="4">
        <v>123694.33333333333</v>
      </c>
      <c r="C138" s="5">
        <v>189.28233333333333</v>
      </c>
      <c r="D138" s="4">
        <v>2083100.6666666667</v>
      </c>
      <c r="E138" s="4">
        <f t="shared" si="18"/>
        <v>2206795</v>
      </c>
      <c r="F138" s="4">
        <f t="shared" si="19"/>
        <v>2272383</v>
      </c>
      <c r="G138" s="6">
        <v>2070000000</v>
      </c>
      <c r="H138" s="6">
        <f t="shared" si="11"/>
        <v>2070000</v>
      </c>
      <c r="I138" s="6">
        <v>8220000000</v>
      </c>
      <c r="J138" s="6">
        <f t="shared" si="16"/>
        <v>5.9755716586151364E-2</v>
      </c>
      <c r="K138" s="6">
        <f t="shared" si="13"/>
        <v>9.1440740740740725E-2</v>
      </c>
      <c r="L138" s="6">
        <f t="shared" si="17"/>
        <v>1.0063288244766506</v>
      </c>
      <c r="M138" s="6">
        <f t="shared" si="14"/>
        <v>0.78835346815584273</v>
      </c>
      <c r="N138" s="6">
        <f t="shared" si="15"/>
        <v>0.78342546207091368</v>
      </c>
    </row>
    <row r="139" spans="1:14" x14ac:dyDescent="0.2">
      <c r="A139" s="3">
        <v>43191</v>
      </c>
      <c r="B139" s="4">
        <v>126687.33333333333</v>
      </c>
      <c r="C139" s="5">
        <v>191.18833333333333</v>
      </c>
      <c r="D139" s="4">
        <v>1905602.3333333333</v>
      </c>
      <c r="E139" s="4">
        <f t="shared" si="18"/>
        <v>2032289.6666666665</v>
      </c>
      <c r="F139" s="4">
        <f t="shared" si="19"/>
        <v>2096790.6666666665</v>
      </c>
      <c r="G139" s="6">
        <v>2000000000</v>
      </c>
      <c r="H139" s="6">
        <f t="shared" si="11"/>
        <v>2000000</v>
      </c>
      <c r="I139" s="6">
        <v>8390000000</v>
      </c>
      <c r="J139" s="6">
        <f t="shared" si="16"/>
        <v>6.3343666666666659E-2</v>
      </c>
      <c r="K139" s="6">
        <f t="shared" si="13"/>
        <v>9.5594166666666675E-2</v>
      </c>
      <c r="L139" s="6">
        <f t="shared" si="17"/>
        <v>0.95280116666666659</v>
      </c>
      <c r="M139" s="6">
        <f t="shared" si="14"/>
        <v>0.80500545161717352</v>
      </c>
      <c r="N139" s="6">
        <f t="shared" si="15"/>
        <v>0.80005411251971215</v>
      </c>
    </row>
    <row r="140" spans="1:14" x14ac:dyDescent="0.2">
      <c r="A140" s="3">
        <v>43282</v>
      </c>
      <c r="B140" s="4">
        <v>125370.66666666667</v>
      </c>
      <c r="C140" s="5">
        <v>189.99299999999999</v>
      </c>
      <c r="D140" s="4">
        <v>1786246.3333333333</v>
      </c>
      <c r="E140" s="4">
        <f t="shared" si="18"/>
        <v>1911617</v>
      </c>
      <c r="F140" s="4">
        <f t="shared" si="19"/>
        <v>1976239.3333333333</v>
      </c>
      <c r="G140" s="6">
        <v>1960000000</v>
      </c>
      <c r="H140" s="6">
        <f t="shared" si="11"/>
        <v>1960000</v>
      </c>
      <c r="I140" s="6">
        <v>8470000000</v>
      </c>
      <c r="J140" s="6">
        <f t="shared" si="16"/>
        <v>6.3964625850340143E-2</v>
      </c>
      <c r="K140" s="6">
        <f t="shared" si="13"/>
        <v>9.6935204081632656E-2</v>
      </c>
      <c r="L140" s="6">
        <f t="shared" si="17"/>
        <v>0.91135017006802721</v>
      </c>
      <c r="M140" s="6">
        <f t="shared" si="14"/>
        <v>0.81586519710754113</v>
      </c>
      <c r="N140" s="6">
        <f t="shared" si="15"/>
        <v>0.81081810685427524</v>
      </c>
    </row>
    <row r="141" spans="1:14" x14ac:dyDescent="0.2">
      <c r="A141" s="3">
        <v>43374</v>
      </c>
      <c r="B141" s="4">
        <v>124687</v>
      </c>
      <c r="C141" s="5">
        <v>191.28033333333335</v>
      </c>
      <c r="D141" s="4">
        <v>1640880.3333333333</v>
      </c>
      <c r="E141" s="4">
        <f t="shared" si="18"/>
        <v>1765567.3333333333</v>
      </c>
      <c r="F141" s="4">
        <f t="shared" si="19"/>
        <v>1832160.6666666665</v>
      </c>
      <c r="G141" s="6">
        <v>2090000000</v>
      </c>
      <c r="H141" s="6">
        <f t="shared" si="11"/>
        <v>2090000</v>
      </c>
      <c r="I141" s="6">
        <v>8600000000</v>
      </c>
      <c r="J141" s="6">
        <f t="shared" si="16"/>
        <v>5.9658851674641147E-2</v>
      </c>
      <c r="K141" s="6">
        <f t="shared" si="13"/>
        <v>9.1521690590111643E-2</v>
      </c>
      <c r="L141" s="6">
        <f t="shared" si="17"/>
        <v>0.78511020733652304</v>
      </c>
      <c r="M141" s="6">
        <f t="shared" si="14"/>
        <v>0.82966997593506853</v>
      </c>
      <c r="N141" s="6">
        <f t="shared" si="15"/>
        <v>0.82437380661506943</v>
      </c>
    </row>
    <row r="142" spans="1:14" x14ac:dyDescent="0.2">
      <c r="A142" s="3">
        <v>43466</v>
      </c>
      <c r="B142" s="4">
        <v>128227.33333333333</v>
      </c>
      <c r="C142" s="5">
        <v>195.333</v>
      </c>
      <c r="D142" s="4">
        <v>1520292.6666666667</v>
      </c>
      <c r="E142" s="4">
        <f t="shared" si="18"/>
        <v>1648520</v>
      </c>
      <c r="F142" s="4">
        <f t="shared" si="19"/>
        <v>1715625.6666666667</v>
      </c>
      <c r="G142" s="6">
        <v>2030000000</v>
      </c>
      <c r="H142" s="6">
        <f>G142/1000</f>
        <v>2030000</v>
      </c>
      <c r="I142" s="6">
        <v>8710000000</v>
      </c>
      <c r="J142" s="6">
        <f t="shared" si="16"/>
        <v>6.3166174055829222E-2</v>
      </c>
      <c r="K142" s="6">
        <f t="shared" ref="K142:K145" si="20">C142*1000/H142</f>
        <v>9.6223152709359605E-2</v>
      </c>
      <c r="L142" s="6">
        <f t="shared" si="17"/>
        <v>0.74891264367816091</v>
      </c>
      <c r="M142" s="6">
        <f t="shared" si="14"/>
        <v>0.84085371269254683</v>
      </c>
      <c r="N142" s="6">
        <f t="shared" si="15"/>
        <v>0.83544146687023779</v>
      </c>
    </row>
    <row r="143" spans="1:14" x14ac:dyDescent="0.2">
      <c r="A143" s="3">
        <v>43556</v>
      </c>
      <c r="B143" s="4">
        <v>133248.33333333334</v>
      </c>
      <c r="C143" s="5">
        <v>198.22566666666665</v>
      </c>
      <c r="D143" s="4">
        <v>1402282.3333333333</v>
      </c>
      <c r="E143" s="4">
        <f t="shared" si="18"/>
        <v>1535530.6666666665</v>
      </c>
      <c r="F143" s="4">
        <f t="shared" si="19"/>
        <v>1600508</v>
      </c>
      <c r="G143" s="6">
        <v>2070000000</v>
      </c>
      <c r="H143" s="6">
        <f>G143/1000</f>
        <v>2070000</v>
      </c>
      <c r="I143" s="6">
        <v>8790000000</v>
      </c>
      <c r="J143" s="6">
        <f t="shared" si="16"/>
        <v>6.4371175523349436E-2</v>
      </c>
      <c r="K143" s="6">
        <f t="shared" si="20"/>
        <v>9.5761191626409017E-2</v>
      </c>
      <c r="L143" s="6">
        <f t="shared" si="17"/>
        <v>0.67743107890499188</v>
      </c>
      <c r="M143" s="6">
        <f>I143/1000/(E143+I143/1000)</f>
        <v>0.85128796608742507</v>
      </c>
      <c r="N143" s="6">
        <f>I143/1000/(F143+I143/1000)</f>
        <v>0.84596441290454716</v>
      </c>
    </row>
    <row r="144" spans="1:14" x14ac:dyDescent="0.2">
      <c r="A144" s="3">
        <v>43647</v>
      </c>
      <c r="B144" s="4">
        <v>134816.33333333334</v>
      </c>
      <c r="C144" s="5">
        <v>200.17266666666666</v>
      </c>
      <c r="D144" s="4">
        <v>1356582.6666666667</v>
      </c>
      <c r="E144" s="4">
        <f t="shared" si="18"/>
        <v>1491399</v>
      </c>
      <c r="F144" s="4">
        <f t="shared" si="19"/>
        <v>1556755.3333333335</v>
      </c>
      <c r="G144" s="6">
        <v>2130000000</v>
      </c>
      <c r="H144" s="6">
        <f>G144/1000</f>
        <v>2130000</v>
      </c>
      <c r="I144" s="6">
        <v>8890000000</v>
      </c>
      <c r="J144" s="6">
        <f t="shared" si="16"/>
        <v>6.3294053208137718E-2</v>
      </c>
      <c r="K144" s="6">
        <f t="shared" si="20"/>
        <v>9.3977777777777771E-2</v>
      </c>
      <c r="L144" s="6">
        <f t="shared" si="17"/>
        <v>0.63689327073552426</v>
      </c>
      <c r="M144" s="6">
        <f>I144/1000/(E144+I144/1000)</f>
        <v>0.85633930455808505</v>
      </c>
      <c r="N144" s="6">
        <f>I144/1000/(F144+I144/1000)</f>
        <v>0.85098192848777987</v>
      </c>
    </row>
    <row r="145" spans="1:14" x14ac:dyDescent="0.2">
      <c r="A145" s="3">
        <v>43739</v>
      </c>
      <c r="B145" s="4">
        <v>138229</v>
      </c>
      <c r="C145" s="5">
        <v>204.81533333333334</v>
      </c>
      <c r="D145" s="4">
        <v>1408752.3333333333</v>
      </c>
      <c r="E145" s="4">
        <f t="shared" si="18"/>
        <v>1546981.3333333333</v>
      </c>
      <c r="F145" s="4">
        <f t="shared" si="19"/>
        <v>1613567.6666666665</v>
      </c>
      <c r="G145" s="6">
        <v>2220000000</v>
      </c>
      <c r="H145" s="6">
        <f>G145/1000</f>
        <v>2220000</v>
      </c>
      <c r="I145" s="6">
        <v>8900000000</v>
      </c>
      <c r="J145" s="6">
        <f t="shared" si="16"/>
        <v>6.2265315315315317E-2</v>
      </c>
      <c r="K145" s="6">
        <f t="shared" si="20"/>
        <v>9.2259159159159165E-2</v>
      </c>
      <c r="L145" s="6">
        <f t="shared" si="17"/>
        <v>0.63457312312312308</v>
      </c>
      <c r="M145" s="6">
        <f>I145/1000/(E145+I145/1000)</f>
        <v>0.85192073346610109</v>
      </c>
      <c r="N145" s="6">
        <f>I145/1000/(F145+I145/1000)</f>
        <v>0.84652520268809484</v>
      </c>
    </row>
    <row r="146" spans="1:14" x14ac:dyDescent="0.2">
      <c r="A146" s="3">
        <v>43831</v>
      </c>
      <c r="B146" s="4">
        <v>132108.33333333334</v>
      </c>
      <c r="D146" s="4">
        <v>1650398.6666666667</v>
      </c>
      <c r="E146" s="4">
        <f t="shared" si="18"/>
        <v>1782507</v>
      </c>
      <c r="F146" s="4">
        <f t="shared" si="19"/>
        <v>1650398.6666666667</v>
      </c>
    </row>
    <row r="147" spans="1:14" x14ac:dyDescent="0.2">
      <c r="A147" s="3">
        <v>43922</v>
      </c>
      <c r="B147" s="4">
        <v>0</v>
      </c>
      <c r="D147" s="4">
        <v>3071592.3333333335</v>
      </c>
      <c r="E147" s="4">
        <f t="shared" si="18"/>
        <v>3071592.3333333335</v>
      </c>
      <c r="F147" s="4">
        <f t="shared" si="19"/>
        <v>3071592.3333333335</v>
      </c>
    </row>
    <row r="148" spans="1:14" x14ac:dyDescent="0.2">
      <c r="A148" s="3">
        <v>44013</v>
      </c>
      <c r="B148" s="7" t="e">
        <f>NA()</f>
        <v>#N/A</v>
      </c>
      <c r="D148" s="7" t="e">
        <f>NA()</f>
        <v>#N/A</v>
      </c>
      <c r="E148" s="7"/>
      <c r="F148" s="7"/>
    </row>
    <row r="150" spans="1:14" x14ac:dyDescent="0.2">
      <c r="A150" t="s">
        <v>25</v>
      </c>
      <c r="J150" s="2">
        <f>AVERAGE(J122:J145)</f>
        <v>5.6324908784635287E-2</v>
      </c>
      <c r="K150" s="6">
        <f>AVERAGE(K122:K145)</f>
        <v>8.8740417814475156E-2</v>
      </c>
      <c r="L150" s="6">
        <f>AVERAGE(L122:L145)</f>
        <v>1.1327870305515315</v>
      </c>
      <c r="M150" s="6">
        <f>AVERAGE(M122:M145)</f>
        <v>0.77616988896811268</v>
      </c>
      <c r="N150" s="6">
        <f>AVERAGE(N122:N145)</f>
        <v>0.77141053509044999</v>
      </c>
    </row>
    <row r="151" spans="1:14" x14ac:dyDescent="0.2">
      <c r="A151" t="s">
        <v>28</v>
      </c>
      <c r="J151" s="2">
        <f>AVERAGE(J63:J118)</f>
        <v>1.7972178309786275E-2</v>
      </c>
    </row>
    <row r="154" spans="1:14" x14ac:dyDescent="0.2">
      <c r="A154" t="s">
        <v>26</v>
      </c>
      <c r="J154" s="2">
        <f>AVERAGE(J14:J101)</f>
        <v>2.388490296700926E-2</v>
      </c>
      <c r="K154" s="6">
        <f>AVERAGE(K14:K101)</f>
        <v>6.9236007712542277E-2</v>
      </c>
    </row>
    <row r="155" spans="1:14" x14ac:dyDescent="0.2">
      <c r="A155" t="s">
        <v>27</v>
      </c>
      <c r="J155" s="2">
        <f>AVERAGE(J14:J145)</f>
        <v>3.1421535843761172E-2</v>
      </c>
      <c r="K155" s="6">
        <f>AVERAGE(K14:K145)</f>
        <v>7.3775267019166355E-2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28E2-86CB-8344-8060-7E49736DDCFE}">
  <dimension ref="A1:I900"/>
  <sheetViews>
    <sheetView topLeftCell="A3" workbookViewId="0">
      <selection activeCell="F3" sqref="F3"/>
    </sheetView>
  </sheetViews>
  <sheetFormatPr baseColWidth="10" defaultRowHeight="16" x14ac:dyDescent="0.2"/>
  <cols>
    <col min="1" max="1" width="10.83203125" style="1"/>
    <col min="2" max="2" width="18.83203125" bestFit="1" customWidth="1"/>
    <col min="3" max="3" width="19.83203125" bestFit="1" customWidth="1"/>
    <col min="6" max="6" width="13.33203125" bestFit="1" customWidth="1"/>
    <col min="7" max="7" width="12.5" bestFit="1" customWidth="1"/>
    <col min="9" max="9" width="16.33203125" bestFit="1" customWidth="1"/>
    <col min="10" max="10" width="12.1640625" bestFit="1" customWidth="1"/>
  </cols>
  <sheetData>
    <row r="1" spans="1:7" x14ac:dyDescent="0.2">
      <c r="A1"/>
      <c r="B1" t="s">
        <v>29</v>
      </c>
      <c r="C1" t="s">
        <v>30</v>
      </c>
      <c r="D1" t="s">
        <v>31</v>
      </c>
    </row>
    <row r="2" spans="1:7" x14ac:dyDescent="0.2">
      <c r="A2" t="s">
        <v>0</v>
      </c>
      <c r="B2" t="s">
        <v>34</v>
      </c>
      <c r="C2" t="s">
        <v>35</v>
      </c>
      <c r="D2" t="s">
        <v>36</v>
      </c>
      <c r="E2" t="s">
        <v>5</v>
      </c>
      <c r="F2" t="s">
        <v>33</v>
      </c>
      <c r="G2" t="s">
        <v>32</v>
      </c>
    </row>
    <row r="3" spans="1:7" x14ac:dyDescent="0.2">
      <c r="A3" s="1">
        <v>17899</v>
      </c>
      <c r="B3">
        <v>14925400000</v>
      </c>
      <c r="C3">
        <v>2</v>
      </c>
      <c r="D3" s="5">
        <v>24.01</v>
      </c>
      <c r="E3">
        <v>1.3935810810810967E-2</v>
      </c>
      <c r="F3" s="12">
        <f>LOG(B3/D3*100)</f>
        <v>10.793533818971509</v>
      </c>
      <c r="G3">
        <f>LOG((1+C3/100)/(1+E3))</f>
        <v>2.5897097557723708E-3</v>
      </c>
    </row>
    <row r="4" spans="1:7" x14ac:dyDescent="0.2">
      <c r="A4" s="1">
        <v>17930</v>
      </c>
      <c r="B4">
        <v>14787400000</v>
      </c>
      <c r="C4">
        <v>2</v>
      </c>
      <c r="D4" s="5">
        <v>23.91</v>
      </c>
      <c r="E4">
        <v>1.0139416983523386E-2</v>
      </c>
      <c r="F4">
        <f t="shared" ref="F4:F67" si="0">LOG(B4/D4*100)</f>
        <v>10.791312244607614</v>
      </c>
      <c r="G4">
        <f t="shared" ref="G4:G67" si="1">LOG((1+C4/100)/(1+E4))</f>
        <v>4.218853575225519E-3</v>
      </c>
    </row>
    <row r="5" spans="1:7" x14ac:dyDescent="0.2">
      <c r="A5" s="1">
        <v>17958</v>
      </c>
      <c r="B5">
        <v>14662100000</v>
      </c>
      <c r="C5">
        <v>2</v>
      </c>
      <c r="D5" s="5">
        <v>23.91</v>
      </c>
      <c r="E5">
        <v>1.744680851063829E-2</v>
      </c>
      <c r="F5">
        <f t="shared" si="0"/>
        <v>10.7876166010854</v>
      </c>
      <c r="G5">
        <f t="shared" si="1"/>
        <v>1.0884579178791025E-3</v>
      </c>
    </row>
    <row r="6" spans="1:7" x14ac:dyDescent="0.2">
      <c r="A6" s="1">
        <v>17989</v>
      </c>
      <c r="B6">
        <v>14514900000</v>
      </c>
      <c r="C6">
        <v>2</v>
      </c>
      <c r="D6" s="5">
        <v>23.92</v>
      </c>
      <c r="E6">
        <v>4.198152812762368E-3</v>
      </c>
      <c r="F6">
        <f t="shared" si="0"/>
        <v>10.783052872801868</v>
      </c>
      <c r="G6">
        <f t="shared" si="1"/>
        <v>6.7807535923030274E-3</v>
      </c>
    </row>
    <row r="7" spans="1:7" x14ac:dyDescent="0.2">
      <c r="A7" s="1">
        <v>18019</v>
      </c>
      <c r="B7">
        <v>14345500000</v>
      </c>
      <c r="C7">
        <v>2</v>
      </c>
      <c r="D7" s="5">
        <v>23.91</v>
      </c>
      <c r="E7">
        <v>-4.1649312786339321E-3</v>
      </c>
      <c r="F7">
        <f t="shared" si="0"/>
        <v>10.778136113688737</v>
      </c>
      <c r="G7">
        <f t="shared" si="1"/>
        <v>1.0412755703170079E-2</v>
      </c>
    </row>
    <row r="8" spans="1:7" x14ac:dyDescent="0.2">
      <c r="A8" s="1">
        <v>18050</v>
      </c>
      <c r="B8">
        <v>14138600000</v>
      </c>
      <c r="C8">
        <v>2</v>
      </c>
      <c r="D8" s="5">
        <v>23.92</v>
      </c>
      <c r="E8">
        <v>-9.523809523809379E-3</v>
      </c>
      <c r="F8">
        <f t="shared" si="0"/>
        <v>10.771645232562028</v>
      </c>
      <c r="G8">
        <f t="shared" si="1"/>
        <v>1.2756131533075234E-2</v>
      </c>
    </row>
    <row r="9" spans="1:7" x14ac:dyDescent="0.2">
      <c r="A9" s="1">
        <v>18080</v>
      </c>
      <c r="B9">
        <v>14021200000</v>
      </c>
      <c r="C9">
        <v>2</v>
      </c>
      <c r="D9" s="5">
        <v>23.7</v>
      </c>
      <c r="E9">
        <v>-2.8688524590163911E-2</v>
      </c>
      <c r="F9">
        <f t="shared" si="0"/>
        <v>10.772036838168059</v>
      </c>
      <c r="G9">
        <f t="shared" si="1"/>
        <v>2.1241652090543156E-2</v>
      </c>
    </row>
    <row r="10" spans="1:7" x14ac:dyDescent="0.2">
      <c r="A10" s="1">
        <v>18111</v>
      </c>
      <c r="B10">
        <v>13923000000</v>
      </c>
      <c r="C10">
        <v>2</v>
      </c>
      <c r="D10" s="5">
        <v>23.7</v>
      </c>
      <c r="E10">
        <v>-2.9881293491608729E-2</v>
      </c>
      <c r="F10">
        <f t="shared" si="0"/>
        <v>10.768984477128589</v>
      </c>
      <c r="G10">
        <f t="shared" si="1"/>
        <v>2.1775292725250486E-2</v>
      </c>
    </row>
    <row r="11" spans="1:7" x14ac:dyDescent="0.2">
      <c r="A11" s="1">
        <v>18142</v>
      </c>
      <c r="B11">
        <v>13824600000</v>
      </c>
      <c r="C11">
        <v>2</v>
      </c>
      <c r="D11" s="5">
        <v>23.75</v>
      </c>
      <c r="E11">
        <v>-2.504105090311981E-2</v>
      </c>
      <c r="F11">
        <f t="shared" si="0"/>
        <v>10.76498896035177</v>
      </c>
      <c r="G11">
        <f t="shared" si="1"/>
        <v>1.9613841761869883E-2</v>
      </c>
    </row>
    <row r="12" spans="1:7" x14ac:dyDescent="0.2">
      <c r="A12" s="1">
        <v>18172</v>
      </c>
      <c r="B12">
        <v>13737600000</v>
      </c>
      <c r="C12">
        <v>2</v>
      </c>
      <c r="D12" s="5">
        <v>23.67</v>
      </c>
      <c r="E12">
        <v>-2.6326614561908546E-2</v>
      </c>
      <c r="F12">
        <f t="shared" si="0"/>
        <v>10.763712608870263</v>
      </c>
      <c r="G12">
        <f t="shared" si="1"/>
        <v>2.0186872676170493E-2</v>
      </c>
    </row>
    <row r="13" spans="1:7" x14ac:dyDescent="0.2">
      <c r="A13" s="1">
        <v>18203</v>
      </c>
      <c r="B13">
        <v>13654800000</v>
      </c>
      <c r="C13">
        <v>2</v>
      </c>
      <c r="D13" s="5">
        <v>23.7</v>
      </c>
      <c r="E13">
        <v>-1.9039735099337762E-2</v>
      </c>
      <c r="F13">
        <f t="shared" si="0"/>
        <v>10.760536997459974</v>
      </c>
      <c r="G13">
        <f t="shared" si="1"/>
        <v>1.6948755700907935E-2</v>
      </c>
    </row>
    <row r="14" spans="1:7" x14ac:dyDescent="0.2">
      <c r="A14" s="1">
        <v>18233</v>
      </c>
      <c r="B14">
        <v>13595700000</v>
      </c>
      <c r="C14">
        <v>2</v>
      </c>
      <c r="D14" s="5">
        <v>23.61</v>
      </c>
      <c r="E14">
        <v>-1.8295218295218296E-2</v>
      </c>
      <c r="F14">
        <f t="shared" si="0"/>
        <v>10.760305585882749</v>
      </c>
      <c r="G14">
        <f t="shared" si="1"/>
        <v>1.6619265393041139E-2</v>
      </c>
    </row>
    <row r="15" spans="1:7" x14ac:dyDescent="0.2">
      <c r="A15" s="1">
        <v>18264</v>
      </c>
      <c r="B15">
        <v>13649300000</v>
      </c>
      <c r="C15">
        <v>2</v>
      </c>
      <c r="D15" s="5">
        <v>23.51</v>
      </c>
      <c r="E15">
        <v>-2.0824656393169549E-2</v>
      </c>
      <c r="F15">
        <f t="shared" si="0"/>
        <v>10.763857750168858</v>
      </c>
      <c r="G15">
        <f t="shared" si="1"/>
        <v>1.7739702694005554E-2</v>
      </c>
    </row>
    <row r="16" spans="1:7" x14ac:dyDescent="0.2">
      <c r="A16" s="1">
        <v>18295</v>
      </c>
      <c r="B16">
        <v>13795700000</v>
      </c>
      <c r="C16">
        <v>2</v>
      </c>
      <c r="D16" s="5">
        <v>23.61</v>
      </c>
      <c r="E16">
        <v>-1.2547051442910906E-2</v>
      </c>
      <c r="F16">
        <f t="shared" si="0"/>
        <v>10.766647754592185</v>
      </c>
      <c r="G16">
        <f t="shared" si="1"/>
        <v>1.4083760798965355E-2</v>
      </c>
    </row>
    <row r="17" spans="1:7" x14ac:dyDescent="0.2">
      <c r="A17" s="1">
        <v>18323</v>
      </c>
      <c r="B17">
        <v>13953100000</v>
      </c>
      <c r="C17">
        <v>2</v>
      </c>
      <c r="D17" s="5">
        <v>23.64</v>
      </c>
      <c r="E17">
        <v>-1.129234629861986E-2</v>
      </c>
      <c r="F17">
        <f t="shared" si="0"/>
        <v>10.771023234563534</v>
      </c>
      <c r="G17">
        <f t="shared" si="1"/>
        <v>1.3532275668474638E-2</v>
      </c>
    </row>
    <row r="18" spans="1:7" x14ac:dyDescent="0.2">
      <c r="A18" s="1">
        <v>18354</v>
      </c>
      <c r="B18">
        <v>14111900000</v>
      </c>
      <c r="C18">
        <v>2</v>
      </c>
      <c r="D18" s="5">
        <v>23.65</v>
      </c>
      <c r="E18">
        <v>-1.1287625418060276E-2</v>
      </c>
      <c r="F18">
        <f t="shared" si="0"/>
        <v>10.775754345219436</v>
      </c>
      <c r="G18">
        <f t="shared" si="1"/>
        <v>1.3530202004460447E-2</v>
      </c>
    </row>
    <row r="19" spans="1:7" x14ac:dyDescent="0.2">
      <c r="A19" s="1">
        <v>18384</v>
      </c>
      <c r="B19">
        <v>14251900000</v>
      </c>
      <c r="C19">
        <v>2</v>
      </c>
      <c r="D19" s="5">
        <v>23.77</v>
      </c>
      <c r="E19">
        <v>-5.8552906733584376E-3</v>
      </c>
      <c r="F19">
        <f t="shared" si="0"/>
        <v>10.777843584687217</v>
      </c>
      <c r="G19">
        <f t="shared" si="1"/>
        <v>1.1150566149512056E-2</v>
      </c>
    </row>
    <row r="20" spans="1:7" x14ac:dyDescent="0.2">
      <c r="A20" s="1">
        <v>18415</v>
      </c>
      <c r="B20">
        <v>14388000000</v>
      </c>
      <c r="C20">
        <v>2</v>
      </c>
      <c r="D20" s="5">
        <v>23.88</v>
      </c>
      <c r="E20">
        <v>-1.6722408026756952E-3</v>
      </c>
      <c r="F20">
        <f t="shared" si="0"/>
        <v>10.779966106689143</v>
      </c>
      <c r="G20">
        <f t="shared" si="1"/>
        <v>9.3270246209593531E-3</v>
      </c>
    </row>
    <row r="21" spans="1:7" x14ac:dyDescent="0.2">
      <c r="A21" s="1">
        <v>18445</v>
      </c>
      <c r="B21">
        <v>14771200000</v>
      </c>
      <c r="C21">
        <v>2</v>
      </c>
      <c r="D21" s="5">
        <v>24.07</v>
      </c>
      <c r="E21">
        <v>1.561181434599157E-2</v>
      </c>
      <c r="F21">
        <f t="shared" si="0"/>
        <v>10.787939688192552</v>
      </c>
      <c r="G21">
        <f t="shared" si="1"/>
        <v>1.8724274969914598E-3</v>
      </c>
    </row>
    <row r="22" spans="1:7" x14ac:dyDescent="0.2">
      <c r="A22" s="1">
        <v>18476</v>
      </c>
      <c r="B22">
        <v>15297500000</v>
      </c>
      <c r="C22">
        <v>2</v>
      </c>
      <c r="D22" s="5">
        <v>24.2</v>
      </c>
      <c r="E22">
        <v>2.1097046413502074E-2</v>
      </c>
      <c r="F22">
        <f t="shared" si="0"/>
        <v>10.800805095888254</v>
      </c>
      <c r="G22">
        <f t="shared" si="1"/>
        <v>-4.6684820840980733E-4</v>
      </c>
    </row>
    <row r="23" spans="1:7" x14ac:dyDescent="0.2">
      <c r="A23" s="1">
        <v>18507</v>
      </c>
      <c r="B23">
        <v>15807500000</v>
      </c>
      <c r="C23">
        <v>2.08</v>
      </c>
      <c r="D23" s="5">
        <v>24.34</v>
      </c>
      <c r="E23">
        <v>2.4842105263157999E-2</v>
      </c>
      <c r="F23">
        <f t="shared" si="0"/>
        <v>10.812542616591211</v>
      </c>
      <c r="G23">
        <f t="shared" si="1"/>
        <v>-1.7162985560737721E-3</v>
      </c>
    </row>
    <row r="24" spans="1:7" x14ac:dyDescent="0.2">
      <c r="A24" s="1">
        <v>18537</v>
      </c>
      <c r="B24">
        <v>16310400000.000002</v>
      </c>
      <c r="C24">
        <v>2.25</v>
      </c>
      <c r="D24" s="5">
        <v>24.5</v>
      </c>
      <c r="E24">
        <v>3.5065483734685099E-2</v>
      </c>
      <c r="F24">
        <f t="shared" si="0"/>
        <v>10.823298527544083</v>
      </c>
      <c r="G24">
        <f t="shared" si="1"/>
        <v>-5.3045097560702557E-3</v>
      </c>
    </row>
    <row r="25" spans="1:7" x14ac:dyDescent="0.2">
      <c r="A25" s="1">
        <v>18568</v>
      </c>
      <c r="B25">
        <v>16809200000</v>
      </c>
      <c r="C25">
        <v>2.25</v>
      </c>
      <c r="D25" s="5">
        <v>24.6</v>
      </c>
      <c r="E25">
        <v>3.7974683544303778E-2</v>
      </c>
      <c r="F25">
        <f t="shared" si="0"/>
        <v>10.834611937457261</v>
      </c>
      <c r="G25">
        <f t="shared" si="1"/>
        <v>-6.5234444138958418E-3</v>
      </c>
    </row>
    <row r="26" spans="1:7" x14ac:dyDescent="0.2">
      <c r="A26" s="1">
        <v>18598</v>
      </c>
      <c r="B26">
        <v>17306100000</v>
      </c>
      <c r="C26">
        <v>2.25</v>
      </c>
      <c r="D26" s="5">
        <v>24.98</v>
      </c>
      <c r="E26">
        <v>5.8026260059296897E-2</v>
      </c>
      <c r="F26">
        <f t="shared" si="0"/>
        <v>10.840606774836028</v>
      </c>
      <c r="G26">
        <f t="shared" si="1"/>
        <v>-1.4833130280010286E-2</v>
      </c>
    </row>
    <row r="27" spans="1:7" x14ac:dyDescent="0.2">
      <c r="A27" s="1">
        <v>18629</v>
      </c>
      <c r="B27">
        <v>17754200000</v>
      </c>
      <c r="C27">
        <v>2.44</v>
      </c>
      <c r="D27" s="5">
        <v>25.38</v>
      </c>
      <c r="E27">
        <v>7.9540621012335055E-2</v>
      </c>
      <c r="F27">
        <f t="shared" si="0"/>
        <v>10.844809490114482</v>
      </c>
      <c r="G27">
        <f t="shared" si="1"/>
        <v>-2.2769418837354505E-2</v>
      </c>
    </row>
    <row r="28" spans="1:7" x14ac:dyDescent="0.2">
      <c r="A28" s="1">
        <v>18660</v>
      </c>
      <c r="B28">
        <v>18186200000</v>
      </c>
      <c r="C28">
        <v>2.5</v>
      </c>
      <c r="D28" s="5">
        <v>25.83</v>
      </c>
      <c r="E28">
        <v>9.4027954256670876E-2</v>
      </c>
      <c r="F28">
        <f t="shared" si="0"/>
        <v>10.847617556692475</v>
      </c>
      <c r="G28">
        <f t="shared" si="1"/>
        <v>-2.8304553702817151E-2</v>
      </c>
    </row>
    <row r="29" spans="1:7" x14ac:dyDescent="0.2">
      <c r="A29" s="1">
        <v>18688</v>
      </c>
      <c r="B29">
        <v>18636300000</v>
      </c>
      <c r="C29">
        <v>2.5</v>
      </c>
      <c r="D29" s="5">
        <v>25.88</v>
      </c>
      <c r="E29">
        <v>9.4754653130287636E-2</v>
      </c>
      <c r="F29">
        <f t="shared" si="0"/>
        <v>10.857395420941566</v>
      </c>
      <c r="G29">
        <f t="shared" si="1"/>
        <v>-2.859293439567195E-2</v>
      </c>
    </row>
    <row r="30" spans="1:7" x14ac:dyDescent="0.2">
      <c r="A30" s="1">
        <v>18719</v>
      </c>
      <c r="B30">
        <v>19103100000</v>
      </c>
      <c r="C30">
        <v>2.5</v>
      </c>
      <c r="D30" s="5">
        <v>25.92</v>
      </c>
      <c r="E30">
        <v>9.5983086680761165E-2</v>
      </c>
      <c r="F30">
        <f t="shared" si="0"/>
        <v>10.867468851915662</v>
      </c>
      <c r="G30">
        <f t="shared" si="1"/>
        <v>-2.9079986732952312E-2</v>
      </c>
    </row>
    <row r="31" spans="1:7" x14ac:dyDescent="0.2">
      <c r="A31" s="1">
        <v>18749</v>
      </c>
      <c r="B31">
        <v>19551200000</v>
      </c>
      <c r="C31">
        <v>2.5</v>
      </c>
      <c r="D31" s="5">
        <v>25.99</v>
      </c>
      <c r="E31">
        <v>9.3395035759360479E-2</v>
      </c>
      <c r="F31">
        <f t="shared" si="0"/>
        <v>10.87636713887458</v>
      </c>
      <c r="G31">
        <f t="shared" si="1"/>
        <v>-2.8053232381059265E-2</v>
      </c>
    </row>
    <row r="32" spans="1:7" x14ac:dyDescent="0.2">
      <c r="A32" s="1">
        <v>18780</v>
      </c>
      <c r="B32">
        <v>20003100000</v>
      </c>
      <c r="C32">
        <v>2.5</v>
      </c>
      <c r="D32" s="5">
        <v>25.93</v>
      </c>
      <c r="E32">
        <v>8.5845896147403788E-2</v>
      </c>
      <c r="F32">
        <f t="shared" si="0"/>
        <v>10.887294789322901</v>
      </c>
      <c r="G32">
        <f t="shared" si="1"/>
        <v>-2.5044328920246994E-2</v>
      </c>
    </row>
    <row r="33" spans="1:7" x14ac:dyDescent="0.2">
      <c r="A33" s="1">
        <v>18810</v>
      </c>
      <c r="B33">
        <v>20250900000</v>
      </c>
      <c r="C33">
        <v>2.5</v>
      </c>
      <c r="D33" s="5">
        <v>25.91</v>
      </c>
      <c r="E33">
        <v>7.6443705857914379E-2</v>
      </c>
      <c r="F33">
        <f t="shared" si="0"/>
        <v>10.892976916112916</v>
      </c>
      <c r="G33">
        <f t="shared" si="1"/>
        <v>-2.1267457319021736E-2</v>
      </c>
    </row>
    <row r="34" spans="1:7" x14ac:dyDescent="0.2">
      <c r="A34" s="1">
        <v>18841</v>
      </c>
      <c r="B34">
        <v>20367200000</v>
      </c>
      <c r="C34">
        <v>2.5</v>
      </c>
      <c r="D34" s="5">
        <v>25.86</v>
      </c>
      <c r="E34">
        <v>6.8595041322313977E-2</v>
      </c>
      <c r="F34">
        <f t="shared" si="0"/>
        <v>10.896302807516538</v>
      </c>
      <c r="G34">
        <f t="shared" si="1"/>
        <v>-1.808928917217088E-2</v>
      </c>
    </row>
    <row r="35" spans="1:7" x14ac:dyDescent="0.2">
      <c r="A35" s="1">
        <v>18872</v>
      </c>
      <c r="B35">
        <v>20477500000</v>
      </c>
      <c r="C35">
        <v>2.5</v>
      </c>
      <c r="D35" s="5">
        <v>26.03</v>
      </c>
      <c r="E35">
        <v>6.9433032046014809E-2</v>
      </c>
      <c r="F35">
        <f t="shared" si="0"/>
        <v>10.895802766495425</v>
      </c>
      <c r="G35">
        <f t="shared" si="1"/>
        <v>-1.8429728823416477E-2</v>
      </c>
    </row>
    <row r="36" spans="1:7" x14ac:dyDescent="0.2">
      <c r="A36" s="1">
        <v>18902</v>
      </c>
      <c r="B36">
        <v>20605300000</v>
      </c>
      <c r="C36">
        <v>2.62</v>
      </c>
      <c r="D36" s="5">
        <v>26.16</v>
      </c>
      <c r="E36">
        <v>6.7755102040816251E-2</v>
      </c>
      <c r="F36">
        <f t="shared" si="0"/>
        <v>10.896341202304525</v>
      </c>
      <c r="G36">
        <f t="shared" si="1"/>
        <v>-1.7239644968331209E-2</v>
      </c>
    </row>
    <row r="37" spans="1:7" x14ac:dyDescent="0.2">
      <c r="A37" s="1">
        <v>18933</v>
      </c>
      <c r="B37">
        <v>20732900000</v>
      </c>
      <c r="C37">
        <v>2.75</v>
      </c>
      <c r="D37" s="5">
        <v>26.32</v>
      </c>
      <c r="E37">
        <v>6.9918699186991784E-2</v>
      </c>
      <c r="F37">
        <f t="shared" si="0"/>
        <v>10.896374168040065</v>
      </c>
      <c r="G37">
        <f t="shared" si="1"/>
        <v>-1.7568947290431867E-2</v>
      </c>
    </row>
    <row r="38" spans="1:7" x14ac:dyDescent="0.2">
      <c r="A38" s="1">
        <v>18963</v>
      </c>
      <c r="B38">
        <v>20965700000</v>
      </c>
      <c r="C38">
        <v>2.85</v>
      </c>
      <c r="D38" s="5">
        <v>26.47</v>
      </c>
      <c r="E38">
        <v>5.9647718174539621E-2</v>
      </c>
      <c r="F38">
        <f t="shared" si="0"/>
        <v>10.898755425846645</v>
      </c>
      <c r="G38">
        <f t="shared" si="1"/>
        <v>-1.2957211232488724E-2</v>
      </c>
    </row>
    <row r="39" spans="1:7" x14ac:dyDescent="0.2">
      <c r="A39" s="1">
        <v>18994</v>
      </c>
      <c r="B39">
        <v>22131900000</v>
      </c>
      <c r="C39">
        <v>3</v>
      </c>
      <c r="D39" s="5">
        <v>26.45</v>
      </c>
      <c r="E39">
        <v>4.2159180457052914E-2</v>
      </c>
      <c r="F39">
        <f t="shared" si="0"/>
        <v>10.922593022874402</v>
      </c>
      <c r="G39">
        <f t="shared" si="1"/>
        <v>-5.0968339073464005E-3</v>
      </c>
    </row>
    <row r="40" spans="1:7" x14ac:dyDescent="0.2">
      <c r="A40" s="1">
        <v>19025</v>
      </c>
      <c r="B40">
        <v>22431600000</v>
      </c>
      <c r="C40">
        <v>3</v>
      </c>
      <c r="D40" s="5">
        <v>26.41</v>
      </c>
      <c r="E40">
        <v>2.2454510259388272E-2</v>
      </c>
      <c r="F40">
        <f t="shared" si="0"/>
        <v>10.929091850815125</v>
      </c>
      <c r="G40">
        <f t="shared" si="1"/>
        <v>3.1932296715654093E-3</v>
      </c>
    </row>
    <row r="41" spans="1:7" x14ac:dyDescent="0.2">
      <c r="A41" s="1">
        <v>19054</v>
      </c>
      <c r="B41">
        <v>22376300000</v>
      </c>
      <c r="C41">
        <v>3</v>
      </c>
      <c r="D41" s="5">
        <v>26.39</v>
      </c>
      <c r="E41">
        <v>1.9706336939721902E-2</v>
      </c>
      <c r="F41">
        <f t="shared" si="0"/>
        <v>10.928348885786932</v>
      </c>
      <c r="G41">
        <f t="shared" si="1"/>
        <v>4.3621064817852238E-3</v>
      </c>
    </row>
    <row r="42" spans="1:7" x14ac:dyDescent="0.2">
      <c r="A42" s="1">
        <v>19085</v>
      </c>
      <c r="B42">
        <v>22138000000</v>
      </c>
      <c r="C42">
        <v>3</v>
      </c>
      <c r="D42" s="5">
        <v>26.46</v>
      </c>
      <c r="E42">
        <v>2.0833333333333259E-2</v>
      </c>
      <c r="F42">
        <f t="shared" si="0"/>
        <v>10.922548543258619</v>
      </c>
      <c r="G42">
        <f t="shared" si="1"/>
        <v>3.8823820522458081E-3</v>
      </c>
    </row>
    <row r="43" spans="1:7" x14ac:dyDescent="0.2">
      <c r="A43" s="1">
        <v>19115</v>
      </c>
      <c r="B43">
        <v>21929300000</v>
      </c>
      <c r="C43">
        <v>3</v>
      </c>
      <c r="D43" s="5">
        <v>26.47</v>
      </c>
      <c r="E43">
        <v>1.8468641785302164E-2</v>
      </c>
      <c r="F43">
        <f t="shared" si="0"/>
        <v>10.918270827585964</v>
      </c>
      <c r="G43">
        <f t="shared" si="1"/>
        <v>4.8895629048365235E-3</v>
      </c>
    </row>
    <row r="44" spans="1:7" x14ac:dyDescent="0.2">
      <c r="A44" s="1">
        <v>19146</v>
      </c>
      <c r="B44">
        <v>22052500000</v>
      </c>
      <c r="C44">
        <v>3</v>
      </c>
      <c r="D44" s="5">
        <v>26.53</v>
      </c>
      <c r="E44">
        <v>2.3139220979560449E-2</v>
      </c>
      <c r="F44">
        <f t="shared" si="0"/>
        <v>10.919720580767548</v>
      </c>
      <c r="G44">
        <f t="shared" si="1"/>
        <v>2.902491492194507E-3</v>
      </c>
    </row>
    <row r="45" spans="1:7" x14ac:dyDescent="0.2">
      <c r="A45" s="1">
        <v>19176</v>
      </c>
      <c r="B45">
        <v>22146100000</v>
      </c>
      <c r="C45">
        <v>3</v>
      </c>
      <c r="D45" s="5">
        <v>26.68</v>
      </c>
      <c r="E45">
        <v>2.9718255499807E-2</v>
      </c>
      <c r="F45">
        <f t="shared" si="0"/>
        <v>10.919111431381937</v>
      </c>
      <c r="G45">
        <f t="shared" si="1"/>
        <v>1.1881244648568633E-4</v>
      </c>
    </row>
    <row r="46" spans="1:7" x14ac:dyDescent="0.2">
      <c r="A46" s="1">
        <v>19207</v>
      </c>
      <c r="B46">
        <v>22393700000</v>
      </c>
      <c r="C46">
        <v>3</v>
      </c>
      <c r="D46" s="5">
        <v>26.69</v>
      </c>
      <c r="E46">
        <v>3.2095901005413818E-2</v>
      </c>
      <c r="F46">
        <f t="shared" si="0"/>
        <v>10.923777282043712</v>
      </c>
      <c r="G46">
        <f t="shared" si="1"/>
        <v>-8.8282853796021988E-4</v>
      </c>
    </row>
    <row r="47" spans="1:7" x14ac:dyDescent="0.2">
      <c r="A47" s="1">
        <v>19238</v>
      </c>
      <c r="B47">
        <v>22696700000</v>
      </c>
      <c r="C47">
        <v>3</v>
      </c>
      <c r="D47" s="5">
        <v>26.63</v>
      </c>
      <c r="E47">
        <v>2.3050326546292688E-2</v>
      </c>
      <c r="F47">
        <f t="shared" si="0"/>
        <v>10.930591550843447</v>
      </c>
      <c r="G47">
        <f t="shared" si="1"/>
        <v>2.940226375466772E-3</v>
      </c>
    </row>
    <row r="48" spans="1:7" x14ac:dyDescent="0.2">
      <c r="A48" s="1">
        <v>19268</v>
      </c>
      <c r="B48">
        <v>23068500000</v>
      </c>
      <c r="C48">
        <v>3</v>
      </c>
      <c r="D48" s="5">
        <v>26.69</v>
      </c>
      <c r="E48">
        <v>2.0259938837920544E-2</v>
      </c>
      <c r="F48">
        <f t="shared" si="0"/>
        <v>10.93667078220294</v>
      </c>
      <c r="G48">
        <f t="shared" si="1"/>
        <v>4.1263905698942097E-3</v>
      </c>
    </row>
    <row r="49" spans="1:7" x14ac:dyDescent="0.2">
      <c r="A49" s="1">
        <v>19299</v>
      </c>
      <c r="B49">
        <v>23443500000</v>
      </c>
      <c r="C49">
        <v>3</v>
      </c>
      <c r="D49" s="5">
        <v>26.69</v>
      </c>
      <c r="E49">
        <v>1.4057750759878473E-2</v>
      </c>
      <c r="F49">
        <f t="shared" si="0"/>
        <v>10.943673876443121</v>
      </c>
      <c r="G49">
        <f t="shared" si="1"/>
        <v>6.7745358595823714E-3</v>
      </c>
    </row>
    <row r="50" spans="1:7" x14ac:dyDescent="0.2">
      <c r="A50" s="1">
        <v>19329</v>
      </c>
      <c r="B50">
        <v>23230000000</v>
      </c>
      <c r="C50">
        <v>3</v>
      </c>
      <c r="D50" s="5">
        <v>26.71</v>
      </c>
      <c r="E50">
        <v>9.0668681526255845E-3</v>
      </c>
      <c r="F50">
        <f t="shared" si="0"/>
        <v>10.939375321778863</v>
      </c>
      <c r="G50">
        <f t="shared" si="1"/>
        <v>8.9172779851476053E-3</v>
      </c>
    </row>
    <row r="51" spans="1:7" x14ac:dyDescent="0.2">
      <c r="A51" s="1">
        <v>19360</v>
      </c>
      <c r="B51">
        <v>23468700000</v>
      </c>
      <c r="C51">
        <v>3</v>
      </c>
      <c r="D51" s="5">
        <v>26.64</v>
      </c>
      <c r="E51">
        <v>7.1833648393195837E-3</v>
      </c>
      <c r="F51">
        <f t="shared" si="0"/>
        <v>10.9449548129238</v>
      </c>
      <c r="G51">
        <f t="shared" si="1"/>
        <v>9.7286805781132499E-3</v>
      </c>
    </row>
    <row r="52" spans="1:7" x14ac:dyDescent="0.2">
      <c r="A52" s="1">
        <v>19391</v>
      </c>
      <c r="B52">
        <v>23622600000</v>
      </c>
      <c r="C52">
        <v>3</v>
      </c>
      <c r="D52" s="5">
        <v>26.59</v>
      </c>
      <c r="E52">
        <v>6.815600151457879E-3</v>
      </c>
      <c r="F52">
        <f t="shared" si="0"/>
        <v>10.948609358804116</v>
      </c>
      <c r="G52">
        <f t="shared" si="1"/>
        <v>9.887288580529164E-3</v>
      </c>
    </row>
    <row r="53" spans="1:7" x14ac:dyDescent="0.2">
      <c r="A53" s="1">
        <v>19419</v>
      </c>
      <c r="B53">
        <v>23698300000</v>
      </c>
      <c r="C53">
        <v>3</v>
      </c>
      <c r="D53" s="5">
        <v>26.63</v>
      </c>
      <c r="E53">
        <v>9.0943539219401348E-3</v>
      </c>
      <c r="F53">
        <f t="shared" si="0"/>
        <v>10.949346026528984</v>
      </c>
      <c r="G53">
        <f t="shared" si="1"/>
        <v>8.9054484862806753E-3</v>
      </c>
    </row>
    <row r="54" spans="1:7" x14ac:dyDescent="0.2">
      <c r="A54" s="1">
        <v>19450</v>
      </c>
      <c r="B54">
        <v>23822800000</v>
      </c>
      <c r="C54">
        <v>3.03</v>
      </c>
      <c r="D54" s="5">
        <v>26.69</v>
      </c>
      <c r="E54">
        <v>8.6923658352229261E-3</v>
      </c>
      <c r="F54">
        <f t="shared" si="0"/>
        <v>10.950644230927855</v>
      </c>
      <c r="G54">
        <f t="shared" si="1"/>
        <v>9.2049658897522656E-3</v>
      </c>
    </row>
    <row r="55" spans="1:7" x14ac:dyDescent="0.2">
      <c r="A55" s="1">
        <v>19480</v>
      </c>
      <c r="B55">
        <v>23882700000</v>
      </c>
      <c r="C55">
        <v>3.25</v>
      </c>
      <c r="D55" s="5">
        <v>26.7</v>
      </c>
      <c r="E55">
        <v>8.6890819795995E-3</v>
      </c>
      <c r="F55">
        <f t="shared" si="0"/>
        <v>10.951572161964457</v>
      </c>
      <c r="G55">
        <f t="shared" si="1"/>
        <v>1.0132740265211672E-2</v>
      </c>
    </row>
    <row r="56" spans="1:7" x14ac:dyDescent="0.2">
      <c r="A56" s="1">
        <v>19511</v>
      </c>
      <c r="B56">
        <v>23760700000</v>
      </c>
      <c r="C56">
        <v>3.25</v>
      </c>
      <c r="D56" s="5">
        <v>26.77</v>
      </c>
      <c r="E56">
        <v>9.0463626083678861E-3</v>
      </c>
      <c r="F56">
        <f t="shared" si="0"/>
        <v>10.948210859804851</v>
      </c>
      <c r="G56">
        <f t="shared" si="1"/>
        <v>9.9789391238351999E-3</v>
      </c>
    </row>
    <row r="57" spans="1:7" x14ac:dyDescent="0.2">
      <c r="A57" s="1">
        <v>19541</v>
      </c>
      <c r="B57">
        <v>23778200000</v>
      </c>
      <c r="C57">
        <v>3.25</v>
      </c>
      <c r="D57" s="5">
        <v>26.79</v>
      </c>
      <c r="E57">
        <v>4.1229385307346433E-3</v>
      </c>
      <c r="F57">
        <f t="shared" si="0"/>
        <v>10.948206262004362</v>
      </c>
      <c r="G57">
        <f t="shared" si="1"/>
        <v>1.2103171964741123E-2</v>
      </c>
    </row>
    <row r="58" spans="1:7" x14ac:dyDescent="0.2">
      <c r="A58" s="1">
        <v>19572</v>
      </c>
      <c r="B58">
        <v>23995100000</v>
      </c>
      <c r="C58">
        <v>3.25</v>
      </c>
      <c r="D58" s="5">
        <v>26.85</v>
      </c>
      <c r="E58">
        <v>5.9947545897340859E-3</v>
      </c>
      <c r="F58">
        <f t="shared" si="0"/>
        <v>10.951178274166505</v>
      </c>
      <c r="G58">
        <f t="shared" si="1"/>
        <v>1.1294344080371835E-2</v>
      </c>
    </row>
    <row r="59" spans="1:7" x14ac:dyDescent="0.2">
      <c r="A59" s="1">
        <v>19603</v>
      </c>
      <c r="B59">
        <v>24013800000</v>
      </c>
      <c r="C59">
        <v>3.25</v>
      </c>
      <c r="D59" s="5">
        <v>26.89</v>
      </c>
      <c r="E59">
        <v>9.7634247089748438E-3</v>
      </c>
      <c r="F59">
        <f t="shared" si="0"/>
        <v>10.950870087048601</v>
      </c>
      <c r="G59">
        <f t="shared" si="1"/>
        <v>9.6704245440782013E-3</v>
      </c>
    </row>
    <row r="60" spans="1:7" x14ac:dyDescent="0.2">
      <c r="A60" s="1">
        <v>19633</v>
      </c>
      <c r="B60">
        <v>23982500000</v>
      </c>
      <c r="C60">
        <v>3.25</v>
      </c>
      <c r="D60" s="5">
        <v>26.95</v>
      </c>
      <c r="E60">
        <v>9.7414762083176676E-3</v>
      </c>
      <c r="F60">
        <f t="shared" si="0"/>
        <v>10.949335683619253</v>
      </c>
      <c r="G60">
        <f t="shared" si="1"/>
        <v>9.6798645931887826E-3</v>
      </c>
    </row>
    <row r="61" spans="1:7" x14ac:dyDescent="0.2">
      <c r="A61" s="1">
        <v>19664</v>
      </c>
      <c r="B61">
        <v>23870000000</v>
      </c>
      <c r="C61">
        <v>3.25</v>
      </c>
      <c r="D61" s="5">
        <v>26.85</v>
      </c>
      <c r="E61">
        <v>5.9947545897340859E-3</v>
      </c>
      <c r="F61">
        <f t="shared" si="0"/>
        <v>10.94890812897118</v>
      </c>
      <c r="G61">
        <f t="shared" si="1"/>
        <v>1.1294344080371835E-2</v>
      </c>
    </row>
    <row r="62" spans="1:7" x14ac:dyDescent="0.2">
      <c r="A62" s="1">
        <v>19694</v>
      </c>
      <c r="B62">
        <v>23168600000</v>
      </c>
      <c r="C62">
        <v>3.25</v>
      </c>
      <c r="D62" s="5">
        <v>26.87</v>
      </c>
      <c r="E62">
        <v>5.9902658180457369E-3</v>
      </c>
      <c r="F62">
        <f t="shared" si="0"/>
        <v>10.935632125205561</v>
      </c>
      <c r="G62">
        <f t="shared" si="1"/>
        <v>1.1296281916643006E-2</v>
      </c>
    </row>
    <row r="63" spans="1:7" x14ac:dyDescent="0.2">
      <c r="A63" s="1">
        <v>19725</v>
      </c>
      <c r="B63">
        <v>23011200000</v>
      </c>
      <c r="C63">
        <v>3.25</v>
      </c>
      <c r="D63" s="5">
        <v>26.94</v>
      </c>
      <c r="E63">
        <v>1.1261261261261257E-2</v>
      </c>
      <c r="F63">
        <f t="shared" si="0"/>
        <v>10.931541675686255</v>
      </c>
      <c r="G63">
        <f t="shared" si="1"/>
        <v>9.0266894397352995E-3</v>
      </c>
    </row>
    <row r="64" spans="1:7" x14ac:dyDescent="0.2">
      <c r="A64" s="1">
        <v>19756</v>
      </c>
      <c r="B64">
        <v>22952000000</v>
      </c>
      <c r="C64">
        <v>3.25</v>
      </c>
      <c r="D64" s="5">
        <v>26.99</v>
      </c>
      <c r="E64">
        <v>1.5043249341857745E-2</v>
      </c>
      <c r="F64">
        <f t="shared" si="0"/>
        <v>10.929617650681426</v>
      </c>
      <c r="G64">
        <f t="shared" si="1"/>
        <v>7.4055131034890444E-3</v>
      </c>
    </row>
    <row r="65" spans="1:7" x14ac:dyDescent="0.2">
      <c r="A65" s="1">
        <v>19784</v>
      </c>
      <c r="B65">
        <v>22927000000</v>
      </c>
      <c r="C65">
        <v>3.13</v>
      </c>
      <c r="D65" s="5">
        <v>26.93</v>
      </c>
      <c r="E65">
        <v>1.1265490048817162E-2</v>
      </c>
      <c r="F65">
        <f t="shared" si="0"/>
        <v>10.930110877564255</v>
      </c>
      <c r="G65">
        <f t="shared" si="1"/>
        <v>8.519830777116235E-3</v>
      </c>
    </row>
    <row r="66" spans="1:7" x14ac:dyDescent="0.2">
      <c r="A66" s="1">
        <v>19815</v>
      </c>
      <c r="B66">
        <v>22798700000</v>
      </c>
      <c r="C66">
        <v>3</v>
      </c>
      <c r="D66" s="5">
        <v>26.86</v>
      </c>
      <c r="E66">
        <v>6.3694267515923553E-3</v>
      </c>
      <c r="F66">
        <f t="shared" si="0"/>
        <v>10.928804075557114</v>
      </c>
      <c r="G66">
        <f t="shared" si="1"/>
        <v>1.0079790159983334E-2</v>
      </c>
    </row>
    <row r="67" spans="1:7" x14ac:dyDescent="0.2">
      <c r="A67" s="1">
        <v>19845</v>
      </c>
      <c r="B67">
        <v>22669400000</v>
      </c>
      <c r="C67">
        <v>3</v>
      </c>
      <c r="D67" s="5">
        <v>26.93</v>
      </c>
      <c r="E67">
        <v>8.6142322097377821E-3</v>
      </c>
      <c r="F67">
        <f t="shared" si="0"/>
        <v>10.925203672222837</v>
      </c>
      <c r="G67">
        <f t="shared" si="1"/>
        <v>9.1121326582369808E-3</v>
      </c>
    </row>
    <row r="68" spans="1:7" x14ac:dyDescent="0.2">
      <c r="A68" s="1">
        <v>19876</v>
      </c>
      <c r="B68">
        <v>22513900000</v>
      </c>
      <c r="C68">
        <v>3</v>
      </c>
      <c r="D68" s="5">
        <v>26.94</v>
      </c>
      <c r="E68">
        <v>6.3503922301084703E-3</v>
      </c>
      <c r="F68">
        <f t="shared" ref="F68:F131" si="2">LOG(B68/D68*100)</f>
        <v>10.922053141364332</v>
      </c>
      <c r="G68">
        <f t="shared" ref="G68:G131" si="3">LOG((1+C68/100)/(1+E68))</f>
        <v>1.0088004505138E-2</v>
      </c>
    </row>
    <row r="69" spans="1:7" x14ac:dyDescent="0.2">
      <c r="A69" s="1">
        <v>19906</v>
      </c>
      <c r="B69">
        <v>22439000000</v>
      </c>
      <c r="C69">
        <v>3</v>
      </c>
      <c r="D69" s="5">
        <v>26.86</v>
      </c>
      <c r="E69">
        <v>2.6129152668905586E-3</v>
      </c>
      <c r="F69">
        <f t="shared" si="2"/>
        <v>10.921897490233647</v>
      </c>
      <c r="G69">
        <f t="shared" si="3"/>
        <v>1.1703929980684574E-2</v>
      </c>
    </row>
    <row r="70" spans="1:7" x14ac:dyDescent="0.2">
      <c r="A70" s="1">
        <v>19937</v>
      </c>
      <c r="B70">
        <v>22442200000</v>
      </c>
      <c r="C70">
        <v>3</v>
      </c>
      <c r="D70" s="5">
        <v>26.85</v>
      </c>
      <c r="E70">
        <v>0</v>
      </c>
      <c r="F70">
        <f t="shared" si="2"/>
        <v>10.922121138351917</v>
      </c>
      <c r="G70">
        <f t="shared" si="3"/>
        <v>1.2837224705172217E-2</v>
      </c>
    </row>
    <row r="71" spans="1:7" x14ac:dyDescent="0.2">
      <c r="A71" s="1">
        <v>19968</v>
      </c>
      <c r="B71">
        <v>22480500000</v>
      </c>
      <c r="C71">
        <v>3</v>
      </c>
      <c r="D71" s="5">
        <v>26.81</v>
      </c>
      <c r="E71">
        <v>-2.9750836742283848E-3</v>
      </c>
      <c r="F71">
        <f t="shared" si="2"/>
        <v>10.923509152381497</v>
      </c>
      <c r="G71">
        <f t="shared" si="3"/>
        <v>1.4131212945594235E-2</v>
      </c>
    </row>
    <row r="72" spans="1:7" x14ac:dyDescent="0.2">
      <c r="A72" s="1">
        <v>19998</v>
      </c>
      <c r="B72">
        <v>22578700000</v>
      </c>
      <c r="C72">
        <v>3</v>
      </c>
      <c r="D72" s="5">
        <v>26.72</v>
      </c>
      <c r="E72">
        <v>-8.5343228200370769E-3</v>
      </c>
      <c r="F72">
        <f t="shared" si="2"/>
        <v>10.92686247939751</v>
      </c>
      <c r="G72">
        <f t="shared" si="3"/>
        <v>1.6559540424421648E-2</v>
      </c>
    </row>
    <row r="73" spans="1:7" x14ac:dyDescent="0.2">
      <c r="A73" s="1">
        <v>20029</v>
      </c>
      <c r="B73">
        <v>22695600000</v>
      </c>
      <c r="C73">
        <v>3</v>
      </c>
      <c r="D73" s="5">
        <v>26.78</v>
      </c>
      <c r="E73">
        <v>-2.6070763500931626E-3</v>
      </c>
      <c r="F73">
        <f t="shared" si="2"/>
        <v>10.928131095929412</v>
      </c>
      <c r="G73">
        <f t="shared" si="3"/>
        <v>1.3970942064756492E-2</v>
      </c>
    </row>
    <row r="74" spans="1:7" x14ac:dyDescent="0.2">
      <c r="A74" s="1">
        <v>20059</v>
      </c>
      <c r="B74">
        <v>22538200000</v>
      </c>
      <c r="C74">
        <v>3</v>
      </c>
      <c r="D74" s="5">
        <v>26.77</v>
      </c>
      <c r="E74">
        <v>-3.7216226274656705E-3</v>
      </c>
      <c r="F74">
        <f t="shared" si="2"/>
        <v>10.925270857236429</v>
      </c>
      <c r="G74">
        <f t="shared" si="3"/>
        <v>1.4456519951408049E-2</v>
      </c>
    </row>
    <row r="75" spans="1:7" x14ac:dyDescent="0.2">
      <c r="A75" s="1">
        <v>20090</v>
      </c>
      <c r="B75">
        <v>22803600000</v>
      </c>
      <c r="C75">
        <v>3</v>
      </c>
      <c r="D75" s="5">
        <v>26.77</v>
      </c>
      <c r="E75">
        <v>-6.3103192279139186E-3</v>
      </c>
      <c r="F75">
        <f t="shared" si="2"/>
        <v>10.93035504321338</v>
      </c>
      <c r="G75">
        <f t="shared" si="3"/>
        <v>1.5586444905206429E-2</v>
      </c>
    </row>
    <row r="76" spans="1:7" x14ac:dyDescent="0.2">
      <c r="A76" s="1">
        <v>20121</v>
      </c>
      <c r="B76">
        <v>22990100000</v>
      </c>
      <c r="C76">
        <v>3</v>
      </c>
      <c r="D76" s="5">
        <v>26.82</v>
      </c>
      <c r="E76">
        <v>-6.298629121896937E-3</v>
      </c>
      <c r="F76">
        <f t="shared" si="2"/>
        <v>10.933082086807797</v>
      </c>
      <c r="G76">
        <f t="shared" si="3"/>
        <v>1.5581335746108722E-2</v>
      </c>
    </row>
    <row r="77" spans="1:7" x14ac:dyDescent="0.2">
      <c r="A77" s="1">
        <v>20149</v>
      </c>
      <c r="B77">
        <v>23187600000</v>
      </c>
      <c r="C77">
        <v>3</v>
      </c>
      <c r="D77" s="5">
        <v>26.79</v>
      </c>
      <c r="E77">
        <v>-5.1986632008912403E-3</v>
      </c>
      <c r="F77">
        <f t="shared" si="2"/>
        <v>10.93728308631499</v>
      </c>
      <c r="G77">
        <f t="shared" si="3"/>
        <v>1.5100864508473805E-2</v>
      </c>
    </row>
    <row r="78" spans="1:7" x14ac:dyDescent="0.2">
      <c r="A78" s="1">
        <v>20180</v>
      </c>
      <c r="B78">
        <v>23372300000</v>
      </c>
      <c r="C78">
        <v>3</v>
      </c>
      <c r="D78" s="5">
        <v>26.79</v>
      </c>
      <c r="E78">
        <v>-2.6061057334326732E-3</v>
      </c>
      <c r="F78">
        <f t="shared" si="2"/>
        <v>10.940728738542617</v>
      </c>
      <c r="G78">
        <f t="shared" si="3"/>
        <v>1.3970519429659914E-2</v>
      </c>
    </row>
    <row r="79" spans="1:7" x14ac:dyDescent="0.2">
      <c r="A79" s="1">
        <v>20210</v>
      </c>
      <c r="B79">
        <v>23708500000</v>
      </c>
      <c r="C79">
        <v>3</v>
      </c>
      <c r="D79" s="5">
        <v>26.77</v>
      </c>
      <c r="E79">
        <v>-5.9413293724470684E-3</v>
      </c>
      <c r="F79">
        <f t="shared" si="2"/>
        <v>10.947255706522581</v>
      </c>
      <c r="G79">
        <f t="shared" si="3"/>
        <v>1.5425206929749998E-2</v>
      </c>
    </row>
    <row r="80" spans="1:7" x14ac:dyDescent="0.2">
      <c r="A80" s="1">
        <v>20241</v>
      </c>
      <c r="B80">
        <v>24110200000</v>
      </c>
      <c r="C80">
        <v>3</v>
      </c>
      <c r="D80" s="5">
        <v>26.71</v>
      </c>
      <c r="E80">
        <v>-8.5374907201187789E-3</v>
      </c>
      <c r="F80">
        <f t="shared" si="2"/>
        <v>10.955526924949865</v>
      </c>
      <c r="G80">
        <f t="shared" si="3"/>
        <v>1.6560928070766152E-2</v>
      </c>
    </row>
    <row r="81" spans="1:7" x14ac:dyDescent="0.2">
      <c r="A81" s="1">
        <v>20271</v>
      </c>
      <c r="B81">
        <v>24526300000</v>
      </c>
      <c r="C81">
        <v>3</v>
      </c>
      <c r="D81" s="5">
        <v>26.76</v>
      </c>
      <c r="E81">
        <v>-3.7230081906179935E-3</v>
      </c>
      <c r="F81">
        <f t="shared" si="2"/>
        <v>10.962145927052573</v>
      </c>
      <c r="G81">
        <f t="shared" si="3"/>
        <v>1.4457123942083249E-2</v>
      </c>
    </row>
    <row r="82" spans="1:7" x14ac:dyDescent="0.2">
      <c r="A82" s="1">
        <v>20302</v>
      </c>
      <c r="B82">
        <v>24963000000</v>
      </c>
      <c r="C82">
        <v>3.23</v>
      </c>
      <c r="D82" s="5">
        <v>26.72</v>
      </c>
      <c r="E82">
        <v>-4.8417132216015402E-3</v>
      </c>
      <c r="F82">
        <f t="shared" si="2"/>
        <v>10.970460322926177</v>
      </c>
      <c r="G82">
        <f t="shared" si="3"/>
        <v>1.5913763572658921E-2</v>
      </c>
    </row>
    <row r="83" spans="1:7" x14ac:dyDescent="0.2">
      <c r="A83" s="1">
        <v>20333</v>
      </c>
      <c r="B83">
        <v>25367200000</v>
      </c>
      <c r="C83">
        <v>3.25</v>
      </c>
      <c r="D83" s="5">
        <v>26.85</v>
      </c>
      <c r="E83">
        <v>1.4919806042521522E-3</v>
      </c>
      <c r="F83">
        <f t="shared" si="2"/>
        <v>10.975328242946562</v>
      </c>
      <c r="G83">
        <f t="shared" si="3"/>
        <v>1.3242584275743817E-2</v>
      </c>
    </row>
    <row r="84" spans="1:7" x14ac:dyDescent="0.2">
      <c r="A84" s="1">
        <v>20363</v>
      </c>
      <c r="B84">
        <v>25754600000</v>
      </c>
      <c r="C84">
        <v>3.4</v>
      </c>
      <c r="D84" s="5">
        <v>26.82</v>
      </c>
      <c r="E84">
        <v>3.7425149700598404E-3</v>
      </c>
      <c r="F84">
        <f t="shared" si="2"/>
        <v>10.982396035636301</v>
      </c>
      <c r="G84">
        <f t="shared" si="3"/>
        <v>1.2898219045851674E-2</v>
      </c>
    </row>
    <row r="85" spans="1:7" x14ac:dyDescent="0.2">
      <c r="A85" s="1">
        <v>20394</v>
      </c>
      <c r="B85">
        <v>26440400000</v>
      </c>
      <c r="C85">
        <v>3.5</v>
      </c>
      <c r="D85" s="5">
        <v>26.88</v>
      </c>
      <c r="E85">
        <v>3.7341299477220424E-3</v>
      </c>
      <c r="F85">
        <f t="shared" si="2"/>
        <v>10.992838756646593</v>
      </c>
      <c r="G85">
        <f t="shared" si="3"/>
        <v>1.3321658087139091E-2</v>
      </c>
    </row>
    <row r="86" spans="1:7" x14ac:dyDescent="0.2">
      <c r="A86" s="1">
        <v>20424</v>
      </c>
      <c r="B86">
        <v>26716100000</v>
      </c>
      <c r="C86">
        <v>3.5</v>
      </c>
      <c r="D86" s="5">
        <v>26.87</v>
      </c>
      <c r="E86">
        <v>3.7355248412402897E-3</v>
      </c>
      <c r="F86">
        <f t="shared" si="2"/>
        <v>10.997505393953439</v>
      </c>
      <c r="G86">
        <f t="shared" si="3"/>
        <v>1.3321054546700701E-2</v>
      </c>
    </row>
    <row r="87" spans="1:7" x14ac:dyDescent="0.2">
      <c r="A87" s="1">
        <v>20455</v>
      </c>
      <c r="B87">
        <v>27173600000</v>
      </c>
      <c r="C87">
        <v>3.5</v>
      </c>
      <c r="D87" s="5">
        <v>26.83</v>
      </c>
      <c r="E87">
        <v>2.2413149047439962E-3</v>
      </c>
      <c r="F87">
        <f t="shared" si="2"/>
        <v>11.005526505553293</v>
      </c>
      <c r="G87">
        <f t="shared" si="3"/>
        <v>1.3968048307930187E-2</v>
      </c>
    </row>
    <row r="88" spans="1:7" x14ac:dyDescent="0.2">
      <c r="A88" s="1">
        <v>20486</v>
      </c>
      <c r="B88">
        <v>27656400000</v>
      </c>
      <c r="C88">
        <v>3.5</v>
      </c>
      <c r="D88" s="5">
        <v>26.86</v>
      </c>
      <c r="E88">
        <v>1.491424310216205E-3</v>
      </c>
      <c r="F88">
        <f t="shared" si="2"/>
        <v>11.012689639534329</v>
      </c>
      <c r="G88">
        <f t="shared" si="3"/>
        <v>1.4293114975820113E-2</v>
      </c>
    </row>
    <row r="89" spans="1:7" x14ac:dyDescent="0.2">
      <c r="A89" s="1">
        <v>20515</v>
      </c>
      <c r="B89">
        <v>28528900000</v>
      </c>
      <c r="C89">
        <v>3.5</v>
      </c>
      <c r="D89" s="5">
        <v>26.89</v>
      </c>
      <c r="E89">
        <v>3.7327360955581312E-3</v>
      </c>
      <c r="F89">
        <f t="shared" si="2"/>
        <v>11.025694224493716</v>
      </c>
      <c r="G89">
        <f t="shared" si="3"/>
        <v>1.3322261177843729E-2</v>
      </c>
    </row>
    <row r="90" spans="1:7" x14ac:dyDescent="0.2">
      <c r="A90" s="1">
        <v>20546</v>
      </c>
      <c r="B90">
        <v>29285000000</v>
      </c>
      <c r="C90">
        <v>3.65</v>
      </c>
      <c r="D90" s="5">
        <v>26.93</v>
      </c>
      <c r="E90">
        <v>5.2258305337813393E-3</v>
      </c>
      <c r="F90">
        <f t="shared" si="2"/>
        <v>11.036408874952468</v>
      </c>
      <c r="G90">
        <f t="shared" si="3"/>
        <v>1.3305666626578012E-2</v>
      </c>
    </row>
    <row r="91" spans="1:7" x14ac:dyDescent="0.2">
      <c r="A91" s="1">
        <v>20576</v>
      </c>
      <c r="B91">
        <v>29629900000</v>
      </c>
      <c r="C91">
        <v>3.75</v>
      </c>
      <c r="D91" s="5">
        <v>27.03</v>
      </c>
      <c r="E91">
        <v>9.7123645872245756E-3</v>
      </c>
      <c r="F91">
        <f t="shared" si="2"/>
        <v>11.039884140053298</v>
      </c>
      <c r="G91">
        <f t="shared" si="3"/>
        <v>1.1790430872337575E-2</v>
      </c>
    </row>
    <row r="92" spans="1:7" x14ac:dyDescent="0.2">
      <c r="A92" s="1">
        <v>20607</v>
      </c>
      <c r="B92">
        <v>30263000000</v>
      </c>
      <c r="C92">
        <v>3.75</v>
      </c>
      <c r="D92" s="5">
        <v>27.15</v>
      </c>
      <c r="E92">
        <v>1.647323099962561E-2</v>
      </c>
      <c r="F92">
        <f t="shared" si="2"/>
        <v>11.047142143921771</v>
      </c>
      <c r="G92">
        <f t="shared" si="3"/>
        <v>8.8921594806374051E-3</v>
      </c>
    </row>
    <row r="93" spans="1:7" x14ac:dyDescent="0.2">
      <c r="A93" s="1">
        <v>20637</v>
      </c>
      <c r="B93">
        <v>30725200000</v>
      </c>
      <c r="C93">
        <v>3.75</v>
      </c>
      <c r="D93" s="5">
        <v>27.29</v>
      </c>
      <c r="E93">
        <v>1.9805680119581393E-2</v>
      </c>
      <c r="F93">
        <f t="shared" si="2"/>
        <v>11.051491182857307</v>
      </c>
      <c r="G93">
        <f t="shared" si="3"/>
        <v>7.470678810019336E-3</v>
      </c>
    </row>
    <row r="94" spans="1:7" x14ac:dyDescent="0.2">
      <c r="A94" s="1">
        <v>20668</v>
      </c>
      <c r="B94">
        <v>31085500000</v>
      </c>
      <c r="C94">
        <v>3.84</v>
      </c>
      <c r="D94" s="5">
        <v>27.31</v>
      </c>
      <c r="E94">
        <v>2.208083832335328E-2</v>
      </c>
      <c r="F94">
        <f t="shared" si="2"/>
        <v>11.056236157103916</v>
      </c>
      <c r="G94">
        <f t="shared" si="3"/>
        <v>6.8794331200687257E-3</v>
      </c>
    </row>
    <row r="95" spans="1:7" x14ac:dyDescent="0.2">
      <c r="A95" s="1">
        <v>20699</v>
      </c>
      <c r="B95">
        <v>31445100000</v>
      </c>
      <c r="C95">
        <v>4</v>
      </c>
      <c r="D95" s="5">
        <v>27.35</v>
      </c>
      <c r="E95">
        <v>1.862197392923659E-2</v>
      </c>
      <c r="F95">
        <f t="shared" si="2"/>
        <v>11.060595649517049</v>
      </c>
      <c r="G95">
        <f t="shared" si="3"/>
        <v>9.0202986649052051E-3</v>
      </c>
    </row>
    <row r="96" spans="1:7" x14ac:dyDescent="0.2">
      <c r="A96" s="1">
        <v>20729</v>
      </c>
      <c r="B96">
        <v>31889500000</v>
      </c>
      <c r="C96">
        <v>4</v>
      </c>
      <c r="D96" s="5">
        <v>27.51</v>
      </c>
      <c r="E96">
        <v>2.5727069351230369E-2</v>
      </c>
      <c r="F96">
        <f t="shared" si="2"/>
        <v>11.06415711954179</v>
      </c>
      <c r="G96">
        <f t="shared" si="3"/>
        <v>6.0015224246769867E-3</v>
      </c>
    </row>
    <row r="97" spans="1:7" x14ac:dyDescent="0.2">
      <c r="A97" s="1">
        <v>20760</v>
      </c>
      <c r="B97">
        <v>32260900000</v>
      </c>
      <c r="C97">
        <v>4</v>
      </c>
      <c r="D97" s="5">
        <v>27.51</v>
      </c>
      <c r="E97">
        <v>2.34375E-2</v>
      </c>
      <c r="F97">
        <f t="shared" si="2"/>
        <v>11.069185888583332</v>
      </c>
      <c r="G97">
        <f t="shared" si="3"/>
        <v>6.9720132908844892E-3</v>
      </c>
    </row>
    <row r="98" spans="1:7" x14ac:dyDescent="0.2">
      <c r="A98" s="1">
        <v>20790</v>
      </c>
      <c r="B98">
        <v>32473000000</v>
      </c>
      <c r="C98">
        <v>4</v>
      </c>
      <c r="D98" s="5">
        <v>27.63</v>
      </c>
      <c r="E98">
        <v>2.8284331968738252E-2</v>
      </c>
      <c r="F98">
        <f t="shared" si="2"/>
        <v>11.070141527616505</v>
      </c>
      <c r="G98">
        <f t="shared" si="3"/>
        <v>4.9201208154375422E-3</v>
      </c>
    </row>
    <row r="99" spans="1:7" x14ac:dyDescent="0.2">
      <c r="A99" s="1">
        <v>20821</v>
      </c>
      <c r="B99">
        <v>32686999999.999996</v>
      </c>
      <c r="C99">
        <v>4</v>
      </c>
      <c r="D99" s="5">
        <v>27.67</v>
      </c>
      <c r="E99">
        <v>3.1308237048080612E-2</v>
      </c>
      <c r="F99">
        <f t="shared" si="2"/>
        <v>11.072365903891759</v>
      </c>
      <c r="G99">
        <f t="shared" si="3"/>
        <v>3.6448528297673304E-3</v>
      </c>
    </row>
    <row r="100" spans="1:7" x14ac:dyDescent="0.2">
      <c r="A100" s="1">
        <v>20852</v>
      </c>
      <c r="B100">
        <v>32689500000.000004</v>
      </c>
      <c r="C100">
        <v>4</v>
      </c>
      <c r="D100" s="5">
        <v>27.8</v>
      </c>
      <c r="E100">
        <v>3.4996276991809516E-2</v>
      </c>
      <c r="F100">
        <f t="shared" si="2"/>
        <v>11.070363481991702</v>
      </c>
      <c r="G100">
        <f t="shared" si="3"/>
        <v>2.0945517134005735E-3</v>
      </c>
    </row>
    <row r="101" spans="1:7" x14ac:dyDescent="0.2">
      <c r="A101" s="1">
        <v>20880</v>
      </c>
      <c r="B101">
        <v>33040700000</v>
      </c>
      <c r="C101">
        <v>4</v>
      </c>
      <c r="D101" s="5">
        <v>27.86</v>
      </c>
      <c r="E101">
        <v>3.6072889550018639E-2</v>
      </c>
      <c r="F101">
        <f t="shared" si="2"/>
        <v>11.07406812761721</v>
      </c>
      <c r="G101">
        <f t="shared" si="3"/>
        <v>1.6430294341372768E-3</v>
      </c>
    </row>
    <row r="102" spans="1:7" x14ac:dyDescent="0.2">
      <c r="A102" s="1">
        <v>20911</v>
      </c>
      <c r="B102">
        <v>33385599999.999996</v>
      </c>
      <c r="C102">
        <v>4</v>
      </c>
      <c r="D102" s="5">
        <v>27.93</v>
      </c>
      <c r="E102">
        <v>3.7133308577794288E-2</v>
      </c>
      <c r="F102">
        <f t="shared" si="2"/>
        <v>11.07748825000097</v>
      </c>
      <c r="G102">
        <f t="shared" si="3"/>
        <v>1.1987570092857312E-3</v>
      </c>
    </row>
    <row r="103" spans="1:7" x14ac:dyDescent="0.2">
      <c r="A103" s="1">
        <v>20941</v>
      </c>
      <c r="B103">
        <v>33636200000.000004</v>
      </c>
      <c r="C103">
        <v>4</v>
      </c>
      <c r="D103" s="5">
        <v>28</v>
      </c>
      <c r="E103">
        <v>3.588605253422128E-2</v>
      </c>
      <c r="F103">
        <f t="shared" si="2"/>
        <v>11.079648894777446</v>
      </c>
      <c r="G103">
        <f t="shared" si="3"/>
        <v>1.7213536552865207E-3</v>
      </c>
    </row>
    <row r="104" spans="1:7" x14ac:dyDescent="0.2">
      <c r="A104" s="1">
        <v>20972</v>
      </c>
      <c r="B104">
        <v>34059600000.000004</v>
      </c>
      <c r="C104">
        <v>4</v>
      </c>
      <c r="D104" s="5">
        <v>28.11</v>
      </c>
      <c r="E104">
        <v>3.5359116022099402E-2</v>
      </c>
      <c r="F104">
        <f t="shared" si="2"/>
        <v>11.083378697642956</v>
      </c>
      <c r="G104">
        <f t="shared" si="3"/>
        <v>1.9423276162054109E-3</v>
      </c>
    </row>
    <row r="105" spans="1:7" x14ac:dyDescent="0.2">
      <c r="A105" s="1">
        <v>21002</v>
      </c>
      <c r="B105">
        <v>34374900000</v>
      </c>
      <c r="C105">
        <v>4</v>
      </c>
      <c r="D105" s="5">
        <v>28.19</v>
      </c>
      <c r="E105">
        <v>3.2979113228288837E-2</v>
      </c>
      <c r="F105">
        <f t="shared" si="2"/>
        <v>11.086146367562749</v>
      </c>
      <c r="G105">
        <f t="shared" si="3"/>
        <v>2.9417990970745343E-3</v>
      </c>
    </row>
    <row r="106" spans="1:7" x14ac:dyDescent="0.2">
      <c r="A106" s="1">
        <v>21033</v>
      </c>
      <c r="B106">
        <v>34596100000</v>
      </c>
      <c r="C106">
        <v>4.42</v>
      </c>
      <c r="D106" s="5">
        <v>28.28</v>
      </c>
      <c r="E106">
        <v>3.5518125228853892E-2</v>
      </c>
      <c r="F106">
        <f t="shared" si="2"/>
        <v>11.087547738640646</v>
      </c>
      <c r="G106">
        <f t="shared" si="3"/>
        <v>3.6259838895683636E-3</v>
      </c>
    </row>
    <row r="107" spans="1:7" x14ac:dyDescent="0.2">
      <c r="A107" s="1">
        <v>21064</v>
      </c>
      <c r="B107">
        <v>34547400000</v>
      </c>
      <c r="C107">
        <v>4.5</v>
      </c>
      <c r="D107" s="5">
        <v>28.32</v>
      </c>
      <c r="E107">
        <v>3.5466179159049371E-2</v>
      </c>
      <c r="F107">
        <f t="shared" si="2"/>
        <v>11.086322119388816</v>
      </c>
      <c r="G107">
        <f t="shared" si="3"/>
        <v>3.9803720987909592E-3</v>
      </c>
    </row>
    <row r="108" spans="1:7" x14ac:dyDescent="0.2">
      <c r="A108" s="1">
        <v>21094</v>
      </c>
      <c r="B108">
        <v>34419700000</v>
      </c>
      <c r="C108">
        <v>4.5</v>
      </c>
      <c r="D108" s="5">
        <v>28.32</v>
      </c>
      <c r="E108">
        <v>2.9443838604143791E-2</v>
      </c>
      <c r="F108">
        <f t="shared" si="2"/>
        <v>11.084713831706164</v>
      </c>
      <c r="G108">
        <f t="shared" si="3"/>
        <v>6.5136318190249214E-3</v>
      </c>
    </row>
    <row r="109" spans="1:7" x14ac:dyDescent="0.2">
      <c r="A109" s="1">
        <v>21125</v>
      </c>
      <c r="B109">
        <v>34332500000.000004</v>
      </c>
      <c r="C109">
        <v>4.5</v>
      </c>
      <c r="D109" s="5">
        <v>28.41</v>
      </c>
      <c r="E109">
        <v>3.2715376226826631E-2</v>
      </c>
      <c r="F109">
        <f t="shared" si="2"/>
        <v>11.082234195006444</v>
      </c>
      <c r="G109">
        <f t="shared" si="3"/>
        <v>5.1356471138204567E-3</v>
      </c>
    </row>
    <row r="110" spans="1:7" x14ac:dyDescent="0.2">
      <c r="A110" s="1">
        <v>21155</v>
      </c>
      <c r="B110">
        <v>33885300000</v>
      </c>
      <c r="C110">
        <v>4.5</v>
      </c>
      <c r="D110" s="5">
        <v>28.47</v>
      </c>
      <c r="E110">
        <v>3.0401737242128135E-2</v>
      </c>
      <c r="F110">
        <f t="shared" si="2"/>
        <v>11.075623867827401</v>
      </c>
      <c r="G110">
        <f t="shared" si="3"/>
        <v>6.1097082166290317E-3</v>
      </c>
    </row>
    <row r="111" spans="1:7" x14ac:dyDescent="0.2">
      <c r="A111" s="1">
        <v>21186</v>
      </c>
      <c r="B111">
        <v>34698800000</v>
      </c>
      <c r="C111">
        <v>4.34</v>
      </c>
      <c r="D111" s="5">
        <v>28.64</v>
      </c>
      <c r="E111">
        <v>3.5056017347307566E-2</v>
      </c>
      <c r="F111">
        <f t="shared" si="2"/>
        <v>11.083341442066013</v>
      </c>
      <c r="G111">
        <f t="shared" si="3"/>
        <v>3.4869778914901517E-3</v>
      </c>
    </row>
    <row r="112" spans="1:7" x14ac:dyDescent="0.2">
      <c r="A112" s="1">
        <v>21217</v>
      </c>
      <c r="B112">
        <v>34862300000</v>
      </c>
      <c r="C112">
        <v>4</v>
      </c>
      <c r="D112" s="5">
        <v>28.7</v>
      </c>
      <c r="E112">
        <v>3.2374100719424481E-2</v>
      </c>
      <c r="F112">
        <f t="shared" si="2"/>
        <v>11.084474139062293</v>
      </c>
      <c r="G112">
        <f t="shared" si="3"/>
        <v>3.1962384828642942E-3</v>
      </c>
    </row>
    <row r="113" spans="1:7" x14ac:dyDescent="0.2">
      <c r="A113" s="1">
        <v>21245</v>
      </c>
      <c r="B113">
        <v>34752800000</v>
      </c>
      <c r="C113">
        <v>4</v>
      </c>
      <c r="D113" s="5">
        <v>28.87</v>
      </c>
      <c r="E113">
        <v>3.6252692031586653E-2</v>
      </c>
      <c r="F113">
        <f t="shared" si="2"/>
        <v>11.080543017147889</v>
      </c>
      <c r="G113">
        <f t="shared" si="3"/>
        <v>1.5676675060045104E-3</v>
      </c>
    </row>
    <row r="114" spans="1:7" x14ac:dyDescent="0.2">
      <c r="A114" s="1">
        <v>21276</v>
      </c>
      <c r="B114">
        <v>34571800000</v>
      </c>
      <c r="C114">
        <v>3.83</v>
      </c>
      <c r="D114" s="5">
        <v>28.94</v>
      </c>
      <c r="E114">
        <v>3.6161833154314316E-2</v>
      </c>
      <c r="F114">
        <f t="shared" si="2"/>
        <v>11.077223465131864</v>
      </c>
      <c r="G114">
        <f t="shared" si="3"/>
        <v>8.9526293177655952E-4</v>
      </c>
    </row>
    <row r="115" spans="1:7" x14ac:dyDescent="0.2">
      <c r="A115" s="1">
        <v>21306</v>
      </c>
      <c r="B115">
        <v>34437500000</v>
      </c>
      <c r="C115">
        <v>3.5</v>
      </c>
      <c r="D115" s="5">
        <v>28.94</v>
      </c>
      <c r="E115">
        <v>3.3571428571428585E-2</v>
      </c>
      <c r="F115">
        <f t="shared" si="2"/>
        <v>11.075533089412842</v>
      </c>
      <c r="G115">
        <f t="shared" si="3"/>
        <v>5.9985435213707648E-4</v>
      </c>
    </row>
    <row r="116" spans="1:7" x14ac:dyDescent="0.2">
      <c r="A116" s="1">
        <v>21337</v>
      </c>
      <c r="B116">
        <v>34271800000</v>
      </c>
      <c r="C116">
        <v>3.5</v>
      </c>
      <c r="D116" s="5">
        <v>28.91</v>
      </c>
      <c r="E116">
        <v>2.8459622909996485E-2</v>
      </c>
      <c r="F116">
        <f t="shared" si="2"/>
        <v>11.073888823075471</v>
      </c>
      <c r="G116">
        <f t="shared" si="3"/>
        <v>2.7531037297193637E-3</v>
      </c>
    </row>
    <row r="117" spans="1:7" x14ac:dyDescent="0.2">
      <c r="A117" s="1">
        <v>21367</v>
      </c>
      <c r="B117">
        <v>34183100000.000004</v>
      </c>
      <c r="C117">
        <v>3.5</v>
      </c>
      <c r="D117" s="5">
        <v>28.89</v>
      </c>
      <c r="E117">
        <v>2.483150053210359E-2</v>
      </c>
      <c r="F117">
        <f t="shared" si="2"/>
        <v>11.073063903662955</v>
      </c>
      <c r="G117">
        <f t="shared" si="3"/>
        <v>4.2878838203418822E-3</v>
      </c>
    </row>
    <row r="118" spans="1:7" x14ac:dyDescent="0.2">
      <c r="A118" s="1">
        <v>21398</v>
      </c>
      <c r="B118">
        <v>34361200000</v>
      </c>
      <c r="C118">
        <v>3.5</v>
      </c>
      <c r="D118" s="5">
        <v>28.94</v>
      </c>
      <c r="E118">
        <v>2.3338048090523422E-2</v>
      </c>
      <c r="F118">
        <f t="shared" si="2"/>
        <v>11.074569795555407</v>
      </c>
      <c r="G118">
        <f t="shared" si="3"/>
        <v>4.9212281347795726E-3</v>
      </c>
    </row>
    <row r="119" spans="1:7" x14ac:dyDescent="0.2">
      <c r="A119" s="1">
        <v>21429</v>
      </c>
      <c r="B119">
        <v>34523700000</v>
      </c>
      <c r="C119">
        <v>3.83</v>
      </c>
      <c r="D119" s="5">
        <v>28.91</v>
      </c>
      <c r="E119">
        <v>2.0833333333333259E-2</v>
      </c>
      <c r="F119">
        <f t="shared" si="2"/>
        <v>11.077069242402427</v>
      </c>
      <c r="G119">
        <f t="shared" si="3"/>
        <v>7.3680113608637033E-3</v>
      </c>
    </row>
    <row r="120" spans="1:7" x14ac:dyDescent="0.2">
      <c r="A120" s="1">
        <v>21459</v>
      </c>
      <c r="B120">
        <v>34751800000</v>
      </c>
      <c r="C120">
        <v>4</v>
      </c>
      <c r="D120" s="5">
        <v>28.91</v>
      </c>
      <c r="E120">
        <v>2.0833333333333259E-2</v>
      </c>
      <c r="F120">
        <f t="shared" si="2"/>
        <v>11.079929212502147</v>
      </c>
      <c r="G120">
        <f t="shared" si="3"/>
        <v>8.078496645853913E-3</v>
      </c>
    </row>
    <row r="121" spans="1:7" x14ac:dyDescent="0.2">
      <c r="A121" s="1">
        <v>21490</v>
      </c>
      <c r="B121">
        <v>34915600000</v>
      </c>
      <c r="C121">
        <v>4</v>
      </c>
      <c r="D121" s="5">
        <v>28.95</v>
      </c>
      <c r="E121">
        <v>1.9007391763463444E-2</v>
      </c>
      <c r="F121">
        <f t="shared" si="2"/>
        <v>11.081370941422566</v>
      </c>
      <c r="G121">
        <f t="shared" si="3"/>
        <v>8.8560049582612783E-3</v>
      </c>
    </row>
    <row r="122" spans="1:7" x14ac:dyDescent="0.2">
      <c r="A122" s="1">
        <v>21520</v>
      </c>
      <c r="B122">
        <v>34948900000</v>
      </c>
      <c r="C122">
        <v>4</v>
      </c>
      <c r="D122" s="5">
        <v>28.97</v>
      </c>
      <c r="E122">
        <v>1.7562346329469625E-2</v>
      </c>
      <c r="F122">
        <f t="shared" si="2"/>
        <v>11.081485015880855</v>
      </c>
      <c r="G122">
        <f t="shared" si="3"/>
        <v>9.472311241973657E-3</v>
      </c>
    </row>
    <row r="123" spans="1:7" x14ac:dyDescent="0.2">
      <c r="A123" s="1">
        <v>21551</v>
      </c>
      <c r="B123">
        <v>35213000000</v>
      </c>
      <c r="C123">
        <v>4</v>
      </c>
      <c r="D123" s="5">
        <v>29.01</v>
      </c>
      <c r="E123">
        <v>1.2918994413407825E-2</v>
      </c>
      <c r="F123">
        <f t="shared" si="2"/>
        <v>11.08415529791319</v>
      </c>
      <c r="G123">
        <f t="shared" si="3"/>
        <v>1.1458624131934167E-2</v>
      </c>
    </row>
    <row r="124" spans="1:7" x14ac:dyDescent="0.2">
      <c r="A124" s="1">
        <v>21582</v>
      </c>
      <c r="B124">
        <v>35220100000</v>
      </c>
      <c r="C124">
        <v>4</v>
      </c>
      <c r="D124" s="5">
        <v>29</v>
      </c>
      <c r="E124">
        <v>1.0452961672473782E-2</v>
      </c>
      <c r="F124">
        <f t="shared" si="2"/>
        <v>11.084392586821073</v>
      </c>
      <c r="G124">
        <f t="shared" si="3"/>
        <v>1.2517238133816659E-2</v>
      </c>
    </row>
    <row r="125" spans="1:7" x14ac:dyDescent="0.2">
      <c r="A125" s="1">
        <v>21610</v>
      </c>
      <c r="B125">
        <v>35130400000</v>
      </c>
      <c r="C125">
        <v>4</v>
      </c>
      <c r="D125" s="5">
        <v>28.97</v>
      </c>
      <c r="E125">
        <v>3.463803255975062E-3</v>
      </c>
      <c r="F125">
        <f t="shared" si="2"/>
        <v>11.083734599558483</v>
      </c>
      <c r="G125">
        <f t="shared" si="3"/>
        <v>1.5531627975739086E-2</v>
      </c>
    </row>
    <row r="126" spans="1:7" x14ac:dyDescent="0.2">
      <c r="A126" s="1">
        <v>21641</v>
      </c>
      <c r="B126">
        <v>35558100000</v>
      </c>
      <c r="C126">
        <v>4</v>
      </c>
      <c r="D126" s="5">
        <v>28.98</v>
      </c>
      <c r="E126">
        <v>1.3821700069107656E-3</v>
      </c>
      <c r="F126">
        <f t="shared" si="2"/>
        <v>11.088840165832288</v>
      </c>
      <c r="G126">
        <f t="shared" si="3"/>
        <v>1.6433484946643293E-2</v>
      </c>
    </row>
    <row r="127" spans="1:7" x14ac:dyDescent="0.2">
      <c r="A127" s="1">
        <v>21671</v>
      </c>
      <c r="B127">
        <v>36306400000</v>
      </c>
      <c r="C127">
        <v>4.2300000000000004</v>
      </c>
      <c r="D127" s="5">
        <v>29.04</v>
      </c>
      <c r="E127">
        <v>3.4554250172771361E-3</v>
      </c>
      <c r="F127">
        <f t="shared" si="2"/>
        <v>11.096986576084904</v>
      </c>
      <c r="G127">
        <f t="shared" si="3"/>
        <v>1.6494652521395512E-2</v>
      </c>
    </row>
    <row r="128" spans="1:7" x14ac:dyDescent="0.2">
      <c r="A128" s="1">
        <v>21702</v>
      </c>
      <c r="B128">
        <v>37140400000</v>
      </c>
      <c r="C128">
        <v>4.5</v>
      </c>
      <c r="D128" s="5">
        <v>29.11</v>
      </c>
      <c r="E128">
        <v>6.9180214458663958E-3</v>
      </c>
      <c r="F128">
        <f t="shared" si="2"/>
        <v>11.105804371317058</v>
      </c>
      <c r="G128">
        <f t="shared" si="3"/>
        <v>1.6122176678919894E-2</v>
      </c>
    </row>
    <row r="129" spans="1:7" x14ac:dyDescent="0.2">
      <c r="A129" s="1">
        <v>21732</v>
      </c>
      <c r="B129">
        <v>37664500000</v>
      </c>
      <c r="C129">
        <v>4.5</v>
      </c>
      <c r="D129" s="5">
        <v>29.15</v>
      </c>
      <c r="E129">
        <v>8.9996538594667719E-3</v>
      </c>
      <c r="F129">
        <f t="shared" si="2"/>
        <v>11.111293647409207</v>
      </c>
      <c r="G129">
        <f t="shared" si="3"/>
        <v>1.5225273196236934E-2</v>
      </c>
    </row>
    <row r="130" spans="1:7" x14ac:dyDescent="0.2">
      <c r="A130" s="1">
        <v>21763</v>
      </c>
      <c r="B130">
        <v>38089000000</v>
      </c>
      <c r="C130">
        <v>4.5</v>
      </c>
      <c r="D130" s="5">
        <v>29.18</v>
      </c>
      <c r="E130">
        <v>8.2930200414650379E-3</v>
      </c>
      <c r="F130">
        <f t="shared" si="2"/>
        <v>11.115714283155944</v>
      </c>
      <c r="G130">
        <f t="shared" si="3"/>
        <v>1.552952967265866E-2</v>
      </c>
    </row>
    <row r="131" spans="1:7" x14ac:dyDescent="0.2">
      <c r="A131" s="1">
        <v>21794</v>
      </c>
      <c r="B131">
        <v>38260500000</v>
      </c>
      <c r="C131">
        <v>5</v>
      </c>
      <c r="D131" s="5">
        <v>29.25</v>
      </c>
      <c r="E131">
        <v>1.1760636457972984E-2</v>
      </c>
      <c r="F131">
        <f t="shared" si="2"/>
        <v>11.116624770804235</v>
      </c>
      <c r="G131">
        <f t="shared" si="3"/>
        <v>1.6111520322396738E-2</v>
      </c>
    </row>
    <row r="132" spans="1:7" x14ac:dyDescent="0.2">
      <c r="A132" s="1">
        <v>21824</v>
      </c>
      <c r="B132">
        <v>38411300000</v>
      </c>
      <c r="C132">
        <v>5</v>
      </c>
      <c r="D132" s="5">
        <v>29.35</v>
      </c>
      <c r="E132">
        <v>1.5219647180906293E-2</v>
      </c>
      <c r="F132">
        <f t="shared" ref="F132:F195" si="4">LOG(B132/D132*100)</f>
        <v>11.116850900182753</v>
      </c>
      <c r="G132">
        <f t="shared" ref="G132:G195" si="5">LOG((1+C132/100)/(1+E132))</f>
        <v>1.4629285156962633E-2</v>
      </c>
    </row>
    <row r="133" spans="1:7" x14ac:dyDescent="0.2">
      <c r="A133" s="1">
        <v>21855</v>
      </c>
      <c r="B133">
        <v>38697800000</v>
      </c>
      <c r="C133">
        <v>5</v>
      </c>
      <c r="D133" s="5">
        <v>29.35</v>
      </c>
      <c r="E133">
        <v>1.3816925734024155E-2</v>
      </c>
      <c r="F133">
        <f t="shared" si="4"/>
        <v>11.12007817015831</v>
      </c>
      <c r="G133">
        <f t="shared" si="5"/>
        <v>1.5229761549759847E-2</v>
      </c>
    </row>
    <row r="134" spans="1:7" x14ac:dyDescent="0.2">
      <c r="A134" s="1">
        <v>21885</v>
      </c>
      <c r="B134">
        <v>39293200000</v>
      </c>
      <c r="C134">
        <v>5</v>
      </c>
      <c r="D134" s="5">
        <v>29.41</v>
      </c>
      <c r="E134">
        <v>1.5188125647221273E-2</v>
      </c>
      <c r="F134">
        <f t="shared" si="4"/>
        <v>11.12582237426531</v>
      </c>
      <c r="G134">
        <f t="shared" si="5"/>
        <v>1.4642769766630554E-2</v>
      </c>
    </row>
    <row r="135" spans="1:7" x14ac:dyDescent="0.2">
      <c r="A135" s="1">
        <v>21916</v>
      </c>
      <c r="B135">
        <v>39629100000</v>
      </c>
      <c r="C135">
        <v>5</v>
      </c>
      <c r="D135" s="5">
        <v>29.37</v>
      </c>
      <c r="E135">
        <v>1.2409513960703222E-2</v>
      </c>
      <c r="F135">
        <f t="shared" si="4"/>
        <v>11.130110262842122</v>
      </c>
      <c r="G135">
        <f t="shared" si="5"/>
        <v>1.5833081349801926E-2</v>
      </c>
    </row>
    <row r="136" spans="1:7" x14ac:dyDescent="0.2">
      <c r="A136" s="1">
        <v>21947</v>
      </c>
      <c r="B136">
        <v>39787200000</v>
      </c>
      <c r="C136">
        <v>5</v>
      </c>
      <c r="D136" s="5">
        <v>29.41</v>
      </c>
      <c r="E136">
        <v>1.4137931034482687E-2</v>
      </c>
      <c r="F136">
        <f t="shared" si="4"/>
        <v>11.131248352504691</v>
      </c>
      <c r="G136">
        <f t="shared" si="5"/>
        <v>1.5092272461824837E-2</v>
      </c>
    </row>
    <row r="137" spans="1:7" x14ac:dyDescent="0.2">
      <c r="A137" s="1">
        <v>21976</v>
      </c>
      <c r="B137">
        <v>40018000000</v>
      </c>
      <c r="C137">
        <v>5</v>
      </c>
      <c r="D137" s="5">
        <v>29.41</v>
      </c>
      <c r="E137">
        <v>1.5188125647221273E-2</v>
      </c>
      <c r="F137">
        <f t="shared" si="4"/>
        <v>11.133760355378621</v>
      </c>
      <c r="G137">
        <f t="shared" si="5"/>
        <v>1.4642769766630554E-2</v>
      </c>
    </row>
    <row r="138" spans="1:7" x14ac:dyDescent="0.2">
      <c r="A138" s="1">
        <v>22007</v>
      </c>
      <c r="B138">
        <v>40515200000</v>
      </c>
      <c r="C138">
        <v>5</v>
      </c>
      <c r="D138" s="5">
        <v>29.54</v>
      </c>
      <c r="E138">
        <v>1.9323671497584405E-2</v>
      </c>
      <c r="F138">
        <f t="shared" si="4"/>
        <v>11.137207496131992</v>
      </c>
      <c r="G138">
        <f t="shared" si="5"/>
        <v>1.2877189229163234E-2</v>
      </c>
    </row>
    <row r="139" spans="1:7" x14ac:dyDescent="0.2">
      <c r="A139" s="1">
        <v>22037</v>
      </c>
      <c r="B139">
        <v>40892600000</v>
      </c>
      <c r="C139">
        <v>5</v>
      </c>
      <c r="D139" s="5">
        <v>29.57</v>
      </c>
      <c r="E139">
        <v>1.8250688705234275E-2</v>
      </c>
      <c r="F139">
        <f t="shared" si="4"/>
        <v>11.140793399864251</v>
      </c>
      <c r="G139">
        <f t="shared" si="5"/>
        <v>1.3334586571876503E-2</v>
      </c>
    </row>
    <row r="140" spans="1:7" x14ac:dyDescent="0.2">
      <c r="A140" s="1">
        <v>22068</v>
      </c>
      <c r="B140">
        <v>41356400000</v>
      </c>
      <c r="C140">
        <v>5</v>
      </c>
      <c r="D140" s="5">
        <v>29.61</v>
      </c>
      <c r="E140">
        <v>1.7176228100309165E-2</v>
      </c>
      <c r="F140">
        <f t="shared" si="4"/>
        <v>11.145104319790855</v>
      </c>
      <c r="G140">
        <f t="shared" si="5"/>
        <v>1.3793097119449715E-2</v>
      </c>
    </row>
    <row r="141" spans="1:7" x14ac:dyDescent="0.2">
      <c r="A141" s="1">
        <v>22098</v>
      </c>
      <c r="B141">
        <v>41395800000</v>
      </c>
      <c r="C141">
        <v>5</v>
      </c>
      <c r="D141" s="5">
        <v>29.55</v>
      </c>
      <c r="E141">
        <v>1.3722126929674117E-2</v>
      </c>
      <c r="F141">
        <f t="shared" si="4"/>
        <v>11.146398794808121</v>
      </c>
      <c r="G141">
        <f t="shared" si="5"/>
        <v>1.5270372947696776E-2</v>
      </c>
    </row>
    <row r="142" spans="1:7" x14ac:dyDescent="0.2">
      <c r="A142" s="1">
        <v>22129</v>
      </c>
      <c r="B142">
        <v>41324900000</v>
      </c>
      <c r="C142">
        <v>4.8499999999999996</v>
      </c>
      <c r="D142" s="5">
        <v>29.61</v>
      </c>
      <c r="E142">
        <v>1.473612063056895E-2</v>
      </c>
      <c r="F142">
        <f t="shared" si="4"/>
        <v>11.144773403928578</v>
      </c>
      <c r="G142">
        <f t="shared" si="5"/>
        <v>1.4215314969496242E-2</v>
      </c>
    </row>
    <row r="143" spans="1:7" x14ac:dyDescent="0.2">
      <c r="A143" s="1">
        <v>22160</v>
      </c>
      <c r="B143">
        <v>41400600000</v>
      </c>
      <c r="C143">
        <v>4.5</v>
      </c>
      <c r="D143" s="5">
        <v>29.61</v>
      </c>
      <c r="E143">
        <v>1.2307692307692353E-2</v>
      </c>
      <c r="F143">
        <f t="shared" si="4"/>
        <v>11.145568227808917</v>
      </c>
      <c r="G143">
        <f t="shared" si="5"/>
        <v>1.3803753475972845E-2</v>
      </c>
    </row>
    <row r="144" spans="1:7" x14ac:dyDescent="0.2">
      <c r="A144" s="1">
        <v>22190</v>
      </c>
      <c r="B144">
        <v>41524700000</v>
      </c>
      <c r="C144">
        <v>4.5</v>
      </c>
      <c r="D144" s="5">
        <v>29.75</v>
      </c>
      <c r="E144">
        <v>1.3628620102214661E-2</v>
      </c>
      <c r="F144">
        <f t="shared" si="4"/>
        <v>11.144819533459462</v>
      </c>
      <c r="G144">
        <f t="shared" si="5"/>
        <v>1.3237425966137639E-2</v>
      </c>
    </row>
    <row r="145" spans="1:7" x14ac:dyDescent="0.2">
      <c r="A145" s="1">
        <v>22221</v>
      </c>
      <c r="B145">
        <v>41682700000</v>
      </c>
      <c r="C145">
        <v>4.5</v>
      </c>
      <c r="D145" s="5">
        <v>29.78</v>
      </c>
      <c r="E145">
        <v>1.4650766609880739E-2</v>
      </c>
      <c r="F145">
        <f t="shared" si="4"/>
        <v>11.146031149243901</v>
      </c>
      <c r="G145">
        <f t="shared" si="5"/>
        <v>1.2799702614548745E-2</v>
      </c>
    </row>
    <row r="146" spans="1:7" x14ac:dyDescent="0.2">
      <c r="A146" s="1">
        <v>22251</v>
      </c>
      <c r="B146">
        <v>42105100000</v>
      </c>
      <c r="C146">
        <v>4.5</v>
      </c>
      <c r="D146" s="5">
        <v>29.81</v>
      </c>
      <c r="E146">
        <v>1.3600816048962905E-2</v>
      </c>
      <c r="F146">
        <f t="shared" si="4"/>
        <v>11.149972727112106</v>
      </c>
      <c r="G146">
        <f t="shared" si="5"/>
        <v>1.3249338921511337E-2</v>
      </c>
    </row>
    <row r="147" spans="1:7" x14ac:dyDescent="0.2">
      <c r="A147" s="1">
        <v>22282</v>
      </c>
      <c r="B147">
        <v>42035800000</v>
      </c>
      <c r="C147">
        <v>4.5</v>
      </c>
      <c r="D147" s="5">
        <v>29.84</v>
      </c>
      <c r="E147">
        <v>1.6002723867892366E-2</v>
      </c>
      <c r="F147">
        <f t="shared" si="4"/>
        <v>11.148820498261921</v>
      </c>
      <c r="G147">
        <f t="shared" si="5"/>
        <v>1.2221418169241882E-2</v>
      </c>
    </row>
    <row r="148" spans="1:7" x14ac:dyDescent="0.2">
      <c r="A148" s="1">
        <v>22313</v>
      </c>
      <c r="B148">
        <v>41950300000</v>
      </c>
      <c r="C148">
        <v>4.5</v>
      </c>
      <c r="D148" s="5">
        <v>29.84</v>
      </c>
      <c r="E148">
        <v>1.4620877252635056E-2</v>
      </c>
      <c r="F148">
        <f t="shared" si="4"/>
        <v>11.147936252153807</v>
      </c>
      <c r="G148">
        <f t="shared" si="5"/>
        <v>1.2812496153511018E-2</v>
      </c>
    </row>
    <row r="149" spans="1:7" x14ac:dyDescent="0.2">
      <c r="A149" s="1">
        <v>22341</v>
      </c>
      <c r="B149">
        <v>42051800000</v>
      </c>
      <c r="C149">
        <v>4.5</v>
      </c>
      <c r="D149" s="5">
        <v>29.84</v>
      </c>
      <c r="E149">
        <v>1.4620877252635056E-2</v>
      </c>
      <c r="F149">
        <f t="shared" si="4"/>
        <v>11.148985771424536</v>
      </c>
      <c r="G149">
        <f t="shared" si="5"/>
        <v>1.2812496153511018E-2</v>
      </c>
    </row>
    <row r="150" spans="1:7" x14ac:dyDescent="0.2">
      <c r="A150" s="1">
        <v>22372</v>
      </c>
      <c r="B150">
        <v>42212700000</v>
      </c>
      <c r="C150">
        <v>4.5</v>
      </c>
      <c r="D150" s="5">
        <v>29.81</v>
      </c>
      <c r="E150">
        <v>9.1401489505755773E-3</v>
      </c>
      <c r="F150">
        <f t="shared" si="4"/>
        <v>11.151081155264153</v>
      </c>
      <c r="G150">
        <f t="shared" si="5"/>
        <v>1.5164805390372661E-2</v>
      </c>
    </row>
    <row r="151" spans="1:7" x14ac:dyDescent="0.2">
      <c r="A151" s="1">
        <v>22402</v>
      </c>
      <c r="B151">
        <v>42134200000</v>
      </c>
      <c r="C151">
        <v>4.5</v>
      </c>
      <c r="D151" s="5">
        <v>29.84</v>
      </c>
      <c r="E151">
        <v>9.1308758877239882E-3</v>
      </c>
      <c r="F151">
        <f t="shared" si="4"/>
        <v>11.149835933606768</v>
      </c>
      <c r="G151">
        <f t="shared" si="5"/>
        <v>1.5168796172559252E-2</v>
      </c>
    </row>
    <row r="152" spans="1:7" x14ac:dyDescent="0.2">
      <c r="A152" s="1">
        <v>22433</v>
      </c>
      <c r="B152">
        <v>42451900000</v>
      </c>
      <c r="C152">
        <v>4.5</v>
      </c>
      <c r="D152" s="5">
        <v>29.84</v>
      </c>
      <c r="E152">
        <v>7.7676460655184965E-3</v>
      </c>
      <c r="F152">
        <f t="shared" si="4"/>
        <v>11.153098313731041</v>
      </c>
      <c r="G152">
        <f t="shared" si="5"/>
        <v>1.5755879035740744E-2</v>
      </c>
    </row>
    <row r="153" spans="1:7" x14ac:dyDescent="0.2">
      <c r="A153" s="1">
        <v>22463</v>
      </c>
      <c r="B153">
        <v>42581300000</v>
      </c>
      <c r="C153">
        <v>4.5</v>
      </c>
      <c r="D153" s="5">
        <v>29.92</v>
      </c>
      <c r="E153">
        <v>1.2521150592216701E-2</v>
      </c>
      <c r="F153">
        <f t="shared" si="4"/>
        <v>11.153257327050511</v>
      </c>
      <c r="G153">
        <f t="shared" si="5"/>
        <v>1.3712186471923191E-2</v>
      </c>
    </row>
    <row r="154" spans="1:7" x14ac:dyDescent="0.2">
      <c r="A154" s="1">
        <v>22494</v>
      </c>
      <c r="B154">
        <v>42656700000</v>
      </c>
      <c r="C154">
        <v>4.5</v>
      </c>
      <c r="D154" s="5">
        <v>29.94</v>
      </c>
      <c r="E154">
        <v>1.1144883485309176E-2</v>
      </c>
      <c r="F154">
        <f t="shared" si="4"/>
        <v>11.153735458593829</v>
      </c>
      <c r="G154">
        <f t="shared" si="5"/>
        <v>1.4302901829338303E-2</v>
      </c>
    </row>
    <row r="155" spans="1:7" x14ac:dyDescent="0.2">
      <c r="A155" s="1">
        <v>22525</v>
      </c>
      <c r="B155">
        <v>42770700000</v>
      </c>
      <c r="C155">
        <v>4.5</v>
      </c>
      <c r="D155" s="5">
        <v>29.98</v>
      </c>
      <c r="E155">
        <v>1.2495778453225359E-2</v>
      </c>
      <c r="F155">
        <f t="shared" si="4"/>
        <v>11.154314729615711</v>
      </c>
      <c r="G155">
        <f t="shared" si="5"/>
        <v>1.3723069324111244E-2</v>
      </c>
    </row>
    <row r="156" spans="1:7" x14ac:dyDescent="0.2">
      <c r="A156" s="1">
        <v>22555</v>
      </c>
      <c r="B156">
        <v>42977800000</v>
      </c>
      <c r="C156">
        <v>4.5</v>
      </c>
      <c r="D156" s="5">
        <v>29.98</v>
      </c>
      <c r="E156">
        <v>7.7310924369748957E-3</v>
      </c>
      <c r="F156">
        <f t="shared" si="4"/>
        <v>11.156412552016963</v>
      </c>
      <c r="G156">
        <f t="shared" si="5"/>
        <v>1.5771631999380479E-2</v>
      </c>
    </row>
    <row r="157" spans="1:7" x14ac:dyDescent="0.2">
      <c r="A157" s="1">
        <v>22586</v>
      </c>
      <c r="B157">
        <v>43133700000</v>
      </c>
      <c r="C157">
        <v>4.5</v>
      </c>
      <c r="D157" s="5">
        <v>29.98</v>
      </c>
      <c r="E157">
        <v>6.7159167226327199E-3</v>
      </c>
      <c r="F157">
        <f t="shared" si="4"/>
        <v>11.157985084923785</v>
      </c>
      <c r="G157">
        <f t="shared" si="5"/>
        <v>1.620935535096938E-2</v>
      </c>
    </row>
    <row r="158" spans="1:7" x14ac:dyDescent="0.2">
      <c r="A158" s="1">
        <v>22616</v>
      </c>
      <c r="B158">
        <v>43799700000</v>
      </c>
      <c r="C158">
        <v>4.5</v>
      </c>
      <c r="D158" s="5">
        <v>30.01</v>
      </c>
      <c r="E158">
        <v>6.7091580006710672E-3</v>
      </c>
      <c r="F158">
        <f t="shared" si="4"/>
        <v>11.164205140449321</v>
      </c>
      <c r="G158">
        <f t="shared" si="5"/>
        <v>1.6212271054850815E-2</v>
      </c>
    </row>
    <row r="159" spans="1:7" x14ac:dyDescent="0.2">
      <c r="A159" s="1">
        <v>22647</v>
      </c>
      <c r="B159">
        <v>43985300000</v>
      </c>
      <c r="C159">
        <v>4.5</v>
      </c>
      <c r="D159" s="5">
        <v>30.04</v>
      </c>
      <c r="E159">
        <v>6.7024128686326012E-3</v>
      </c>
      <c r="F159">
        <f t="shared" si="4"/>
        <v>11.165607630073119</v>
      </c>
      <c r="G159">
        <f t="shared" si="5"/>
        <v>1.6215180915573248E-2</v>
      </c>
    </row>
    <row r="160" spans="1:7" x14ac:dyDescent="0.2">
      <c r="A160" s="1">
        <v>22678</v>
      </c>
      <c r="B160">
        <v>43868800000</v>
      </c>
      <c r="C160">
        <v>4.5</v>
      </c>
      <c r="D160" s="5">
        <v>30.11</v>
      </c>
      <c r="E160">
        <v>9.0482573726542448E-3</v>
      </c>
      <c r="F160">
        <f t="shared" si="4"/>
        <v>11.163444999236246</v>
      </c>
      <c r="G160">
        <f t="shared" si="5"/>
        <v>1.5204353734944578E-2</v>
      </c>
    </row>
    <row r="161" spans="1:7" x14ac:dyDescent="0.2">
      <c r="A161" s="1">
        <v>22706</v>
      </c>
      <c r="B161">
        <v>44101200000</v>
      </c>
      <c r="C161">
        <v>4.5</v>
      </c>
      <c r="D161" s="5">
        <v>30.17</v>
      </c>
      <c r="E161">
        <v>1.1058981233244003E-2</v>
      </c>
      <c r="F161">
        <f t="shared" si="4"/>
        <v>11.164875096668993</v>
      </c>
      <c r="G161">
        <f t="shared" si="5"/>
        <v>1.4339799072715511E-2</v>
      </c>
    </row>
    <row r="162" spans="1:7" x14ac:dyDescent="0.2">
      <c r="A162" s="1">
        <v>22737</v>
      </c>
      <c r="B162">
        <v>44539800000</v>
      </c>
      <c r="C162">
        <v>4.5</v>
      </c>
      <c r="D162" s="5">
        <v>30.21</v>
      </c>
      <c r="E162">
        <v>1.3418316001341912E-2</v>
      </c>
      <c r="F162">
        <f t="shared" si="4"/>
        <v>11.168597537287976</v>
      </c>
      <c r="G162">
        <f t="shared" si="5"/>
        <v>1.3327541206423104E-2</v>
      </c>
    </row>
    <row r="163" spans="1:7" x14ac:dyDescent="0.2">
      <c r="A163" s="1">
        <v>22767</v>
      </c>
      <c r="B163">
        <v>44841300000</v>
      </c>
      <c r="C163">
        <v>4.5</v>
      </c>
      <c r="D163" s="5">
        <v>30.24</v>
      </c>
      <c r="E163">
        <v>1.3404825737265424E-2</v>
      </c>
      <c r="F163">
        <f t="shared" si="4"/>
        <v>11.171096407964473</v>
      </c>
      <c r="G163">
        <f t="shared" si="5"/>
        <v>1.3333322418535035E-2</v>
      </c>
    </row>
    <row r="164" spans="1:7" x14ac:dyDescent="0.2">
      <c r="A164" s="1">
        <v>22798</v>
      </c>
      <c r="B164">
        <v>45541900000</v>
      </c>
      <c r="C164">
        <v>4.5</v>
      </c>
      <c r="D164" s="5">
        <v>30.21</v>
      </c>
      <c r="E164">
        <v>1.2399463806970434E-2</v>
      </c>
      <c r="F164">
        <f t="shared" si="4"/>
        <v>11.178260420072656</v>
      </c>
      <c r="G164">
        <f t="shared" si="5"/>
        <v>1.3764383974423589E-2</v>
      </c>
    </row>
    <row r="165" spans="1:7" x14ac:dyDescent="0.2">
      <c r="A165" s="1">
        <v>22828</v>
      </c>
      <c r="B165">
        <v>45726800000</v>
      </c>
      <c r="C165">
        <v>4.5</v>
      </c>
      <c r="D165" s="5">
        <v>30.22</v>
      </c>
      <c r="E165">
        <v>1.0026737967914423E-2</v>
      </c>
      <c r="F165">
        <f t="shared" si="4"/>
        <v>11.179876350147222</v>
      </c>
      <c r="G165">
        <f t="shared" si="5"/>
        <v>1.4783419636489993E-2</v>
      </c>
    </row>
    <row r="166" spans="1:7" x14ac:dyDescent="0.2">
      <c r="A166" s="1">
        <v>22859</v>
      </c>
      <c r="B166">
        <v>45923400000</v>
      </c>
      <c r="C166">
        <v>4.5</v>
      </c>
      <c r="D166" s="5">
        <v>30.28</v>
      </c>
      <c r="E166">
        <v>1.1356045424181671E-2</v>
      </c>
      <c r="F166">
        <f t="shared" si="4"/>
        <v>11.180878163321813</v>
      </c>
      <c r="G166">
        <f t="shared" si="5"/>
        <v>1.4212215626071226E-2</v>
      </c>
    </row>
    <row r="167" spans="1:7" x14ac:dyDescent="0.2">
      <c r="A167" s="1">
        <v>22890</v>
      </c>
      <c r="B167">
        <v>46373600000</v>
      </c>
      <c r="C167">
        <v>4.5</v>
      </c>
      <c r="D167" s="5">
        <v>30.42</v>
      </c>
      <c r="E167">
        <v>1.4676450967311627E-2</v>
      </c>
      <c r="F167">
        <f t="shared" si="4"/>
        <v>11.183111601931408</v>
      </c>
      <c r="G167">
        <f t="shared" si="5"/>
        <v>1.2788709242353792E-2</v>
      </c>
    </row>
    <row r="168" spans="1:7" x14ac:dyDescent="0.2">
      <c r="A168" s="1">
        <v>22920</v>
      </c>
      <c r="B168">
        <v>46848700000</v>
      </c>
      <c r="C168">
        <v>4.5</v>
      </c>
      <c r="D168" s="5">
        <v>30.38</v>
      </c>
      <c r="E168">
        <v>1.3342228152101399E-2</v>
      </c>
      <c r="F168">
        <f t="shared" si="4"/>
        <v>11.188109774669075</v>
      </c>
      <c r="G168">
        <f t="shared" si="5"/>
        <v>1.3360149432565941E-2</v>
      </c>
    </row>
    <row r="169" spans="1:7" x14ac:dyDescent="0.2">
      <c r="A169" s="1">
        <v>22951</v>
      </c>
      <c r="B169">
        <v>47199800000</v>
      </c>
      <c r="C169">
        <v>4.5</v>
      </c>
      <c r="D169" s="5">
        <v>30.38</v>
      </c>
      <c r="E169">
        <v>1.3342228152101399E-2</v>
      </c>
      <c r="F169">
        <f t="shared" si="4"/>
        <v>11.191352388872566</v>
      </c>
      <c r="G169">
        <f t="shared" si="5"/>
        <v>1.3360149432565941E-2</v>
      </c>
    </row>
    <row r="170" spans="1:7" x14ac:dyDescent="0.2">
      <c r="A170" s="1">
        <v>22981</v>
      </c>
      <c r="B170">
        <v>47437600000</v>
      </c>
      <c r="C170">
        <v>4.5</v>
      </c>
      <c r="D170" s="5">
        <v>30.38</v>
      </c>
      <c r="E170">
        <v>1.2329223592135952E-2</v>
      </c>
      <c r="F170">
        <f t="shared" si="4"/>
        <v>11.193534939220612</v>
      </c>
      <c r="G170">
        <f t="shared" si="5"/>
        <v>1.3794516345157885E-2</v>
      </c>
    </row>
    <row r="171" spans="1:7" x14ac:dyDescent="0.2">
      <c r="A171" s="1">
        <v>23012</v>
      </c>
      <c r="B171">
        <v>47662300000</v>
      </c>
      <c r="C171">
        <v>4.5</v>
      </c>
      <c r="D171" s="5">
        <v>30.44</v>
      </c>
      <c r="E171">
        <v>1.3315579227696439E-2</v>
      </c>
      <c r="F171">
        <f t="shared" si="4"/>
        <v>11.194730347805461</v>
      </c>
      <c r="G171">
        <f t="shared" si="5"/>
        <v>1.3371570680668288E-2</v>
      </c>
    </row>
    <row r="172" spans="1:7" x14ac:dyDescent="0.2">
      <c r="A172" s="1">
        <v>23043</v>
      </c>
      <c r="B172">
        <v>47829400000</v>
      </c>
      <c r="C172">
        <v>4.5</v>
      </c>
      <c r="D172" s="5">
        <v>30.48</v>
      </c>
      <c r="E172">
        <v>1.2288276320159497E-2</v>
      </c>
      <c r="F172">
        <f t="shared" si="4"/>
        <v>11.195679970194291</v>
      </c>
      <c r="G172">
        <f t="shared" si="5"/>
        <v>1.3812083292269165E-2</v>
      </c>
    </row>
    <row r="173" spans="1:7" x14ac:dyDescent="0.2">
      <c r="A173" s="1">
        <v>23071</v>
      </c>
      <c r="B173">
        <v>47973900000</v>
      </c>
      <c r="C173">
        <v>4.5</v>
      </c>
      <c r="D173" s="5">
        <v>30.51</v>
      </c>
      <c r="E173">
        <v>1.1269472986410234E-2</v>
      </c>
      <c r="F173">
        <f t="shared" si="4"/>
        <v>11.196562817882727</v>
      </c>
      <c r="G173">
        <f t="shared" si="5"/>
        <v>1.4249392979654231E-2</v>
      </c>
    </row>
    <row r="174" spans="1:7" x14ac:dyDescent="0.2">
      <c r="A174" s="1">
        <v>23102</v>
      </c>
      <c r="B174">
        <v>48391700000</v>
      </c>
      <c r="C174">
        <v>4.5</v>
      </c>
      <c r="D174" s="5">
        <v>30.48</v>
      </c>
      <c r="E174">
        <v>8.9374379344586696E-3</v>
      </c>
      <c r="F174">
        <f t="shared" si="4"/>
        <v>11.200755916470424</v>
      </c>
      <c r="G174">
        <f t="shared" si="5"/>
        <v>1.5252053052790357E-2</v>
      </c>
    </row>
    <row r="175" spans="1:7" x14ac:dyDescent="0.2">
      <c r="A175" s="1">
        <v>23132</v>
      </c>
      <c r="B175">
        <v>48649000000</v>
      </c>
      <c r="C175">
        <v>4.5</v>
      </c>
      <c r="D175" s="5">
        <v>30.51</v>
      </c>
      <c r="E175">
        <v>8.9285714285716189E-3</v>
      </c>
      <c r="F175">
        <f t="shared" si="4"/>
        <v>11.202631709953836</v>
      </c>
      <c r="G175">
        <f t="shared" si="5"/>
        <v>1.5255869633834603E-2</v>
      </c>
    </row>
    <row r="176" spans="1:7" x14ac:dyDescent="0.2">
      <c r="A176" s="1">
        <v>23163</v>
      </c>
      <c r="B176">
        <v>49246900000</v>
      </c>
      <c r="C176">
        <v>4.5</v>
      </c>
      <c r="D176" s="5">
        <v>30.61</v>
      </c>
      <c r="E176">
        <v>1.3240648791790655E-2</v>
      </c>
      <c r="F176">
        <f t="shared" si="4"/>
        <v>11.206515568073515</v>
      </c>
      <c r="G176">
        <f t="shared" si="5"/>
        <v>1.3403686123018647E-2</v>
      </c>
    </row>
    <row r="177" spans="1:7" x14ac:dyDescent="0.2">
      <c r="A177" s="1">
        <v>23193</v>
      </c>
      <c r="B177">
        <v>49466400000</v>
      </c>
      <c r="C177">
        <v>4.5</v>
      </c>
      <c r="D177" s="5">
        <v>30.69</v>
      </c>
      <c r="E177">
        <v>1.5552614162806178E-2</v>
      </c>
      <c r="F177">
        <f t="shared" si="4"/>
        <v>11.207313416575067</v>
      </c>
      <c r="G177">
        <f t="shared" si="5"/>
        <v>1.2413862018256673E-2</v>
      </c>
    </row>
    <row r="178" spans="1:7" x14ac:dyDescent="0.2">
      <c r="A178" s="1">
        <v>23224</v>
      </c>
      <c r="B178">
        <v>49476800000</v>
      </c>
      <c r="C178">
        <v>4.5</v>
      </c>
      <c r="D178" s="5">
        <v>30.75</v>
      </c>
      <c r="E178">
        <v>1.5521796565389767E-2</v>
      </c>
      <c r="F178">
        <f t="shared" si="4"/>
        <v>11.206556482986247</v>
      </c>
      <c r="G178">
        <f t="shared" si="5"/>
        <v>1.2427041163672355E-2</v>
      </c>
    </row>
    <row r="179" spans="1:7" x14ac:dyDescent="0.2">
      <c r="A179" s="1">
        <v>23255</v>
      </c>
      <c r="B179">
        <v>49822500000</v>
      </c>
      <c r="C179">
        <v>4.5</v>
      </c>
      <c r="D179" s="5">
        <v>30.72</v>
      </c>
      <c r="E179">
        <v>9.8619329388558441E-3</v>
      </c>
      <c r="F179">
        <f t="shared" si="4"/>
        <v>11.210004304473776</v>
      </c>
      <c r="G179">
        <f t="shared" si="5"/>
        <v>1.4854288804578071E-2</v>
      </c>
    </row>
    <row r="180" spans="1:7" x14ac:dyDescent="0.2">
      <c r="A180" s="1">
        <v>23285</v>
      </c>
      <c r="B180">
        <v>50411100000</v>
      </c>
      <c r="C180">
        <v>4.5</v>
      </c>
      <c r="D180" s="5">
        <v>30.75</v>
      </c>
      <c r="E180">
        <v>1.2179065174456882E-2</v>
      </c>
      <c r="F180">
        <f t="shared" si="4"/>
        <v>11.214681053992415</v>
      </c>
      <c r="G180">
        <f t="shared" si="5"/>
        <v>1.3858939862404808E-2</v>
      </c>
    </row>
    <row r="181" spans="1:7" x14ac:dyDescent="0.2">
      <c r="A181" s="1">
        <v>23316</v>
      </c>
      <c r="B181">
        <v>51238200000</v>
      </c>
      <c r="C181">
        <v>4.5</v>
      </c>
      <c r="D181" s="5">
        <v>30.78</v>
      </c>
      <c r="E181">
        <v>1.3166556945358954E-2</v>
      </c>
      <c r="F181">
        <f t="shared" si="4"/>
        <v>11.22132524906278</v>
      </c>
      <c r="G181">
        <f t="shared" si="5"/>
        <v>1.3435444478380345E-2</v>
      </c>
    </row>
    <row r="182" spans="1:7" x14ac:dyDescent="0.2">
      <c r="A182" s="1">
        <v>23346</v>
      </c>
      <c r="B182">
        <v>52174100000</v>
      </c>
      <c r="C182">
        <v>4.5</v>
      </c>
      <c r="D182" s="5">
        <v>30.88</v>
      </c>
      <c r="E182">
        <v>1.6458196181698526E-2</v>
      </c>
      <c r="F182">
        <f t="shared" si="4"/>
        <v>11.227777674585438</v>
      </c>
      <c r="G182">
        <f t="shared" si="5"/>
        <v>1.202676831014177E-2</v>
      </c>
    </row>
    <row r="183" spans="1:7" x14ac:dyDescent="0.2">
      <c r="A183" s="1">
        <v>23377</v>
      </c>
      <c r="B183">
        <v>52418600000</v>
      </c>
      <c r="C183">
        <v>4.5</v>
      </c>
      <c r="D183" s="5">
        <v>30.94</v>
      </c>
      <c r="E183">
        <v>1.6425755584756896E-2</v>
      </c>
      <c r="F183">
        <f t="shared" si="4"/>
        <v>11.228965108231705</v>
      </c>
      <c r="G183">
        <f t="shared" si="5"/>
        <v>1.2040629182259295E-2</v>
      </c>
    </row>
    <row r="184" spans="1:7" x14ac:dyDescent="0.2">
      <c r="A184" s="1">
        <v>23408</v>
      </c>
      <c r="B184">
        <v>52548200000</v>
      </c>
      <c r="C184">
        <v>4.5</v>
      </c>
      <c r="D184" s="5">
        <v>30.91</v>
      </c>
      <c r="E184">
        <v>1.4107611548556331E-2</v>
      </c>
      <c r="F184">
        <f t="shared" si="4"/>
        <v>11.230458839117206</v>
      </c>
      <c r="G184">
        <f t="shared" si="5"/>
        <v>1.3032248051330771E-2</v>
      </c>
    </row>
    <row r="185" spans="1:7" x14ac:dyDescent="0.2">
      <c r="A185" s="1">
        <v>23437</v>
      </c>
      <c r="B185">
        <v>52713900000</v>
      </c>
      <c r="C185">
        <v>4.5</v>
      </c>
      <c r="D185" s="5">
        <v>30.94</v>
      </c>
      <c r="E185">
        <v>1.4093739757456536E-2</v>
      </c>
      <c r="F185">
        <f t="shared" si="4"/>
        <v>11.231404839005327</v>
      </c>
      <c r="G185">
        <f t="shared" si="5"/>
        <v>1.3038188726131128E-2</v>
      </c>
    </row>
    <row r="186" spans="1:7" x14ac:dyDescent="0.2">
      <c r="A186" s="1">
        <v>23468</v>
      </c>
      <c r="B186">
        <v>53229000000</v>
      </c>
      <c r="C186">
        <v>4.5</v>
      </c>
      <c r="D186" s="5">
        <v>30.95</v>
      </c>
      <c r="E186">
        <v>1.5419947506561726E-2</v>
      </c>
      <c r="F186">
        <f t="shared" si="4"/>
        <v>11.235487653910713</v>
      </c>
      <c r="G186">
        <f t="shared" si="5"/>
        <v>1.247059975849883E-2</v>
      </c>
    </row>
    <row r="187" spans="1:7" x14ac:dyDescent="0.2">
      <c r="A187" s="1">
        <v>23498</v>
      </c>
      <c r="B187">
        <v>53744500000</v>
      </c>
      <c r="C187">
        <v>4.5</v>
      </c>
      <c r="D187" s="5">
        <v>30.98</v>
      </c>
      <c r="E187">
        <v>1.5404785316289749E-2</v>
      </c>
      <c r="F187">
        <f t="shared" si="4"/>
        <v>11.239252613455298</v>
      </c>
      <c r="G187">
        <f t="shared" si="5"/>
        <v>1.2477084666292618E-2</v>
      </c>
    </row>
    <row r="188" spans="1:7" x14ac:dyDescent="0.2">
      <c r="A188" s="1">
        <v>23529</v>
      </c>
      <c r="B188">
        <v>54293700000</v>
      </c>
      <c r="C188">
        <v>4.5</v>
      </c>
      <c r="D188" s="5">
        <v>31.01</v>
      </c>
      <c r="E188">
        <v>1.3067624959163693E-2</v>
      </c>
      <c r="F188">
        <f t="shared" si="4"/>
        <v>11.243247672670678</v>
      </c>
      <c r="G188">
        <f t="shared" si="5"/>
        <v>1.3477853807080983E-2</v>
      </c>
    </row>
    <row r="189" spans="1:7" x14ac:dyDescent="0.2">
      <c r="A189" s="1">
        <v>23559</v>
      </c>
      <c r="B189">
        <v>54715900000</v>
      </c>
      <c r="C189">
        <v>4.5</v>
      </c>
      <c r="D189" s="5">
        <v>31.02</v>
      </c>
      <c r="E189">
        <v>1.0752688172043001E-2</v>
      </c>
      <c r="F189">
        <f t="shared" si="4"/>
        <v>11.24647175367587</v>
      </c>
      <c r="G189">
        <f t="shared" si="5"/>
        <v>1.4471385401309279E-2</v>
      </c>
    </row>
    <row r="190" spans="1:7" x14ac:dyDescent="0.2">
      <c r="A190" s="1">
        <v>23590</v>
      </c>
      <c r="B190">
        <v>55104600000</v>
      </c>
      <c r="C190">
        <v>4.5</v>
      </c>
      <c r="D190" s="5">
        <v>31.05</v>
      </c>
      <c r="E190">
        <v>9.7560975609756184E-3</v>
      </c>
      <c r="F190">
        <f t="shared" si="4"/>
        <v>11.24912624971542</v>
      </c>
      <c r="G190">
        <f t="shared" si="5"/>
        <v>1.4899806045909297E-2</v>
      </c>
    </row>
    <row r="191" spans="1:7" x14ac:dyDescent="0.2">
      <c r="A191" s="1">
        <v>23621</v>
      </c>
      <c r="B191">
        <v>55774900000</v>
      </c>
      <c r="C191">
        <v>4.5</v>
      </c>
      <c r="D191" s="5">
        <v>31.08</v>
      </c>
      <c r="E191">
        <v>1.171875E-2</v>
      </c>
      <c r="F191">
        <f t="shared" si="4"/>
        <v>11.253957790171919</v>
      </c>
      <c r="G191">
        <f t="shared" si="5"/>
        <v>1.405649167767048E-2</v>
      </c>
    </row>
    <row r="192" spans="1:7" x14ac:dyDescent="0.2">
      <c r="A192" s="1">
        <v>23651</v>
      </c>
      <c r="B192">
        <v>56290800000</v>
      </c>
      <c r="C192">
        <v>4.5</v>
      </c>
      <c r="D192" s="5">
        <v>31.12</v>
      </c>
      <c r="E192">
        <v>1.2032520325203189E-2</v>
      </c>
      <c r="F192">
        <f t="shared" si="4"/>
        <v>11.257397832542171</v>
      </c>
      <c r="G192">
        <f t="shared" si="5"/>
        <v>1.3921822240857052E-2</v>
      </c>
    </row>
    <row r="193" spans="1:7" x14ac:dyDescent="0.2">
      <c r="A193" s="1">
        <v>23682</v>
      </c>
      <c r="B193">
        <v>56862800000</v>
      </c>
      <c r="C193">
        <v>4.5</v>
      </c>
      <c r="D193" s="5">
        <v>31.21</v>
      </c>
      <c r="E193">
        <v>1.3970110461338558E-2</v>
      </c>
      <c r="F193">
        <f t="shared" si="4"/>
        <v>11.260534472454294</v>
      </c>
      <c r="G193">
        <f t="shared" si="5"/>
        <v>1.3091137277199971E-2</v>
      </c>
    </row>
    <row r="194" spans="1:7" x14ac:dyDescent="0.2">
      <c r="A194" s="1">
        <v>23712</v>
      </c>
      <c r="B194">
        <v>58348100000</v>
      </c>
      <c r="C194">
        <v>4.5</v>
      </c>
      <c r="D194" s="5">
        <v>31.25</v>
      </c>
      <c r="E194">
        <v>1.1981865284974136E-2</v>
      </c>
      <c r="F194">
        <f t="shared" si="4"/>
        <v>11.271176696919797</v>
      </c>
      <c r="G194">
        <f t="shared" si="5"/>
        <v>1.3943560430677264E-2</v>
      </c>
    </row>
    <row r="195" spans="1:7" x14ac:dyDescent="0.2">
      <c r="A195" s="1">
        <v>23743</v>
      </c>
      <c r="B195">
        <v>59241000000</v>
      </c>
      <c r="C195">
        <v>4.5</v>
      </c>
      <c r="D195" s="5">
        <v>31.28</v>
      </c>
      <c r="E195">
        <v>1.098901098901095E-2</v>
      </c>
      <c r="F195">
        <f t="shared" si="4"/>
        <v>11.277355636501476</v>
      </c>
      <c r="G195">
        <f t="shared" si="5"/>
        <v>1.4369855422611136E-2</v>
      </c>
    </row>
    <row r="196" spans="1:7" x14ac:dyDescent="0.2">
      <c r="A196" s="1">
        <v>23774</v>
      </c>
      <c r="B196">
        <v>60069300000</v>
      </c>
      <c r="C196">
        <v>4.5</v>
      </c>
      <c r="D196" s="5">
        <v>31.28</v>
      </c>
      <c r="E196">
        <v>1.1970236169524417E-2</v>
      </c>
      <c r="F196">
        <f t="shared" ref="F196:F259" si="6">LOG(B196/D196*100)</f>
        <v>11.283385826665445</v>
      </c>
      <c r="G196">
        <f t="shared" ref="G196:G259" si="7">LOG((1+C196/100)/(1+E196))</f>
        <v>1.3948551122567291E-2</v>
      </c>
    </row>
    <row r="197" spans="1:7" x14ac:dyDescent="0.2">
      <c r="A197" s="1">
        <v>23802</v>
      </c>
      <c r="B197">
        <v>61148900000</v>
      </c>
      <c r="C197">
        <v>4.5</v>
      </c>
      <c r="D197" s="5">
        <v>31.31</v>
      </c>
      <c r="E197">
        <v>1.1958629605688387E-2</v>
      </c>
      <c r="F197">
        <f t="shared" si="6"/>
        <v>11.29070558135593</v>
      </c>
      <c r="G197">
        <f t="shared" si="7"/>
        <v>1.3953532193506292E-2</v>
      </c>
    </row>
    <row r="198" spans="1:7" x14ac:dyDescent="0.2">
      <c r="A198" s="1">
        <v>23833</v>
      </c>
      <c r="B198">
        <v>62133100000</v>
      </c>
      <c r="C198">
        <v>4.5</v>
      </c>
      <c r="D198" s="5">
        <v>31.38</v>
      </c>
      <c r="E198">
        <v>1.3893376413570246E-2</v>
      </c>
      <c r="F198">
        <f t="shared" si="6"/>
        <v>11.296670083110106</v>
      </c>
      <c r="G198">
        <f t="shared" si="7"/>
        <v>1.3124004552291667E-2</v>
      </c>
    </row>
    <row r="199" spans="1:7" x14ac:dyDescent="0.2">
      <c r="A199" s="1">
        <v>23863</v>
      </c>
      <c r="B199">
        <v>62925000000</v>
      </c>
      <c r="C199">
        <v>4.5</v>
      </c>
      <c r="D199" s="5">
        <v>31.48</v>
      </c>
      <c r="E199">
        <v>1.6139444803098701E-2</v>
      </c>
      <c r="F199">
        <f t="shared" si="6"/>
        <v>11.300788500533374</v>
      </c>
      <c r="G199">
        <f t="shared" si="7"/>
        <v>1.2162980183233018E-2</v>
      </c>
    </row>
    <row r="200" spans="1:7" x14ac:dyDescent="0.2">
      <c r="A200" s="1">
        <v>23894</v>
      </c>
      <c r="B200">
        <v>64151100000</v>
      </c>
      <c r="C200">
        <v>4.5</v>
      </c>
      <c r="D200" s="5">
        <v>31.61</v>
      </c>
      <c r="E200">
        <v>1.9348597226700903E-2</v>
      </c>
      <c r="F200">
        <f t="shared" si="6"/>
        <v>11.307379611790063</v>
      </c>
      <c r="G200">
        <f t="shared" si="7"/>
        <v>1.079356084481951E-2</v>
      </c>
    </row>
    <row r="201" spans="1:7" x14ac:dyDescent="0.2">
      <c r="A201" s="1">
        <v>23924</v>
      </c>
      <c r="B201">
        <v>64890400000</v>
      </c>
      <c r="C201">
        <v>4.5</v>
      </c>
      <c r="D201" s="5">
        <v>31.58</v>
      </c>
      <c r="E201">
        <v>1.8052869116698789E-2</v>
      </c>
      <c r="F201">
        <f t="shared" si="6"/>
        <v>11.312768325590152</v>
      </c>
      <c r="G201">
        <f t="shared" si="7"/>
        <v>1.1345958252383517E-2</v>
      </c>
    </row>
    <row r="202" spans="1:7" x14ac:dyDescent="0.2">
      <c r="A202" s="1">
        <v>23955</v>
      </c>
      <c r="B202">
        <v>65479200000.000008</v>
      </c>
      <c r="C202">
        <v>4.5</v>
      </c>
      <c r="D202" s="5">
        <v>31.55</v>
      </c>
      <c r="E202">
        <v>1.6103059581320522E-2</v>
      </c>
      <c r="F202">
        <f t="shared" si="6"/>
        <v>11.317104001147106</v>
      </c>
      <c r="G202">
        <f t="shared" si="7"/>
        <v>1.2178531379518628E-2</v>
      </c>
    </row>
    <row r="203" spans="1:7" x14ac:dyDescent="0.2">
      <c r="A203" s="1">
        <v>23986</v>
      </c>
      <c r="B203">
        <v>66388300000</v>
      </c>
      <c r="C203">
        <v>4.5</v>
      </c>
      <c r="D203" s="5">
        <v>31.62</v>
      </c>
      <c r="E203">
        <v>1.7374517374517451E-2</v>
      </c>
      <c r="F203">
        <f t="shared" si="6"/>
        <v>11.32212968224832</v>
      </c>
      <c r="G203">
        <f t="shared" si="7"/>
        <v>1.1635434979759201E-2</v>
      </c>
    </row>
    <row r="204" spans="1:7" x14ac:dyDescent="0.2">
      <c r="A204" s="1">
        <v>24016</v>
      </c>
      <c r="B204">
        <v>67050000000</v>
      </c>
      <c r="C204">
        <v>4.5</v>
      </c>
      <c r="D204" s="5">
        <v>31.65</v>
      </c>
      <c r="E204">
        <v>1.7030848329048665E-2</v>
      </c>
      <c r="F204">
        <f t="shared" si="6"/>
        <v>11.326025067834244</v>
      </c>
      <c r="G204">
        <f t="shared" si="7"/>
        <v>1.1782164411350235E-2</v>
      </c>
    </row>
    <row r="205" spans="1:7" x14ac:dyDescent="0.2">
      <c r="A205" s="1">
        <v>24047</v>
      </c>
      <c r="B205">
        <v>67754000000.000008</v>
      </c>
      <c r="C205">
        <v>4.5</v>
      </c>
      <c r="D205" s="5">
        <v>31.75</v>
      </c>
      <c r="E205">
        <v>1.7302146747837144E-2</v>
      </c>
      <c r="F205">
        <f t="shared" si="6"/>
        <v>11.32919121016417</v>
      </c>
      <c r="G205">
        <f t="shared" si="7"/>
        <v>1.1666329484411002E-2</v>
      </c>
    </row>
    <row r="206" spans="1:7" x14ac:dyDescent="0.2">
      <c r="A206" s="1">
        <v>24077</v>
      </c>
      <c r="B206">
        <v>69157700000</v>
      </c>
      <c r="C206">
        <v>4.92</v>
      </c>
      <c r="D206" s="5">
        <v>31.85</v>
      </c>
      <c r="E206">
        <v>1.9200000000000106E-2</v>
      </c>
      <c r="F206">
        <f t="shared" si="6"/>
        <v>11.336731104698616</v>
      </c>
      <c r="G206">
        <f t="shared" si="7"/>
        <v>1.2598866927040668E-2</v>
      </c>
    </row>
    <row r="207" spans="1:7" x14ac:dyDescent="0.2">
      <c r="A207" s="1">
        <v>24108</v>
      </c>
      <c r="B207">
        <v>69983100000</v>
      </c>
      <c r="C207">
        <v>5</v>
      </c>
      <c r="D207" s="5">
        <v>31.88</v>
      </c>
      <c r="E207">
        <v>1.9181585677749302E-2</v>
      </c>
      <c r="F207">
        <f t="shared" si="6"/>
        <v>11.341474863534774</v>
      </c>
      <c r="G207">
        <f t="shared" si="7"/>
        <v>1.2937730733673745E-2</v>
      </c>
    </row>
    <row r="208" spans="1:7" x14ac:dyDescent="0.2">
      <c r="A208" s="1">
        <v>24139</v>
      </c>
      <c r="B208">
        <v>70683000000</v>
      </c>
      <c r="C208">
        <v>5</v>
      </c>
      <c r="D208" s="5">
        <v>32.08</v>
      </c>
      <c r="E208">
        <v>2.5575447570332477E-2</v>
      </c>
      <c r="F208">
        <f t="shared" si="6"/>
        <v>11.34308061438327</v>
      </c>
      <c r="G208">
        <f t="shared" si="7"/>
        <v>1.0221683845622602E-2</v>
      </c>
    </row>
    <row r="209" spans="1:7" x14ac:dyDescent="0.2">
      <c r="A209" s="1">
        <v>24167</v>
      </c>
      <c r="B209">
        <v>71521000000</v>
      </c>
      <c r="C209">
        <v>5.35</v>
      </c>
      <c r="D209" s="5">
        <v>32.18</v>
      </c>
      <c r="E209">
        <v>2.7786649632705274E-2</v>
      </c>
      <c r="F209">
        <f t="shared" si="6"/>
        <v>11.346847538332538</v>
      </c>
      <c r="G209">
        <f t="shared" si="7"/>
        <v>1.0731567798023473E-2</v>
      </c>
    </row>
    <row r="210" spans="1:7" x14ac:dyDescent="0.2">
      <c r="A210" s="1">
        <v>24198</v>
      </c>
      <c r="B210">
        <v>72372800000</v>
      </c>
      <c r="C210">
        <v>5.5</v>
      </c>
      <c r="D210" s="5">
        <v>32.28</v>
      </c>
      <c r="E210">
        <v>2.8680688336520044E-2</v>
      </c>
      <c r="F210">
        <f t="shared" si="6"/>
        <v>11.350641849132687</v>
      </c>
      <c r="G210">
        <f t="shared" si="7"/>
        <v>1.0971872834596549E-2</v>
      </c>
    </row>
    <row r="211" spans="1:7" x14ac:dyDescent="0.2">
      <c r="A211" s="1">
        <v>24228</v>
      </c>
      <c r="B211">
        <v>73327300000</v>
      </c>
      <c r="C211">
        <v>5.5</v>
      </c>
      <c r="D211" s="5">
        <v>32.35</v>
      </c>
      <c r="E211">
        <v>2.7636594663278391E-2</v>
      </c>
      <c r="F211">
        <f t="shared" si="6"/>
        <v>11.355391409036452</v>
      </c>
      <c r="G211">
        <f t="shared" si="7"/>
        <v>1.1412898316019163E-2</v>
      </c>
    </row>
    <row r="212" spans="1:7" x14ac:dyDescent="0.2">
      <c r="A212" s="1">
        <v>24259</v>
      </c>
      <c r="B212">
        <v>75391900000</v>
      </c>
      <c r="C212">
        <v>5.52</v>
      </c>
      <c r="D212" s="5">
        <v>32.380000000000003</v>
      </c>
      <c r="E212">
        <v>2.4359379943056148E-2</v>
      </c>
      <c r="F212">
        <f t="shared" si="6"/>
        <v>11.367047843968738</v>
      </c>
      <c r="G212">
        <f t="shared" si="7"/>
        <v>1.2882433960533563E-2</v>
      </c>
    </row>
    <row r="213" spans="1:7" x14ac:dyDescent="0.2">
      <c r="A213" s="1">
        <v>24289</v>
      </c>
      <c r="B213">
        <v>76782600000</v>
      </c>
      <c r="C213">
        <v>5.75</v>
      </c>
      <c r="D213" s="5">
        <v>32.450000000000003</v>
      </c>
      <c r="E213">
        <v>2.7549081697276989E-2</v>
      </c>
      <c r="F213">
        <f t="shared" si="6"/>
        <v>11.374048112903592</v>
      </c>
      <c r="G213">
        <f t="shared" si="7"/>
        <v>1.2477800582967269E-2</v>
      </c>
    </row>
    <row r="214" spans="1:7" x14ac:dyDescent="0.2">
      <c r="A214" s="1">
        <v>24320</v>
      </c>
      <c r="B214">
        <v>76993900000</v>
      </c>
      <c r="C214">
        <v>5.88</v>
      </c>
      <c r="D214" s="5">
        <v>32.65</v>
      </c>
      <c r="E214">
        <v>3.4865293185419866E-2</v>
      </c>
      <c r="F214">
        <f t="shared" si="6"/>
        <v>11.372573133051247</v>
      </c>
      <c r="G214">
        <f t="shared" si="7"/>
        <v>9.9301105983710513E-3</v>
      </c>
    </row>
    <row r="215" spans="1:7" x14ac:dyDescent="0.2">
      <c r="A215" s="1">
        <v>24351</v>
      </c>
      <c r="B215">
        <v>77488300000</v>
      </c>
      <c r="C215">
        <v>6</v>
      </c>
      <c r="D215" s="5">
        <v>32.75</v>
      </c>
      <c r="E215">
        <v>3.5736875395319334E-2</v>
      </c>
      <c r="F215">
        <f t="shared" si="6"/>
        <v>11.374024828771683</v>
      </c>
      <c r="G215">
        <f t="shared" si="7"/>
        <v>1.0056426533158651E-2</v>
      </c>
    </row>
    <row r="216" spans="1:7" x14ac:dyDescent="0.2">
      <c r="A216" s="1">
        <v>24381</v>
      </c>
      <c r="B216">
        <v>78010400000</v>
      </c>
      <c r="C216">
        <v>6</v>
      </c>
      <c r="D216" s="5">
        <v>32.85</v>
      </c>
      <c r="E216">
        <v>3.7914691943128132E-2</v>
      </c>
      <c r="F216">
        <f t="shared" si="6"/>
        <v>11.37561713086555</v>
      </c>
      <c r="G216">
        <f t="shared" si="7"/>
        <v>9.1442057223444818E-3</v>
      </c>
    </row>
    <row r="217" spans="1:7" x14ac:dyDescent="0.2">
      <c r="A217" s="1">
        <v>24412</v>
      </c>
      <c r="B217">
        <v>78372600000</v>
      </c>
      <c r="C217">
        <v>6</v>
      </c>
      <c r="D217" s="5">
        <v>32.880000000000003</v>
      </c>
      <c r="E217">
        <v>3.5590551181102548E-2</v>
      </c>
      <c r="F217">
        <f t="shared" si="6"/>
        <v>11.377232445797354</v>
      </c>
      <c r="G217">
        <f t="shared" si="7"/>
        <v>1.0117786024751848E-2</v>
      </c>
    </row>
    <row r="218" spans="1:7" x14ac:dyDescent="0.2">
      <c r="A218" s="1">
        <v>24442</v>
      </c>
      <c r="B218">
        <v>78976000000</v>
      </c>
      <c r="C218">
        <v>6</v>
      </c>
      <c r="D218" s="5">
        <v>32.92</v>
      </c>
      <c r="E218">
        <v>3.3594976452119285E-2</v>
      </c>
      <c r="F218">
        <f t="shared" si="6"/>
        <v>11.380035307140878</v>
      </c>
      <c r="G218">
        <f t="shared" si="7"/>
        <v>1.0955475395907292E-2</v>
      </c>
    </row>
    <row r="219" spans="1:7" x14ac:dyDescent="0.2">
      <c r="A219" s="1">
        <v>24473</v>
      </c>
      <c r="B219">
        <v>79274000000</v>
      </c>
      <c r="C219">
        <v>5.96</v>
      </c>
      <c r="D219" s="5">
        <v>32.9</v>
      </c>
      <c r="E219">
        <v>3.1994981179422899E-2</v>
      </c>
      <c r="F219">
        <f t="shared" si="6"/>
        <v>11.381934874386225</v>
      </c>
      <c r="G219">
        <f t="shared" si="7"/>
        <v>1.146436439929388E-2</v>
      </c>
    </row>
    <row r="220" spans="1:7" x14ac:dyDescent="0.2">
      <c r="A220" s="1">
        <v>24504</v>
      </c>
      <c r="B220">
        <v>79558000000</v>
      </c>
      <c r="C220">
        <v>5.75</v>
      </c>
      <c r="D220" s="5">
        <v>33</v>
      </c>
      <c r="E220">
        <v>2.8678304239401653E-2</v>
      </c>
      <c r="F220">
        <f t="shared" si="6"/>
        <v>11.382169917029495</v>
      </c>
      <c r="G220">
        <f t="shared" si="7"/>
        <v>1.2000795781318321E-2</v>
      </c>
    </row>
    <row r="221" spans="1:7" x14ac:dyDescent="0.2">
      <c r="A221" s="1">
        <v>24532</v>
      </c>
      <c r="B221">
        <v>80123100000</v>
      </c>
      <c r="C221">
        <v>5.71</v>
      </c>
      <c r="D221" s="5">
        <v>33</v>
      </c>
      <c r="E221">
        <v>2.5481665630826544E-2</v>
      </c>
      <c r="F221">
        <f t="shared" si="6"/>
        <v>11.38524380412419</v>
      </c>
      <c r="G221">
        <f t="shared" si="7"/>
        <v>1.3188172711893695E-2</v>
      </c>
    </row>
    <row r="222" spans="1:7" x14ac:dyDescent="0.2">
      <c r="A222" s="1">
        <v>24563</v>
      </c>
      <c r="B222">
        <v>81185000000</v>
      </c>
      <c r="C222">
        <v>5.5</v>
      </c>
      <c r="D222" s="5">
        <v>33.1</v>
      </c>
      <c r="E222">
        <v>2.5402726146220633E-2</v>
      </c>
      <c r="F222">
        <f t="shared" si="6"/>
        <v>11.389647801241273</v>
      </c>
      <c r="G222">
        <f t="shared" si="7"/>
        <v>1.2357991908025471E-2</v>
      </c>
    </row>
    <row r="223" spans="1:7" x14ac:dyDescent="0.2">
      <c r="A223" s="1">
        <v>24593</v>
      </c>
      <c r="B223">
        <v>81602200000</v>
      </c>
      <c r="C223">
        <v>5.5</v>
      </c>
      <c r="D223" s="5">
        <v>33.1</v>
      </c>
      <c r="E223">
        <v>2.3183925811437467E-2</v>
      </c>
      <c r="F223">
        <f t="shared" si="6"/>
        <v>11.39187387374016</v>
      </c>
      <c r="G223">
        <f t="shared" si="7"/>
        <v>1.3298750862711832E-2</v>
      </c>
    </row>
    <row r="224" spans="1:7" x14ac:dyDescent="0.2">
      <c r="A224" s="1">
        <v>24624</v>
      </c>
      <c r="B224">
        <v>82692900000</v>
      </c>
      <c r="C224">
        <v>5.5</v>
      </c>
      <c r="D224" s="5">
        <v>33.299999999999997</v>
      </c>
      <c r="E224">
        <v>2.8412600370598895E-2</v>
      </c>
      <c r="F224">
        <f t="shared" si="6"/>
        <v>11.395023989187802</v>
      </c>
      <c r="G224">
        <f t="shared" si="7"/>
        <v>1.1085070544746589E-2</v>
      </c>
    </row>
    <row r="225" spans="1:7" x14ac:dyDescent="0.2">
      <c r="A225" s="1">
        <v>24654</v>
      </c>
      <c r="B225">
        <v>83735100000</v>
      </c>
      <c r="C225">
        <v>5.5</v>
      </c>
      <c r="D225" s="5">
        <v>33.4</v>
      </c>
      <c r="E225">
        <v>2.9275808936825687E-2</v>
      </c>
      <c r="F225">
        <f t="shared" si="6"/>
        <v>11.399161076497595</v>
      </c>
      <c r="G225">
        <f t="shared" si="7"/>
        <v>1.0720693958535104E-2</v>
      </c>
    </row>
    <row r="226" spans="1:7" x14ac:dyDescent="0.2">
      <c r="A226" s="1">
        <v>24685</v>
      </c>
      <c r="B226">
        <v>83512300000</v>
      </c>
      <c r="C226">
        <v>5.5</v>
      </c>
      <c r="D226" s="5">
        <v>33.5</v>
      </c>
      <c r="E226">
        <v>2.6033690658499253E-2</v>
      </c>
      <c r="F226">
        <f t="shared" si="6"/>
        <v>11.396705637653062</v>
      </c>
      <c r="G226">
        <f t="shared" si="7"/>
        <v>1.2090838207958877E-2</v>
      </c>
    </row>
    <row r="227" spans="1:7" x14ac:dyDescent="0.2">
      <c r="A227" s="1">
        <v>24716</v>
      </c>
      <c r="B227">
        <v>83736500000</v>
      </c>
      <c r="C227">
        <v>5.5</v>
      </c>
      <c r="D227" s="5">
        <v>33.6</v>
      </c>
      <c r="E227">
        <v>2.5954198473282508E-2</v>
      </c>
      <c r="F227">
        <f t="shared" si="6"/>
        <v>11.396575526998504</v>
      </c>
      <c r="G227">
        <f t="shared" si="7"/>
        <v>1.2124486571669256E-2</v>
      </c>
    </row>
    <row r="228" spans="1:7" x14ac:dyDescent="0.2">
      <c r="A228" s="1">
        <v>24746</v>
      </c>
      <c r="B228">
        <v>84104300000</v>
      </c>
      <c r="C228">
        <v>5.5</v>
      </c>
      <c r="D228" s="5">
        <v>33.700000000000003</v>
      </c>
      <c r="E228">
        <v>2.5875190258751957E-2</v>
      </c>
      <c r="F228">
        <f t="shared" si="6"/>
        <v>11.397188299665366</v>
      </c>
      <c r="G228">
        <f t="shared" si="7"/>
        <v>1.2157932658172391E-2</v>
      </c>
    </row>
    <row r="229" spans="1:7" x14ac:dyDescent="0.2">
      <c r="A229" s="1">
        <v>24777</v>
      </c>
      <c r="B229">
        <v>84595900000</v>
      </c>
      <c r="C229">
        <v>5.68</v>
      </c>
      <c r="D229" s="5">
        <v>33.9</v>
      </c>
      <c r="E229">
        <v>3.1021897810218801E-2</v>
      </c>
      <c r="F229">
        <f t="shared" si="6"/>
        <v>11.397149616957403</v>
      </c>
      <c r="G229">
        <f t="shared" si="7"/>
        <v>1.0724915271401523E-2</v>
      </c>
    </row>
    <row r="230" spans="1:7" x14ac:dyDescent="0.2">
      <c r="A230" s="1">
        <v>24807</v>
      </c>
      <c r="B230">
        <v>86139700000</v>
      </c>
      <c r="C230">
        <v>6</v>
      </c>
      <c r="D230" s="5">
        <v>34</v>
      </c>
      <c r="E230">
        <v>3.2806804374240439E-2</v>
      </c>
      <c r="F230">
        <f t="shared" si="6"/>
        <v>11.403724437863181</v>
      </c>
      <c r="G230">
        <f t="shared" si="7"/>
        <v>1.1286774762747464E-2</v>
      </c>
    </row>
    <row r="231" spans="1:7" x14ac:dyDescent="0.2">
      <c r="A231" s="1">
        <v>24838</v>
      </c>
      <c r="B231">
        <v>86550900000</v>
      </c>
      <c r="C231">
        <v>6</v>
      </c>
      <c r="D231" s="5">
        <v>34.1</v>
      </c>
      <c r="E231">
        <v>3.6474164133738718E-2</v>
      </c>
      <c r="F231">
        <f t="shared" si="6"/>
        <v>11.404517209255905</v>
      </c>
      <c r="G231">
        <f t="shared" si="7"/>
        <v>9.7473842222468177E-3</v>
      </c>
    </row>
    <row r="232" spans="1:7" x14ac:dyDescent="0.2">
      <c r="A232" s="1">
        <v>24869</v>
      </c>
      <c r="B232">
        <v>86598100000</v>
      </c>
      <c r="C232">
        <v>6</v>
      </c>
      <c r="D232" s="5">
        <v>34.200000000000003</v>
      </c>
      <c r="E232">
        <v>3.6363636363636376E-2</v>
      </c>
      <c r="F232">
        <f t="shared" si="6"/>
        <v>11.40348225745581</v>
      </c>
      <c r="G232">
        <f t="shared" si="7"/>
        <v>9.7936990865227173E-3</v>
      </c>
    </row>
    <row r="233" spans="1:7" x14ac:dyDescent="0.2">
      <c r="A233" s="1">
        <v>24898</v>
      </c>
      <c r="B233">
        <v>87114000000</v>
      </c>
      <c r="C233">
        <v>6</v>
      </c>
      <c r="D233" s="5">
        <v>34.299999999999997</v>
      </c>
      <c r="E233">
        <v>3.9393939393939315E-2</v>
      </c>
      <c r="F233">
        <f t="shared" si="6"/>
        <v>11.404793835586654</v>
      </c>
      <c r="G233">
        <f t="shared" si="7"/>
        <v>8.5256850998872476E-3</v>
      </c>
    </row>
    <row r="234" spans="1:7" x14ac:dyDescent="0.2">
      <c r="A234" s="1">
        <v>24929</v>
      </c>
      <c r="B234">
        <v>88421000000</v>
      </c>
      <c r="C234">
        <v>6.2</v>
      </c>
      <c r="D234" s="5">
        <v>34.4</v>
      </c>
      <c r="E234">
        <v>3.92749244712991E-2</v>
      </c>
      <c r="F234">
        <f t="shared" si="6"/>
        <v>11.409996979692806</v>
      </c>
      <c r="G234">
        <f t="shared" si="7"/>
        <v>9.3940679496388943E-3</v>
      </c>
    </row>
    <row r="235" spans="1:7" x14ac:dyDescent="0.2">
      <c r="A235" s="1">
        <v>24959</v>
      </c>
      <c r="B235">
        <v>88972600000</v>
      </c>
      <c r="C235">
        <v>6.5</v>
      </c>
      <c r="D235" s="5">
        <v>34.5</v>
      </c>
      <c r="E235">
        <v>4.229607250755274E-2</v>
      </c>
      <c r="F235">
        <f t="shared" si="6"/>
        <v>11.411437186842122</v>
      </c>
      <c r="G235">
        <f t="shared" si="7"/>
        <v>9.3585064772011978E-3</v>
      </c>
    </row>
    <row r="236" spans="1:7" x14ac:dyDescent="0.2">
      <c r="A236" s="1">
        <v>24990</v>
      </c>
      <c r="B236">
        <v>89929500000</v>
      </c>
      <c r="C236">
        <v>6.5</v>
      </c>
      <c r="D236" s="5">
        <v>34.700000000000003</v>
      </c>
      <c r="E236">
        <v>4.2042042042042205E-2</v>
      </c>
      <c r="F236">
        <f t="shared" si="6"/>
        <v>11.41357270399071</v>
      </c>
      <c r="G236">
        <f t="shared" si="7"/>
        <v>9.4643664902025974E-3</v>
      </c>
    </row>
    <row r="237" spans="1:7" x14ac:dyDescent="0.2">
      <c r="A237" s="1">
        <v>25020</v>
      </c>
      <c r="B237">
        <v>91035800000</v>
      </c>
      <c r="C237">
        <v>6.5</v>
      </c>
      <c r="D237" s="5">
        <v>34.9</v>
      </c>
      <c r="E237">
        <v>4.4910179640718528E-2</v>
      </c>
      <c r="F237">
        <f t="shared" si="6"/>
        <v>11.41638678607578</v>
      </c>
      <c r="G237">
        <f t="shared" si="7"/>
        <v>8.2706476271411158E-3</v>
      </c>
    </row>
    <row r="238" spans="1:7" x14ac:dyDescent="0.2">
      <c r="A238" s="1">
        <v>25051</v>
      </c>
      <c r="B238">
        <v>91238100000</v>
      </c>
      <c r="C238">
        <v>6.5</v>
      </c>
      <c r="D238" s="5">
        <v>35</v>
      </c>
      <c r="E238">
        <v>4.4776119402984982E-2</v>
      </c>
      <c r="F238">
        <f t="shared" si="6"/>
        <v>11.416108188325056</v>
      </c>
      <c r="G238">
        <f t="shared" si="7"/>
        <v>8.3263704613261279E-3</v>
      </c>
    </row>
    <row r="239" spans="1:7" x14ac:dyDescent="0.2">
      <c r="A239" s="1">
        <v>25082</v>
      </c>
      <c r="B239">
        <v>91845200000</v>
      </c>
      <c r="C239">
        <v>6.45</v>
      </c>
      <c r="D239" s="5">
        <v>35.1</v>
      </c>
      <c r="E239">
        <v>4.4642857142857206E-2</v>
      </c>
      <c r="F239">
        <f t="shared" si="6"/>
        <v>11.417749347736319</v>
      </c>
      <c r="G239">
        <f t="shared" si="7"/>
        <v>8.1778266983613523E-3</v>
      </c>
    </row>
    <row r="240" spans="1:7" x14ac:dyDescent="0.2">
      <c r="A240" s="1">
        <v>25112</v>
      </c>
      <c r="B240">
        <v>92812500000</v>
      </c>
      <c r="C240">
        <v>6.25</v>
      </c>
      <c r="D240" s="5">
        <v>35.299999999999997</v>
      </c>
      <c r="E240">
        <v>4.7477744807121525E-2</v>
      </c>
      <c r="F240">
        <f t="shared" si="6"/>
        <v>11.419831765609484</v>
      </c>
      <c r="G240">
        <f t="shared" si="7"/>
        <v>6.1841342058652719E-3</v>
      </c>
    </row>
    <row r="241" spans="1:7" x14ac:dyDescent="0.2">
      <c r="A241" s="1">
        <v>25143</v>
      </c>
      <c r="B241">
        <v>94470000000</v>
      </c>
      <c r="C241">
        <v>6.25</v>
      </c>
      <c r="D241" s="5">
        <v>35.4</v>
      </c>
      <c r="E241">
        <v>4.4247787610619538E-2</v>
      </c>
      <c r="F241">
        <f t="shared" si="6"/>
        <v>11.426290653330419</v>
      </c>
      <c r="G241">
        <f t="shared" si="7"/>
        <v>7.5253748996434774E-3</v>
      </c>
    </row>
    <row r="242" spans="1:7" x14ac:dyDescent="0.2">
      <c r="A242" s="1">
        <v>25173</v>
      </c>
      <c r="B242">
        <v>96206500000</v>
      </c>
      <c r="C242">
        <v>6.6</v>
      </c>
      <c r="D242" s="5">
        <v>35.6</v>
      </c>
      <c r="E242">
        <v>4.705882352941182E-2</v>
      </c>
      <c r="F242">
        <f t="shared" si="6"/>
        <v>11.431754417295373</v>
      </c>
      <c r="G242">
        <f t="shared" si="7"/>
        <v>7.786123759933386E-3</v>
      </c>
    </row>
    <row r="243" spans="1:7" x14ac:dyDescent="0.2">
      <c r="A243" s="1">
        <v>25204</v>
      </c>
      <c r="B243">
        <v>97148100000</v>
      </c>
      <c r="C243">
        <v>6.95</v>
      </c>
      <c r="D243" s="5">
        <v>35.700000000000003</v>
      </c>
      <c r="E243">
        <v>4.692082111436946E-2</v>
      </c>
      <c r="F243">
        <f t="shared" si="6"/>
        <v>11.434766095075952</v>
      </c>
      <c r="G243">
        <f t="shared" si="7"/>
        <v>9.2669517878514168E-3</v>
      </c>
    </row>
    <row r="244" spans="1:7" x14ac:dyDescent="0.2">
      <c r="A244" s="1">
        <v>25235</v>
      </c>
      <c r="B244">
        <v>98296300000</v>
      </c>
      <c r="C244">
        <v>7</v>
      </c>
      <c r="D244" s="5">
        <v>35.799999999999997</v>
      </c>
      <c r="E244">
        <v>4.6783625730993927E-2</v>
      </c>
      <c r="F244">
        <f t="shared" si="6"/>
        <v>11.438654144089325</v>
      </c>
      <c r="G244">
        <f t="shared" si="7"/>
        <v>9.5268570974704394E-3</v>
      </c>
    </row>
    <row r="245" spans="1:7" x14ac:dyDescent="0.2">
      <c r="A245" s="1">
        <v>25263</v>
      </c>
      <c r="B245">
        <v>99238300000</v>
      </c>
      <c r="C245">
        <v>7.24</v>
      </c>
      <c r="D245" s="5">
        <v>36.1</v>
      </c>
      <c r="E245">
        <v>5.2478134110787389E-2</v>
      </c>
      <c r="F245">
        <f t="shared" si="6"/>
        <v>11.439172114084045</v>
      </c>
      <c r="G245">
        <f t="shared" si="7"/>
        <v>8.1437234479544776E-3</v>
      </c>
    </row>
    <row r="246" spans="1:7" x14ac:dyDescent="0.2">
      <c r="A246" s="1">
        <v>25294</v>
      </c>
      <c r="B246">
        <v>100771500000</v>
      </c>
      <c r="C246">
        <v>7.5</v>
      </c>
      <c r="D246" s="5">
        <v>36.299999999999997</v>
      </c>
      <c r="E246">
        <v>5.523255813953476E-2</v>
      </c>
      <c r="F246">
        <f t="shared" si="6"/>
        <v>11.443431098116605</v>
      </c>
      <c r="G246">
        <f t="shared" si="7"/>
        <v>8.0602817870417728E-3</v>
      </c>
    </row>
    <row r="247" spans="1:7" x14ac:dyDescent="0.2">
      <c r="A247" s="1">
        <v>25324</v>
      </c>
      <c r="B247">
        <v>101945400000</v>
      </c>
      <c r="C247">
        <v>7.5</v>
      </c>
      <c r="D247" s="5">
        <v>36.4</v>
      </c>
      <c r="E247">
        <v>5.507246376811592E-2</v>
      </c>
      <c r="F247">
        <f t="shared" si="6"/>
        <v>11.447266250587834</v>
      </c>
      <c r="G247">
        <f t="shared" si="7"/>
        <v>8.126175675842286E-3</v>
      </c>
    </row>
    <row r="248" spans="1:7" x14ac:dyDescent="0.2">
      <c r="A248" s="1">
        <v>25355</v>
      </c>
      <c r="B248">
        <v>102540400000</v>
      </c>
      <c r="C248">
        <v>8.23</v>
      </c>
      <c r="D248" s="5">
        <v>36.6</v>
      </c>
      <c r="E248">
        <v>5.4755043227665556E-2</v>
      </c>
      <c r="F248">
        <f t="shared" si="6"/>
        <v>11.447413921853268</v>
      </c>
      <c r="G248">
        <f t="shared" si="7"/>
        <v>1.1196047843311281E-2</v>
      </c>
    </row>
    <row r="249" spans="1:7" x14ac:dyDescent="0.2">
      <c r="A249" s="1">
        <v>25385</v>
      </c>
      <c r="B249">
        <v>103055700000</v>
      </c>
      <c r="C249">
        <v>8.5</v>
      </c>
      <c r="D249" s="5">
        <v>36.799999999999997</v>
      </c>
      <c r="E249">
        <v>5.4441260744985565E-2</v>
      </c>
      <c r="F249">
        <f t="shared" si="6"/>
        <v>11.447224198888453</v>
      </c>
      <c r="G249">
        <f t="shared" si="7"/>
        <v>1.2407346470210587E-2</v>
      </c>
    </row>
    <row r="250" spans="1:7" x14ac:dyDescent="0.2">
      <c r="A250" s="1">
        <v>25416</v>
      </c>
      <c r="B250">
        <v>103306700000</v>
      </c>
      <c r="C250">
        <v>8.5</v>
      </c>
      <c r="D250" s="5">
        <v>36.9</v>
      </c>
      <c r="E250">
        <v>5.428571428571427E-2</v>
      </c>
      <c r="F250">
        <f t="shared" si="6"/>
        <v>11.447102122627447</v>
      </c>
      <c r="G250">
        <f t="shared" si="7"/>
        <v>1.2471416375763614E-2</v>
      </c>
    </row>
    <row r="251" spans="1:7" x14ac:dyDescent="0.2">
      <c r="A251" s="1">
        <v>25447</v>
      </c>
      <c r="B251">
        <v>103817600000</v>
      </c>
      <c r="C251">
        <v>8.5</v>
      </c>
      <c r="D251" s="5">
        <v>37.1</v>
      </c>
      <c r="E251">
        <v>5.6980056980056926E-2</v>
      </c>
      <c r="F251">
        <f t="shared" si="6"/>
        <v>11.446897075255233</v>
      </c>
      <c r="G251">
        <f t="shared" si="7"/>
        <v>1.1362945035326557E-2</v>
      </c>
    </row>
    <row r="252" spans="1:7" x14ac:dyDescent="0.2">
      <c r="A252" s="1">
        <v>25477</v>
      </c>
      <c r="B252">
        <v>104337200000</v>
      </c>
      <c r="C252">
        <v>8.5</v>
      </c>
      <c r="D252" s="5">
        <v>37.299999999999997</v>
      </c>
      <c r="E252">
        <v>5.6657223796034106E-2</v>
      </c>
      <c r="F252">
        <f t="shared" si="6"/>
        <v>11.44673034597861</v>
      </c>
      <c r="G252">
        <f t="shared" si="7"/>
        <v>1.1495611763683253E-2</v>
      </c>
    </row>
    <row r="253" spans="1:7" x14ac:dyDescent="0.2">
      <c r="A253" s="1">
        <v>25508</v>
      </c>
      <c r="B253">
        <v>105185400000</v>
      </c>
      <c r="C253">
        <v>8.5</v>
      </c>
      <c r="D253" s="5">
        <v>37.5</v>
      </c>
      <c r="E253">
        <v>5.9322033898305149E-2</v>
      </c>
      <c r="F253">
        <f t="shared" si="6"/>
        <v>11.44792419509886</v>
      </c>
      <c r="G253">
        <f t="shared" si="7"/>
        <v>1.0401732482617209E-2</v>
      </c>
    </row>
    <row r="254" spans="1:7" x14ac:dyDescent="0.2">
      <c r="A254" s="1">
        <v>25538</v>
      </c>
      <c r="B254">
        <v>106597900000</v>
      </c>
      <c r="C254">
        <v>8.5</v>
      </c>
      <c r="D254" s="5">
        <v>37.700000000000003</v>
      </c>
      <c r="E254">
        <v>5.8988764044943798E-2</v>
      </c>
      <c r="F254">
        <f t="shared" si="6"/>
        <v>11.451407298880676</v>
      </c>
      <c r="G254">
        <f t="shared" si="7"/>
        <v>1.0538385951630591E-2</v>
      </c>
    </row>
    <row r="255" spans="1:7" x14ac:dyDescent="0.2">
      <c r="A255" s="1">
        <v>25569</v>
      </c>
      <c r="B255">
        <v>106297900000</v>
      </c>
      <c r="C255">
        <v>8.5</v>
      </c>
      <c r="D255" s="5">
        <v>37.9</v>
      </c>
      <c r="E255">
        <v>6.1624649859943759E-2</v>
      </c>
      <c r="F255">
        <f t="shared" si="6"/>
        <v>11.447885474805265</v>
      </c>
      <c r="G255">
        <f t="shared" si="7"/>
        <v>9.4587443286692531E-3</v>
      </c>
    </row>
    <row r="256" spans="1:7" x14ac:dyDescent="0.2">
      <c r="A256" s="1">
        <v>25600</v>
      </c>
      <c r="B256">
        <v>105695300000</v>
      </c>
      <c r="C256">
        <v>8.5</v>
      </c>
      <c r="D256" s="5">
        <v>38.1</v>
      </c>
      <c r="E256">
        <v>6.4245810055866048E-2</v>
      </c>
      <c r="F256">
        <f t="shared" si="6"/>
        <v>11.443130700094935</v>
      </c>
      <c r="G256">
        <f t="shared" si="7"/>
        <v>8.3877891528032714E-3</v>
      </c>
    </row>
    <row r="257" spans="1:7" x14ac:dyDescent="0.2">
      <c r="A257" s="1">
        <v>25628</v>
      </c>
      <c r="B257">
        <v>105412800000</v>
      </c>
      <c r="C257">
        <v>8.39</v>
      </c>
      <c r="D257" s="5">
        <v>38.299999999999997</v>
      </c>
      <c r="E257">
        <v>6.0941828254847508E-2</v>
      </c>
      <c r="F257">
        <f t="shared" si="6"/>
        <v>11.439694575350497</v>
      </c>
      <c r="G257">
        <f t="shared" si="7"/>
        <v>9.2976442247199829E-3</v>
      </c>
    </row>
    <row r="258" spans="1:7" x14ac:dyDescent="0.2">
      <c r="A258" s="1">
        <v>25659</v>
      </c>
      <c r="B258">
        <v>105676600000</v>
      </c>
      <c r="C258">
        <v>8</v>
      </c>
      <c r="D258" s="5">
        <v>38.5</v>
      </c>
      <c r="E258">
        <v>6.0606060606060774E-2</v>
      </c>
      <c r="F258">
        <f t="shared" si="6"/>
        <v>11.438518102492065</v>
      </c>
      <c r="G258">
        <f t="shared" si="7"/>
        <v>7.8696510145615239E-3</v>
      </c>
    </row>
    <row r="259" spans="1:7" x14ac:dyDescent="0.2">
      <c r="A259" s="1">
        <v>25689</v>
      </c>
      <c r="B259">
        <v>106011800000</v>
      </c>
      <c r="C259">
        <v>8</v>
      </c>
      <c r="D259" s="5">
        <v>38.6</v>
      </c>
      <c r="E259">
        <v>6.0439560439560447E-2</v>
      </c>
      <c r="F259">
        <f t="shared" si="6"/>
        <v>11.438766903891754</v>
      </c>
      <c r="G259">
        <f t="shared" si="7"/>
        <v>7.9378344642507606E-3</v>
      </c>
    </row>
    <row r="260" spans="1:7" x14ac:dyDescent="0.2">
      <c r="A260" s="1">
        <v>25720</v>
      </c>
      <c r="B260">
        <v>106835800000</v>
      </c>
      <c r="C260">
        <v>8</v>
      </c>
      <c r="D260" s="5">
        <v>38.799999999999997</v>
      </c>
      <c r="E260">
        <v>6.0109289617486183E-2</v>
      </c>
      <c r="F260">
        <f t="shared" ref="F260:F323" si="8">LOG(B260/D260*100)</f>
        <v>11.439885080817302</v>
      </c>
      <c r="G260">
        <f t="shared" ref="G260:G323" si="9">LOG((1+C260/100)/(1+E260))</f>
        <v>8.0731152871532114E-3</v>
      </c>
    </row>
    <row r="261" spans="1:7" x14ac:dyDescent="0.2">
      <c r="A261" s="1">
        <v>25750</v>
      </c>
      <c r="B261">
        <v>107677000000</v>
      </c>
      <c r="C261">
        <v>8</v>
      </c>
      <c r="D261" s="5">
        <v>38.9</v>
      </c>
      <c r="E261">
        <v>5.7065217391304435E-2</v>
      </c>
      <c r="F261">
        <f t="shared" si="8"/>
        <v>11.442173345799407</v>
      </c>
      <c r="G261">
        <f t="shared" si="9"/>
        <v>9.3219728347595874E-3</v>
      </c>
    </row>
    <row r="262" spans="1:7" x14ac:dyDescent="0.2">
      <c r="A262" s="1">
        <v>25781</v>
      </c>
      <c r="B262">
        <v>108540700000</v>
      </c>
      <c r="C262">
        <v>8</v>
      </c>
      <c r="D262" s="5">
        <v>39</v>
      </c>
      <c r="E262">
        <v>5.6910569105691033E-2</v>
      </c>
      <c r="F262">
        <f t="shared" si="8"/>
        <v>11.444528011075231</v>
      </c>
      <c r="G262">
        <f t="shared" si="9"/>
        <v>9.3855146195108655E-3</v>
      </c>
    </row>
    <row r="263" spans="1:7" x14ac:dyDescent="0.2">
      <c r="A263" s="1">
        <v>25812</v>
      </c>
      <c r="B263">
        <v>109528900000</v>
      </c>
      <c r="C263">
        <v>7.83</v>
      </c>
      <c r="D263" s="5">
        <v>39.200000000000003</v>
      </c>
      <c r="E263">
        <v>5.6603773584905648E-2</v>
      </c>
      <c r="F263">
        <f t="shared" si="8"/>
        <v>11.446242659046368</v>
      </c>
      <c r="G263">
        <f t="shared" si="9"/>
        <v>8.8274478040819837E-3</v>
      </c>
    </row>
    <row r="264" spans="1:7" x14ac:dyDescent="0.2">
      <c r="A264" s="1">
        <v>25842</v>
      </c>
      <c r="B264">
        <v>109774000000</v>
      </c>
      <c r="C264">
        <v>7.5</v>
      </c>
      <c r="D264" s="5">
        <v>39.4</v>
      </c>
      <c r="E264">
        <v>5.6300268096514783E-2</v>
      </c>
      <c r="F264">
        <f t="shared" si="8"/>
        <v>11.445003267708902</v>
      </c>
      <c r="G264">
        <f t="shared" si="9"/>
        <v>7.6210742347375985E-3</v>
      </c>
    </row>
    <row r="265" spans="1:7" x14ac:dyDescent="0.2">
      <c r="A265" s="1">
        <v>25873</v>
      </c>
      <c r="B265">
        <v>110174400000</v>
      </c>
      <c r="C265">
        <v>7.28</v>
      </c>
      <c r="D265" s="5">
        <v>39.6</v>
      </c>
      <c r="E265">
        <v>5.600000000000005E-2</v>
      </c>
      <c r="F265">
        <f t="shared" si="8"/>
        <v>11.444385508133697</v>
      </c>
      <c r="G265">
        <f t="shared" si="9"/>
        <v>6.8548466457490284E-3</v>
      </c>
    </row>
    <row r="266" spans="1:7" x14ac:dyDescent="0.2">
      <c r="A266" s="1">
        <v>25903</v>
      </c>
      <c r="B266">
        <v>111357800000</v>
      </c>
      <c r="C266">
        <v>6.92</v>
      </c>
      <c r="D266" s="5">
        <v>39.799999999999997</v>
      </c>
      <c r="E266">
        <v>5.5702917771883076E-2</v>
      </c>
      <c r="F266">
        <f t="shared" si="8"/>
        <v>11.446837570296085</v>
      </c>
      <c r="G266">
        <f t="shared" si="9"/>
        <v>5.5172282166047054E-3</v>
      </c>
    </row>
    <row r="267" spans="1:7" x14ac:dyDescent="0.2">
      <c r="A267" s="1">
        <v>25934</v>
      </c>
      <c r="B267">
        <v>111547900000</v>
      </c>
      <c r="C267">
        <v>6.29</v>
      </c>
      <c r="D267" s="5">
        <v>39.9</v>
      </c>
      <c r="E267">
        <v>5.2770448548812743E-2</v>
      </c>
      <c r="F267">
        <f t="shared" si="8"/>
        <v>11.446488502985131</v>
      </c>
      <c r="G267">
        <f t="shared" si="9"/>
        <v>4.1587213341637633E-3</v>
      </c>
    </row>
    <row r="268" spans="1:7" x14ac:dyDescent="0.2">
      <c r="A268" s="1">
        <v>25965</v>
      </c>
      <c r="B268">
        <v>111895100000</v>
      </c>
      <c r="C268">
        <v>5.88</v>
      </c>
      <c r="D268" s="5">
        <v>39.9</v>
      </c>
      <c r="E268">
        <v>4.7244094488188892E-2</v>
      </c>
      <c r="F268">
        <f t="shared" si="8"/>
        <v>11.447838173061841</v>
      </c>
      <c r="G268">
        <f t="shared" si="9"/>
        <v>4.7660126181816734E-3</v>
      </c>
    </row>
    <row r="269" spans="1:7" x14ac:dyDescent="0.2">
      <c r="A269" s="1">
        <v>25993</v>
      </c>
      <c r="B269">
        <v>111987700000</v>
      </c>
      <c r="C269">
        <v>5.44</v>
      </c>
      <c r="D269" s="5">
        <v>40</v>
      </c>
      <c r="E269">
        <v>4.4386422976501416E-2</v>
      </c>
      <c r="F269">
        <f t="shared" si="8"/>
        <v>11.447110333882646</v>
      </c>
      <c r="G269">
        <f t="shared" si="9"/>
        <v>4.1441798905949619E-3</v>
      </c>
    </row>
    <row r="270" spans="1:7" x14ac:dyDescent="0.2">
      <c r="A270" s="1">
        <v>26024</v>
      </c>
      <c r="B270">
        <v>112149600000</v>
      </c>
      <c r="C270">
        <v>5.28</v>
      </c>
      <c r="D270" s="5">
        <v>40.1</v>
      </c>
      <c r="E270">
        <v>4.1558441558441572E-2</v>
      </c>
      <c r="F270">
        <f t="shared" si="8"/>
        <v>11.446653356318844</v>
      </c>
      <c r="G270">
        <f t="shared" si="9"/>
        <v>4.6622331581986304E-3</v>
      </c>
    </row>
    <row r="271" spans="1:7" x14ac:dyDescent="0.2">
      <c r="A271" s="1">
        <v>26054</v>
      </c>
      <c r="B271">
        <v>113061500000</v>
      </c>
      <c r="C271">
        <v>5.46</v>
      </c>
      <c r="D271" s="5">
        <v>40.299999999999997</v>
      </c>
      <c r="E271">
        <v>4.4041450777202007E-2</v>
      </c>
      <c r="F271">
        <f t="shared" si="8"/>
        <v>11.448009696856346</v>
      </c>
      <c r="G271">
        <f t="shared" si="9"/>
        <v>4.3700255260908632E-3</v>
      </c>
    </row>
    <row r="272" spans="1:7" x14ac:dyDescent="0.2">
      <c r="A272" s="1">
        <v>26085</v>
      </c>
      <c r="B272">
        <v>114126500000</v>
      </c>
      <c r="C272">
        <v>5.5</v>
      </c>
      <c r="D272" s="5">
        <v>40.5</v>
      </c>
      <c r="E272">
        <v>4.3814432989690788E-2</v>
      </c>
      <c r="F272">
        <f t="shared" si="8"/>
        <v>11.449931475432324</v>
      </c>
      <c r="G272">
        <f t="shared" si="9"/>
        <v>4.6291620132500782E-3</v>
      </c>
    </row>
    <row r="273" spans="1:7" x14ac:dyDescent="0.2">
      <c r="A273" s="1">
        <v>26115</v>
      </c>
      <c r="B273">
        <v>114377200000</v>
      </c>
      <c r="C273">
        <v>5.91</v>
      </c>
      <c r="D273" s="5">
        <v>40.6</v>
      </c>
      <c r="E273">
        <v>4.3701799485861281E-2</v>
      </c>
      <c r="F273">
        <f t="shared" si="8"/>
        <v>11.449813427059464</v>
      </c>
      <c r="G273">
        <f t="shared" si="9"/>
        <v>6.3605357859571384E-3</v>
      </c>
    </row>
    <row r="274" spans="1:7" x14ac:dyDescent="0.2">
      <c r="A274" s="1">
        <v>26146</v>
      </c>
      <c r="B274">
        <v>115680200000</v>
      </c>
      <c r="C274">
        <v>6</v>
      </c>
      <c r="D274" s="5">
        <v>40.700000000000003</v>
      </c>
      <c r="E274">
        <v>4.3589743589743657E-2</v>
      </c>
      <c r="F274">
        <f t="shared" si="8"/>
        <v>11.453664621579501</v>
      </c>
      <c r="G274">
        <f t="shared" si="9"/>
        <v>6.7760630660494278E-3</v>
      </c>
    </row>
    <row r="275" spans="1:7" x14ac:dyDescent="0.2">
      <c r="A275" s="1">
        <v>26177</v>
      </c>
      <c r="B275">
        <v>116674500000</v>
      </c>
      <c r="C275">
        <v>6</v>
      </c>
      <c r="D275" s="5">
        <v>40.799999999999997</v>
      </c>
      <c r="E275">
        <v>4.0816326530612068E-2</v>
      </c>
      <c r="F275">
        <f t="shared" si="8"/>
        <v>11.456315785334198</v>
      </c>
      <c r="G275">
        <f t="shared" si="9"/>
        <v>7.931769195347679E-3</v>
      </c>
    </row>
    <row r="276" spans="1:7" x14ac:dyDescent="0.2">
      <c r="A276" s="1">
        <v>26207</v>
      </c>
      <c r="B276">
        <v>117268000000</v>
      </c>
      <c r="C276">
        <v>5.9</v>
      </c>
      <c r="D276" s="5">
        <v>40.9</v>
      </c>
      <c r="E276">
        <v>3.8071065989847774E-2</v>
      </c>
      <c r="F276">
        <f t="shared" si="8"/>
        <v>11.457456210336598</v>
      </c>
      <c r="G276">
        <f t="shared" si="9"/>
        <v>8.6688739257172742E-3</v>
      </c>
    </row>
    <row r="277" spans="1:7" x14ac:dyDescent="0.2">
      <c r="A277" s="1">
        <v>26238</v>
      </c>
      <c r="B277">
        <v>117810400000</v>
      </c>
      <c r="C277">
        <v>5.53</v>
      </c>
      <c r="D277" s="5">
        <v>41</v>
      </c>
      <c r="E277">
        <v>3.5353535353535248E-2</v>
      </c>
      <c r="F277">
        <f t="shared" si="8"/>
        <v>11.458399773826816</v>
      </c>
      <c r="G277">
        <f t="shared" si="9"/>
        <v>8.287267345339272E-3</v>
      </c>
    </row>
    <row r="278" spans="1:7" x14ac:dyDescent="0.2">
      <c r="A278" s="1">
        <v>26268</v>
      </c>
      <c r="B278">
        <v>117796100000</v>
      </c>
      <c r="C278">
        <v>5.49</v>
      </c>
      <c r="D278" s="5">
        <v>41.1</v>
      </c>
      <c r="E278">
        <v>3.2663316582914659E-2</v>
      </c>
      <c r="F278">
        <f t="shared" si="8"/>
        <v>11.457289090166546</v>
      </c>
      <c r="G278">
        <f t="shared" si="9"/>
        <v>9.2525425265072153E-3</v>
      </c>
    </row>
    <row r="279" spans="1:7" x14ac:dyDescent="0.2">
      <c r="A279" s="1">
        <v>26299</v>
      </c>
      <c r="B279">
        <v>118164500000</v>
      </c>
      <c r="C279">
        <v>5.18</v>
      </c>
      <c r="D279" s="5">
        <v>41.2</v>
      </c>
      <c r="E279">
        <v>3.2581453634085378E-2</v>
      </c>
      <c r="F279">
        <f t="shared" si="8"/>
        <v>11.457589805606872</v>
      </c>
      <c r="G279">
        <f t="shared" si="9"/>
        <v>8.0088461310521188E-3</v>
      </c>
    </row>
    <row r="280" spans="1:7" x14ac:dyDescent="0.2">
      <c r="A280" s="1">
        <v>26330</v>
      </c>
      <c r="B280">
        <v>118898200000</v>
      </c>
      <c r="C280">
        <v>4.75</v>
      </c>
      <c r="D280" s="5">
        <v>41.4</v>
      </c>
      <c r="E280">
        <v>3.7593984962406068E-2</v>
      </c>
      <c r="F280">
        <f t="shared" si="8"/>
        <v>11.45817493876285</v>
      </c>
      <c r="G280">
        <f t="shared" si="9"/>
        <v>4.1265862041822152E-3</v>
      </c>
    </row>
    <row r="281" spans="1:7" x14ac:dyDescent="0.2">
      <c r="A281" s="1">
        <v>26359</v>
      </c>
      <c r="B281">
        <v>119691000000</v>
      </c>
      <c r="C281">
        <v>4.75</v>
      </c>
      <c r="D281" s="5">
        <v>41.4</v>
      </c>
      <c r="E281">
        <v>3.499999999999992E-2</v>
      </c>
      <c r="F281">
        <f t="shared" si="8"/>
        <v>11.461061154337424</v>
      </c>
      <c r="G281">
        <f t="shared" si="9"/>
        <v>5.2136818453964798E-3</v>
      </c>
    </row>
    <row r="282" spans="1:7" x14ac:dyDescent="0.2">
      <c r="A282" s="1">
        <v>26390</v>
      </c>
      <c r="B282">
        <v>121231900000</v>
      </c>
      <c r="C282">
        <v>4.97</v>
      </c>
      <c r="D282" s="5">
        <v>41.5</v>
      </c>
      <c r="E282">
        <v>3.4912718204488824E-2</v>
      </c>
      <c r="F282">
        <f t="shared" si="8"/>
        <v>11.465568814958916</v>
      </c>
      <c r="G282">
        <f t="shared" si="9"/>
        <v>6.1614731106585073E-3</v>
      </c>
    </row>
    <row r="283" spans="1:7" x14ac:dyDescent="0.2">
      <c r="A283" s="1">
        <v>26420</v>
      </c>
      <c r="B283">
        <v>122692000000</v>
      </c>
      <c r="C283">
        <v>5</v>
      </c>
      <c r="D283" s="5">
        <v>41.6</v>
      </c>
      <c r="E283">
        <v>3.2258064516129226E-2</v>
      </c>
      <c r="F283">
        <f t="shared" si="8"/>
        <v>11.469722915318489</v>
      </c>
      <c r="G283">
        <f t="shared" si="9"/>
        <v>7.4010145843047383E-3</v>
      </c>
    </row>
    <row r="284" spans="1:7" x14ac:dyDescent="0.2">
      <c r="A284" s="1">
        <v>26451</v>
      </c>
      <c r="B284">
        <v>123767200000</v>
      </c>
      <c r="C284">
        <v>5.04</v>
      </c>
      <c r="D284" s="5">
        <v>41.7</v>
      </c>
      <c r="E284">
        <v>2.9629629629629672E-2</v>
      </c>
      <c r="F284">
        <f t="shared" si="8"/>
        <v>11.472469510983517</v>
      </c>
      <c r="G284">
        <f t="shared" si="9"/>
        <v>8.6736813223339641E-3</v>
      </c>
    </row>
    <row r="285" spans="1:7" x14ac:dyDescent="0.2">
      <c r="A285" s="1">
        <v>26481</v>
      </c>
      <c r="B285">
        <v>124681700000</v>
      </c>
      <c r="C285">
        <v>5.25</v>
      </c>
      <c r="D285" s="5">
        <v>41.8</v>
      </c>
      <c r="E285">
        <v>2.9556650246305383E-2</v>
      </c>
      <c r="F285">
        <f t="shared" si="8"/>
        <v>11.474626433353556</v>
      </c>
      <c r="G285">
        <f t="shared" si="9"/>
        <v>9.5718563098648266E-3</v>
      </c>
    </row>
    <row r="286" spans="1:7" x14ac:dyDescent="0.2">
      <c r="A286" s="1">
        <v>26512</v>
      </c>
      <c r="B286">
        <v>126008300000</v>
      </c>
      <c r="C286">
        <v>5.27</v>
      </c>
      <c r="D286" s="5">
        <v>41.9</v>
      </c>
      <c r="E286">
        <v>2.9484029484029284E-2</v>
      </c>
      <c r="F286">
        <f t="shared" si="8"/>
        <v>11.478185129496351</v>
      </c>
      <c r="G286">
        <f t="shared" si="9"/>
        <v>9.6850091939934477E-3</v>
      </c>
    </row>
    <row r="287" spans="1:7" x14ac:dyDescent="0.2">
      <c r="A287" s="1">
        <v>26543</v>
      </c>
      <c r="B287">
        <v>126957400000</v>
      </c>
      <c r="C287">
        <v>5.5</v>
      </c>
      <c r="D287" s="5">
        <v>42.1</v>
      </c>
      <c r="E287">
        <v>3.1862745098039325E-2</v>
      </c>
      <c r="F287">
        <f t="shared" si="8"/>
        <v>11.479375923950702</v>
      </c>
      <c r="G287">
        <f t="shared" si="9"/>
        <v>9.630526887923048E-3</v>
      </c>
    </row>
    <row r="288" spans="1:7" x14ac:dyDescent="0.2">
      <c r="A288" s="1">
        <v>26573</v>
      </c>
      <c r="B288">
        <v>129090800000</v>
      </c>
      <c r="C288">
        <v>5.73</v>
      </c>
      <c r="D288" s="5">
        <v>42.2</v>
      </c>
      <c r="E288">
        <v>3.1784841075794823E-2</v>
      </c>
      <c r="F288">
        <f t="shared" si="8"/>
        <v>11.485582841253581</v>
      </c>
      <c r="G288">
        <f t="shared" si="9"/>
        <v>1.0609089252536339E-2</v>
      </c>
    </row>
    <row r="289" spans="1:7" x14ac:dyDescent="0.2">
      <c r="A289" s="1">
        <v>26604</v>
      </c>
      <c r="B289">
        <v>131590100000</v>
      </c>
      <c r="C289">
        <v>5.75</v>
      </c>
      <c r="D289" s="5">
        <v>42.4</v>
      </c>
      <c r="E289">
        <v>3.4146341463414664E-2</v>
      </c>
      <c r="F289">
        <f t="shared" si="8"/>
        <v>11.491857360366808</v>
      </c>
      <c r="G289">
        <f t="shared" si="9"/>
        <v>9.6983761740828192E-3</v>
      </c>
    </row>
    <row r="290" spans="1:7" x14ac:dyDescent="0.2">
      <c r="A290" s="1">
        <v>26634</v>
      </c>
      <c r="B290">
        <v>133109299999.99998</v>
      </c>
      <c r="C290">
        <v>5.79</v>
      </c>
      <c r="D290" s="5">
        <v>42.5</v>
      </c>
      <c r="E290">
        <v>3.4063260340632562E-2</v>
      </c>
      <c r="F290">
        <f t="shared" si="8"/>
        <v>11.495819469508385</v>
      </c>
      <c r="G290">
        <f t="shared" si="9"/>
        <v>9.8975089571070336E-3</v>
      </c>
    </row>
    <row r="291" spans="1:7" x14ac:dyDescent="0.2">
      <c r="A291" s="1">
        <v>26665</v>
      </c>
      <c r="B291">
        <v>135413500000</v>
      </c>
      <c r="C291">
        <v>6</v>
      </c>
      <c r="D291" s="5">
        <v>42.7</v>
      </c>
      <c r="E291">
        <v>3.6407766990291357E-2</v>
      </c>
      <c r="F291">
        <f t="shared" si="8"/>
        <v>11.501234088314074</v>
      </c>
      <c r="G291">
        <f t="shared" si="9"/>
        <v>9.7752062728809486E-3</v>
      </c>
    </row>
    <row r="292" spans="1:7" x14ac:dyDescent="0.2">
      <c r="A292" s="1">
        <v>26696</v>
      </c>
      <c r="B292">
        <v>140798300000</v>
      </c>
      <c r="C292">
        <v>6.02</v>
      </c>
      <c r="D292" s="5">
        <v>43</v>
      </c>
      <c r="E292">
        <v>3.8647342995169032E-2</v>
      </c>
      <c r="F292">
        <f t="shared" si="8"/>
        <v>11.515128955582499</v>
      </c>
      <c r="G292">
        <f t="shared" si="9"/>
        <v>8.9196854317201858E-3</v>
      </c>
    </row>
    <row r="293" spans="1:7" x14ac:dyDescent="0.2">
      <c r="A293" s="1">
        <v>26724</v>
      </c>
      <c r="B293">
        <v>144957600000</v>
      </c>
      <c r="C293">
        <v>6.3</v>
      </c>
      <c r="D293" s="5">
        <v>43.4</v>
      </c>
      <c r="E293">
        <v>4.8309178743961345E-2</v>
      </c>
      <c r="F293">
        <f t="shared" si="8"/>
        <v>11.523751260454713</v>
      </c>
      <c r="G293">
        <f t="shared" si="9"/>
        <v>6.0438761316849565E-3</v>
      </c>
    </row>
    <row r="294" spans="1:7" x14ac:dyDescent="0.2">
      <c r="A294" s="1">
        <v>26755</v>
      </c>
      <c r="B294">
        <v>147534300000</v>
      </c>
      <c r="C294">
        <v>6.61</v>
      </c>
      <c r="D294" s="5">
        <v>43.7</v>
      </c>
      <c r="E294">
        <v>5.3012048192771166E-2</v>
      </c>
      <c r="F294">
        <f t="shared" si="8"/>
        <v>11.528411563472487</v>
      </c>
      <c r="G294">
        <f t="shared" si="9"/>
        <v>5.3646030919702672E-3</v>
      </c>
    </row>
    <row r="295" spans="1:7" x14ac:dyDescent="0.2">
      <c r="A295" s="1">
        <v>26785</v>
      </c>
      <c r="B295">
        <v>149965900000</v>
      </c>
      <c r="C295">
        <v>7.01</v>
      </c>
      <c r="D295" s="5">
        <v>43.9</v>
      </c>
      <c r="E295">
        <v>5.5288461538461453E-2</v>
      </c>
      <c r="F295">
        <f t="shared" si="8"/>
        <v>11.533527997977373</v>
      </c>
      <c r="G295">
        <f t="shared" si="9"/>
        <v>6.0531744426378896E-3</v>
      </c>
    </row>
    <row r="296" spans="1:7" x14ac:dyDescent="0.2">
      <c r="A296" s="1">
        <v>26816</v>
      </c>
      <c r="B296">
        <v>152829200000</v>
      </c>
      <c r="C296">
        <v>7.49</v>
      </c>
      <c r="D296" s="5">
        <v>44.2</v>
      </c>
      <c r="E296">
        <v>5.9952038369304628E-2</v>
      </c>
      <c r="F296">
        <f t="shared" si="8"/>
        <v>11.538784070409699</v>
      </c>
      <c r="G296">
        <f t="shared" si="9"/>
        <v>6.0818485104386288E-3</v>
      </c>
    </row>
    <row r="297" spans="1:7" x14ac:dyDescent="0.2">
      <c r="A297" s="1">
        <v>26846</v>
      </c>
      <c r="B297">
        <v>155329100000</v>
      </c>
      <c r="C297">
        <v>8.3000000000000007</v>
      </c>
      <c r="D297" s="5">
        <v>44.2</v>
      </c>
      <c r="E297">
        <v>5.741626794258381E-2</v>
      </c>
      <c r="F297">
        <f t="shared" si="8"/>
        <v>11.545830556537384</v>
      </c>
      <c r="G297">
        <f t="shared" si="9"/>
        <v>1.0382469051263594E-2</v>
      </c>
    </row>
    <row r="298" spans="1:7" x14ac:dyDescent="0.2">
      <c r="A298" s="1">
        <v>26877</v>
      </c>
      <c r="B298">
        <v>158068100000</v>
      </c>
      <c r="C298">
        <v>9.23</v>
      </c>
      <c r="D298" s="5">
        <v>45</v>
      </c>
      <c r="E298">
        <v>7.398568019093088E-2</v>
      </c>
      <c r="F298">
        <f t="shared" si="8"/>
        <v>11.545631719269908</v>
      </c>
      <c r="G298">
        <f t="shared" si="9"/>
        <v>7.3434428445578208E-3</v>
      </c>
    </row>
    <row r="299" spans="1:7" x14ac:dyDescent="0.2">
      <c r="A299" s="1">
        <v>26908</v>
      </c>
      <c r="B299">
        <v>158506600000</v>
      </c>
      <c r="C299">
        <v>9.86</v>
      </c>
      <c r="D299" s="5">
        <v>45.2</v>
      </c>
      <c r="E299">
        <v>7.3634204275534465E-2</v>
      </c>
      <c r="F299">
        <f t="shared" si="8"/>
        <v>11.54490891555251</v>
      </c>
      <c r="G299">
        <f t="shared" si="9"/>
        <v>9.9832557096263316E-3</v>
      </c>
    </row>
    <row r="300" spans="1:7" x14ac:dyDescent="0.2">
      <c r="A300" s="1">
        <v>26938</v>
      </c>
      <c r="B300">
        <v>159169400000</v>
      </c>
      <c r="C300">
        <v>9.94</v>
      </c>
      <c r="D300" s="5">
        <v>45.6</v>
      </c>
      <c r="E300">
        <v>8.0568720379146974E-2</v>
      </c>
      <c r="F300">
        <f t="shared" si="8"/>
        <v>11.542894736512995</v>
      </c>
      <c r="G300">
        <f t="shared" si="9"/>
        <v>7.5033409269506159E-3</v>
      </c>
    </row>
    <row r="301" spans="1:7" x14ac:dyDescent="0.2">
      <c r="A301" s="1">
        <v>26969</v>
      </c>
      <c r="B301">
        <v>159935300000</v>
      </c>
      <c r="C301">
        <v>9.75</v>
      </c>
      <c r="D301" s="5">
        <v>45.9</v>
      </c>
      <c r="E301">
        <v>8.2547169811320709E-2</v>
      </c>
      <c r="F301">
        <f t="shared" si="8"/>
        <v>11.542131643770238</v>
      </c>
      <c r="G301">
        <f t="shared" si="9"/>
        <v>5.9576999696303373E-3</v>
      </c>
    </row>
    <row r="302" spans="1:7" x14ac:dyDescent="0.2">
      <c r="A302" s="1">
        <v>26999</v>
      </c>
      <c r="B302">
        <v>161211300000</v>
      </c>
      <c r="C302">
        <v>9.75</v>
      </c>
      <c r="D302" s="5">
        <v>46.3</v>
      </c>
      <c r="E302">
        <v>8.9411764705882302E-2</v>
      </c>
      <c r="F302">
        <f t="shared" si="8"/>
        <v>11.541814489104013</v>
      </c>
      <c r="G302">
        <f t="shared" si="9"/>
        <v>3.2124679465173624E-3</v>
      </c>
    </row>
    <row r="303" spans="1:7" x14ac:dyDescent="0.2">
      <c r="A303" s="1">
        <v>27030</v>
      </c>
      <c r="B303">
        <v>163022600000</v>
      </c>
      <c r="C303">
        <v>9.73</v>
      </c>
      <c r="D303" s="5">
        <v>46.8</v>
      </c>
      <c r="E303">
        <v>9.6018735362997543E-2</v>
      </c>
      <c r="F303">
        <f t="shared" si="8"/>
        <v>11.542001962218936</v>
      </c>
      <c r="G303">
        <f t="shared" si="9"/>
        <v>5.0740115062371E-4</v>
      </c>
    </row>
    <row r="304" spans="1:7" x14ac:dyDescent="0.2">
      <c r="A304" s="1">
        <v>27061</v>
      </c>
      <c r="B304">
        <v>164772000000</v>
      </c>
      <c r="C304">
        <v>9.2100000000000009</v>
      </c>
      <c r="D304" s="5">
        <v>47.3</v>
      </c>
      <c r="E304">
        <v>9.9999999999999867E-2</v>
      </c>
      <c r="F304">
        <f t="shared" si="8"/>
        <v>11.542022272456775</v>
      </c>
      <c r="G304">
        <f t="shared" si="9"/>
        <v>-3.1302780534407E-3</v>
      </c>
    </row>
    <row r="305" spans="1:7" x14ac:dyDescent="0.2">
      <c r="A305" s="1">
        <v>27089</v>
      </c>
      <c r="B305">
        <v>168816800000</v>
      </c>
      <c r="C305">
        <v>8.85</v>
      </c>
      <c r="D305" s="5">
        <v>47.8</v>
      </c>
      <c r="E305">
        <v>0.10138248847926268</v>
      </c>
      <c r="F305">
        <f t="shared" si="8"/>
        <v>11.547987767148143</v>
      </c>
      <c r="G305">
        <f t="shared" si="9"/>
        <v>-5.1097337224950221E-3</v>
      </c>
    </row>
    <row r="306" spans="1:7" x14ac:dyDescent="0.2">
      <c r="A306" s="1">
        <v>27120</v>
      </c>
      <c r="B306">
        <v>174990900000</v>
      </c>
      <c r="C306">
        <v>10.02</v>
      </c>
      <c r="D306" s="5">
        <v>48.1</v>
      </c>
      <c r="E306">
        <v>0.10068649885583514</v>
      </c>
      <c r="F306">
        <f t="shared" si="8"/>
        <v>11.560870388412217</v>
      </c>
      <c r="G306">
        <f t="shared" si="9"/>
        <v>-1.9199878966268629E-4</v>
      </c>
    </row>
    <row r="307" spans="1:7" x14ac:dyDescent="0.2">
      <c r="A307" s="1">
        <v>27150</v>
      </c>
      <c r="B307">
        <v>177630900000</v>
      </c>
      <c r="C307">
        <v>11.25</v>
      </c>
      <c r="D307" s="5">
        <v>48.6</v>
      </c>
      <c r="E307">
        <v>0.1070615034168565</v>
      </c>
      <c r="F307">
        <f t="shared" si="8"/>
        <v>11.562882246978729</v>
      </c>
      <c r="G307">
        <f t="shared" si="9"/>
        <v>2.1282706327971821E-3</v>
      </c>
    </row>
    <row r="308" spans="1:7" x14ac:dyDescent="0.2">
      <c r="A308" s="1">
        <v>27181</v>
      </c>
      <c r="B308">
        <v>180108200000</v>
      </c>
      <c r="C308">
        <v>11.54</v>
      </c>
      <c r="D308" s="5">
        <v>49</v>
      </c>
      <c r="E308">
        <v>0.10859728506787314</v>
      </c>
      <c r="F308">
        <f t="shared" si="8"/>
        <v>11.565337405881984</v>
      </c>
      <c r="G308">
        <f t="shared" si="9"/>
        <v>2.6568294761204437E-3</v>
      </c>
    </row>
    <row r="309" spans="1:7" x14ac:dyDescent="0.2">
      <c r="A309" s="1">
        <v>27211</v>
      </c>
      <c r="B309">
        <v>183987300000</v>
      </c>
      <c r="C309">
        <v>11.97</v>
      </c>
      <c r="D309" s="5">
        <v>49.3</v>
      </c>
      <c r="E309">
        <v>0.1153846153846152</v>
      </c>
      <c r="F309">
        <f t="shared" si="8"/>
        <v>11.571940926937334</v>
      </c>
      <c r="G309">
        <f t="shared" si="9"/>
        <v>1.6770282804190509E-3</v>
      </c>
    </row>
    <row r="310" spans="1:7" x14ac:dyDescent="0.2">
      <c r="A310" s="1">
        <v>27242</v>
      </c>
      <c r="B310">
        <v>186381900000</v>
      </c>
      <c r="C310">
        <v>12</v>
      </c>
      <c r="D310" s="5">
        <v>49.9</v>
      </c>
      <c r="E310">
        <v>0.10888888888888881</v>
      </c>
      <c r="F310">
        <f t="shared" si="8"/>
        <v>11.57230318904802</v>
      </c>
      <c r="G310">
        <f t="shared" si="9"/>
        <v>4.3299908221354289E-3</v>
      </c>
    </row>
    <row r="311" spans="1:7" x14ac:dyDescent="0.2">
      <c r="A311" s="1">
        <v>27273</v>
      </c>
      <c r="B311">
        <v>187994100000</v>
      </c>
      <c r="C311">
        <v>12</v>
      </c>
      <c r="D311" s="5">
        <v>50.6</v>
      </c>
      <c r="E311">
        <v>0.11946902654867242</v>
      </c>
      <c r="F311">
        <f t="shared" si="8"/>
        <v>11.569993702755525</v>
      </c>
      <c r="G311">
        <f t="shared" si="9"/>
        <v>2.0594064176472442E-4</v>
      </c>
    </row>
    <row r="312" spans="1:7" x14ac:dyDescent="0.2">
      <c r="A312" s="1">
        <v>27303</v>
      </c>
      <c r="B312">
        <v>189230200000</v>
      </c>
      <c r="C312">
        <v>11.68</v>
      </c>
      <c r="D312" s="5">
        <v>51</v>
      </c>
      <c r="E312">
        <v>0.11842105263157898</v>
      </c>
      <c r="F312">
        <f t="shared" si="8"/>
        <v>11.569420272282345</v>
      </c>
      <c r="G312">
        <f t="shared" si="9"/>
        <v>-6.299281544155257E-4</v>
      </c>
    </row>
    <row r="313" spans="1:7" x14ac:dyDescent="0.2">
      <c r="A313" s="1">
        <v>27334</v>
      </c>
      <c r="B313">
        <v>190404700000</v>
      </c>
      <c r="C313">
        <v>10.83</v>
      </c>
      <c r="D313" s="5">
        <v>51.5</v>
      </c>
      <c r="E313">
        <v>0.12200435729847503</v>
      </c>
      <c r="F313">
        <f t="shared" si="8"/>
        <v>11.567870435379492</v>
      </c>
      <c r="G313">
        <f t="shared" si="9"/>
        <v>-5.3372102690636579E-3</v>
      </c>
    </row>
    <row r="314" spans="1:7" x14ac:dyDescent="0.2">
      <c r="A314" s="1">
        <v>27364</v>
      </c>
      <c r="B314">
        <v>191276100000</v>
      </c>
      <c r="C314">
        <v>10.5</v>
      </c>
      <c r="D314" s="5">
        <v>51.9</v>
      </c>
      <c r="E314">
        <v>0.12095032397408212</v>
      </c>
      <c r="F314">
        <f t="shared" si="8"/>
        <v>11.56649335035678</v>
      </c>
      <c r="G314">
        <f t="shared" si="9"/>
        <v>-6.2240888093752361E-3</v>
      </c>
    </row>
    <row r="315" spans="1:7" x14ac:dyDescent="0.2">
      <c r="A315" s="1">
        <v>27395</v>
      </c>
      <c r="B315">
        <v>191586900000</v>
      </c>
      <c r="C315">
        <v>10.050000000000001</v>
      </c>
      <c r="D315" s="5">
        <v>52.3</v>
      </c>
      <c r="E315">
        <v>0.11752136752136755</v>
      </c>
      <c r="F315">
        <f t="shared" si="8"/>
        <v>11.563864121448249</v>
      </c>
      <c r="G315">
        <f t="shared" si="9"/>
        <v>-6.665788903783409E-3</v>
      </c>
    </row>
    <row r="316" spans="1:7" x14ac:dyDescent="0.2">
      <c r="A316" s="1">
        <v>27426</v>
      </c>
      <c r="B316">
        <v>190380500000</v>
      </c>
      <c r="C316">
        <v>8.9600000000000009</v>
      </c>
      <c r="D316" s="5">
        <v>52.6</v>
      </c>
      <c r="E316">
        <v>0.11205073995771686</v>
      </c>
      <c r="F316">
        <f t="shared" si="8"/>
        <v>11.558636718927836</v>
      </c>
      <c r="G316">
        <f t="shared" si="9"/>
        <v>-8.8575088472176398E-3</v>
      </c>
    </row>
    <row r="317" spans="1:7" x14ac:dyDescent="0.2">
      <c r="A317" s="1">
        <v>27454</v>
      </c>
      <c r="B317">
        <v>188119100000</v>
      </c>
      <c r="C317">
        <v>7.93</v>
      </c>
      <c r="D317" s="5">
        <v>52.8</v>
      </c>
      <c r="E317">
        <v>0.10460251046025104</v>
      </c>
      <c r="F317">
        <f t="shared" si="8"/>
        <v>11.55179896979215</v>
      </c>
      <c r="G317">
        <f t="shared" si="9"/>
        <v>-1.0063848861068732E-2</v>
      </c>
    </row>
    <row r="318" spans="1:7" x14ac:dyDescent="0.2">
      <c r="A318" s="1">
        <v>27485</v>
      </c>
      <c r="B318">
        <v>187410900000</v>
      </c>
      <c r="C318">
        <v>7.5</v>
      </c>
      <c r="D318" s="5">
        <v>53</v>
      </c>
      <c r="E318">
        <v>0.10187110187110182</v>
      </c>
      <c r="F318">
        <f t="shared" si="8"/>
        <v>11.548518976674496</v>
      </c>
      <c r="G318">
        <f t="shared" si="9"/>
        <v>-1.0722328975333128E-2</v>
      </c>
    </row>
    <row r="319" spans="1:7" x14ac:dyDescent="0.2">
      <c r="A319" s="1">
        <v>27515</v>
      </c>
      <c r="B319">
        <v>186074000000</v>
      </c>
      <c r="C319">
        <v>7.4</v>
      </c>
      <c r="D319" s="5">
        <v>53.1</v>
      </c>
      <c r="E319">
        <v>9.259259259259256E-2</v>
      </c>
      <c r="F319">
        <f t="shared" si="8"/>
        <v>11.544591172600718</v>
      </c>
      <c r="G319">
        <f t="shared" si="9"/>
        <v>-7.4539704556388312E-3</v>
      </c>
    </row>
    <row r="320" spans="1:7" x14ac:dyDescent="0.2">
      <c r="A320" s="1">
        <v>27546</v>
      </c>
      <c r="B320">
        <v>184638000000</v>
      </c>
      <c r="C320">
        <v>7.07</v>
      </c>
      <c r="D320" s="5">
        <v>53.5</v>
      </c>
      <c r="E320">
        <v>9.1836734693877542E-2</v>
      </c>
      <c r="F320">
        <f t="shared" si="8"/>
        <v>11.537967305199274</v>
      </c>
      <c r="G320">
        <f t="shared" si="9"/>
        <v>-8.48989931739191E-3</v>
      </c>
    </row>
    <row r="321" spans="1:7" x14ac:dyDescent="0.2">
      <c r="A321" s="1">
        <v>27576</v>
      </c>
      <c r="B321">
        <v>183651000000</v>
      </c>
      <c r="C321">
        <v>7.15</v>
      </c>
      <c r="D321" s="5">
        <v>54</v>
      </c>
      <c r="E321">
        <v>9.5334685598377433E-2</v>
      </c>
      <c r="F321">
        <f t="shared" si="8"/>
        <v>11.531599537646253</v>
      </c>
      <c r="G321">
        <f t="shared" si="9"/>
        <v>-9.5546651678911163E-3</v>
      </c>
    </row>
    <row r="322" spans="1:7" x14ac:dyDescent="0.2">
      <c r="A322" s="1">
        <v>27607</v>
      </c>
      <c r="B322">
        <v>182928200000</v>
      </c>
      <c r="C322">
        <v>7.66</v>
      </c>
      <c r="D322" s="5">
        <v>54.2</v>
      </c>
      <c r="E322">
        <v>8.6172344689378955E-2</v>
      </c>
      <c r="F322">
        <f t="shared" si="8"/>
        <v>11.528281374434703</v>
      </c>
      <c r="G322">
        <f t="shared" si="9"/>
        <v>-3.8443654353280364E-3</v>
      </c>
    </row>
    <row r="323" spans="1:7" x14ac:dyDescent="0.2">
      <c r="A323" s="1">
        <v>27638</v>
      </c>
      <c r="B323">
        <v>182822000000</v>
      </c>
      <c r="C323">
        <v>7.88</v>
      </c>
      <c r="D323" s="5">
        <v>54.6</v>
      </c>
      <c r="E323">
        <v>7.9051383399209474E-2</v>
      </c>
      <c r="F323">
        <f t="shared" si="8"/>
        <v>11.524835812936548</v>
      </c>
      <c r="G323">
        <f t="shared" si="9"/>
        <v>-1.0118808408452868E-4</v>
      </c>
    </row>
    <row r="324" spans="1:7" x14ac:dyDescent="0.2">
      <c r="A324" s="1">
        <v>27668</v>
      </c>
      <c r="B324">
        <v>182714200000</v>
      </c>
      <c r="C324">
        <v>7.96</v>
      </c>
      <c r="D324" s="5">
        <v>54.9</v>
      </c>
      <c r="E324">
        <v>7.6470588235294068E-2</v>
      </c>
      <c r="F324">
        <f t="shared" ref="F324:F387" si="10">LOG(B324/D324*100)</f>
        <v>11.522199956279552</v>
      </c>
      <c r="G324">
        <f t="shared" ref="G324:G387" si="11">LOG((1+C324/100)/(1+E324))</f>
        <v>1.2607075323235225E-3</v>
      </c>
    </row>
    <row r="325" spans="1:7" x14ac:dyDescent="0.2">
      <c r="A325" s="1">
        <v>27699</v>
      </c>
      <c r="B325">
        <v>182618900000</v>
      </c>
      <c r="C325">
        <v>7.53</v>
      </c>
      <c r="D325" s="5">
        <v>55.3</v>
      </c>
      <c r="E325">
        <v>7.3786407766990303E-2</v>
      </c>
      <c r="F325">
        <f t="shared" si="10"/>
        <v>11.518820591186815</v>
      </c>
      <c r="G325">
        <f t="shared" si="11"/>
        <v>6.1174353991547148E-4</v>
      </c>
    </row>
    <row r="326" spans="1:7" x14ac:dyDescent="0.2">
      <c r="A326" s="1">
        <v>27729</v>
      </c>
      <c r="B326">
        <v>183358600000</v>
      </c>
      <c r="C326">
        <v>7.26</v>
      </c>
      <c r="D326" s="5">
        <v>55.6</v>
      </c>
      <c r="E326">
        <v>7.1290944123314048E-2</v>
      </c>
      <c r="F326">
        <f t="shared" si="10"/>
        <v>11.51822649274431</v>
      </c>
      <c r="G326">
        <f t="shared" si="11"/>
        <v>5.3035889344965192E-4</v>
      </c>
    </row>
    <row r="327" spans="1:7" x14ac:dyDescent="0.2">
      <c r="A327" s="1">
        <v>27760</v>
      </c>
      <c r="B327">
        <v>182648100000</v>
      </c>
      <c r="C327">
        <v>7</v>
      </c>
      <c r="D327" s="5">
        <v>55.8</v>
      </c>
      <c r="E327">
        <v>6.6921606118546917E-2</v>
      </c>
      <c r="F327">
        <f t="shared" si="10"/>
        <v>11.514980959878041</v>
      </c>
      <c r="G327">
        <f t="shared" si="11"/>
        <v>1.251267614905084E-3</v>
      </c>
    </row>
    <row r="328" spans="1:7" x14ac:dyDescent="0.2">
      <c r="A328" s="1">
        <v>27791</v>
      </c>
      <c r="B328">
        <v>182044400000</v>
      </c>
      <c r="C328">
        <v>6.75</v>
      </c>
      <c r="D328" s="5">
        <v>55.9</v>
      </c>
      <c r="E328">
        <v>6.2737642585551257E-2</v>
      </c>
      <c r="F328">
        <f t="shared" si="10"/>
        <v>11.51276551594105</v>
      </c>
      <c r="G328">
        <f t="shared" si="11"/>
        <v>1.9418199643772341E-3</v>
      </c>
    </row>
    <row r="329" spans="1:7" x14ac:dyDescent="0.2">
      <c r="A329" s="1">
        <v>27820</v>
      </c>
      <c r="B329">
        <v>179487700000</v>
      </c>
      <c r="C329">
        <v>6.75</v>
      </c>
      <c r="D329" s="5">
        <v>56</v>
      </c>
      <c r="E329">
        <v>6.0606060606060552E-2</v>
      </c>
      <c r="F329">
        <f t="shared" si="10"/>
        <v>11.505846665433728</v>
      </c>
      <c r="G329">
        <f t="shared" si="11"/>
        <v>2.8137792246732954E-3</v>
      </c>
    </row>
    <row r="330" spans="1:7" x14ac:dyDescent="0.2">
      <c r="A330" s="1">
        <v>27851</v>
      </c>
      <c r="B330">
        <v>177475500000</v>
      </c>
      <c r="C330">
        <v>6.75</v>
      </c>
      <c r="D330" s="5">
        <v>56.1</v>
      </c>
      <c r="E330">
        <v>5.8490566037735947E-2</v>
      </c>
      <c r="F330">
        <f t="shared" si="10"/>
        <v>11.50017554712538</v>
      </c>
      <c r="G330">
        <f t="shared" si="11"/>
        <v>3.6808920416890305E-3</v>
      </c>
    </row>
    <row r="331" spans="1:7" x14ac:dyDescent="0.2">
      <c r="A331" s="1">
        <v>27881</v>
      </c>
      <c r="B331">
        <v>178432600000</v>
      </c>
      <c r="C331">
        <v>6.75</v>
      </c>
      <c r="D331" s="5">
        <v>56.4</v>
      </c>
      <c r="E331">
        <v>6.2146892655367214E-2</v>
      </c>
      <c r="F331">
        <f t="shared" si="10"/>
        <v>11.500195099793777</v>
      </c>
      <c r="G331">
        <f t="shared" si="11"/>
        <v>2.1833007951882503E-3</v>
      </c>
    </row>
    <row r="332" spans="1:7" x14ac:dyDescent="0.2">
      <c r="A332" s="1">
        <v>27912</v>
      </c>
      <c r="B332">
        <v>179102000000</v>
      </c>
      <c r="C332">
        <v>7.2</v>
      </c>
      <c r="D332" s="5">
        <v>56.7</v>
      </c>
      <c r="E332">
        <v>5.9813084112149584E-2</v>
      </c>
      <c r="F332">
        <f t="shared" si="10"/>
        <v>11.499517376672005</v>
      </c>
      <c r="G332">
        <f t="shared" si="11"/>
        <v>4.9655084850730932E-3</v>
      </c>
    </row>
    <row r="333" spans="1:7" x14ac:dyDescent="0.2">
      <c r="A333" s="1">
        <v>27942</v>
      </c>
      <c r="B333">
        <v>179142300000</v>
      </c>
      <c r="C333">
        <v>7.25</v>
      </c>
      <c r="D333" s="5">
        <v>57</v>
      </c>
      <c r="E333">
        <v>5.555555555555558E-2</v>
      </c>
      <c r="F333">
        <f t="shared" si="10"/>
        <v>11.497323290129231</v>
      </c>
      <c r="G333">
        <f t="shared" si="11"/>
        <v>6.9162050072389437E-3</v>
      </c>
    </row>
    <row r="334" spans="1:7" x14ac:dyDescent="0.2">
      <c r="A334" s="1">
        <v>27973</v>
      </c>
      <c r="B334">
        <v>179794900000</v>
      </c>
      <c r="C334">
        <v>7.01</v>
      </c>
      <c r="D334" s="5">
        <v>57.3</v>
      </c>
      <c r="E334">
        <v>5.719557195571956E-2</v>
      </c>
      <c r="F334">
        <f t="shared" si="10"/>
        <v>11.496622746557346</v>
      </c>
      <c r="G334">
        <f t="shared" si="11"/>
        <v>5.2690286290134189E-3</v>
      </c>
    </row>
    <row r="335" spans="1:7" x14ac:dyDescent="0.2">
      <c r="A335" s="1">
        <v>28004</v>
      </c>
      <c r="B335">
        <v>181173200000</v>
      </c>
      <c r="C335">
        <v>7</v>
      </c>
      <c r="D335" s="5">
        <v>57.6</v>
      </c>
      <c r="E335">
        <v>5.4945054945054972E-2</v>
      </c>
      <c r="F335">
        <f t="shared" si="10"/>
        <v>11.497671471766768</v>
      </c>
      <c r="G335">
        <f t="shared" si="11"/>
        <v>6.1539369667348793E-3</v>
      </c>
    </row>
    <row r="336" spans="1:7" x14ac:dyDescent="0.2">
      <c r="A336" s="1">
        <v>28034</v>
      </c>
      <c r="B336">
        <v>182438300000</v>
      </c>
      <c r="C336">
        <v>6.77</v>
      </c>
      <c r="D336" s="5">
        <v>57.9</v>
      </c>
      <c r="E336">
        <v>5.464480874316946E-2</v>
      </c>
      <c r="F336">
        <f t="shared" si="10"/>
        <v>11.498437453009306</v>
      </c>
      <c r="G336">
        <f t="shared" si="11"/>
        <v>5.3430234461640611E-3</v>
      </c>
    </row>
    <row r="337" spans="1:7" x14ac:dyDescent="0.2">
      <c r="A337" s="1">
        <v>28065</v>
      </c>
      <c r="B337">
        <v>183900500000</v>
      </c>
      <c r="C337">
        <v>6.5</v>
      </c>
      <c r="D337" s="5">
        <v>58.1</v>
      </c>
      <c r="E337">
        <v>5.0632911392405111E-2</v>
      </c>
      <c r="F337">
        <f t="shared" si="10"/>
        <v>11.500406777635924</v>
      </c>
      <c r="G337">
        <f t="shared" si="11"/>
        <v>5.8986066891239886E-3</v>
      </c>
    </row>
    <row r="338" spans="1:7" x14ac:dyDescent="0.2">
      <c r="A338" s="1">
        <v>28095</v>
      </c>
      <c r="B338">
        <v>185247800000</v>
      </c>
      <c r="C338">
        <v>6.35</v>
      </c>
      <c r="D338" s="5">
        <v>58.4</v>
      </c>
      <c r="E338">
        <v>5.0359712230215736E-2</v>
      </c>
      <c r="F338">
        <f t="shared" si="10"/>
        <v>11.501340211895061</v>
      </c>
      <c r="G338">
        <f t="shared" si="11"/>
        <v>5.3994387084057198E-3</v>
      </c>
    </row>
    <row r="339" spans="1:7" x14ac:dyDescent="0.2">
      <c r="A339" s="1">
        <v>28126</v>
      </c>
      <c r="B339">
        <v>185787400000</v>
      </c>
      <c r="C339">
        <v>6.25</v>
      </c>
      <c r="D339" s="5">
        <v>58.7</v>
      </c>
      <c r="E339">
        <v>5.1971326164874654E-2</v>
      </c>
      <c r="F339">
        <f t="shared" si="10"/>
        <v>11.500378155794156</v>
      </c>
      <c r="G339">
        <f t="shared" si="11"/>
        <v>4.3250364123133588E-3</v>
      </c>
    </row>
    <row r="340" spans="1:7" x14ac:dyDescent="0.2">
      <c r="A340" s="1">
        <v>28157</v>
      </c>
      <c r="B340">
        <v>187411300000</v>
      </c>
      <c r="C340">
        <v>6.25</v>
      </c>
      <c r="D340" s="5">
        <v>59.3</v>
      </c>
      <c r="E340">
        <v>6.0822898032200312E-2</v>
      </c>
      <c r="F340">
        <f t="shared" si="10"/>
        <v>11.499741079845407</v>
      </c>
      <c r="G340">
        <f t="shared" si="11"/>
        <v>6.8605324450983084E-4</v>
      </c>
    </row>
    <row r="341" spans="1:7" x14ac:dyDescent="0.2">
      <c r="A341" s="1">
        <v>28185</v>
      </c>
      <c r="B341">
        <v>189154700000</v>
      </c>
      <c r="C341">
        <v>6.25</v>
      </c>
      <c r="D341" s="5">
        <v>59.6</v>
      </c>
      <c r="E341">
        <v>6.4285714285714279E-2</v>
      </c>
      <c r="F341">
        <f t="shared" si="10"/>
        <v>11.50157087710558</v>
      </c>
      <c r="G341">
        <f t="shared" si="11"/>
        <v>-7.2929401168687566E-4</v>
      </c>
    </row>
    <row r="342" spans="1:7" x14ac:dyDescent="0.2">
      <c r="A342" s="1">
        <v>28216</v>
      </c>
      <c r="B342">
        <v>190294800000</v>
      </c>
      <c r="C342">
        <v>6.25</v>
      </c>
      <c r="D342" s="5">
        <v>60</v>
      </c>
      <c r="E342">
        <v>6.9518716577540163E-2</v>
      </c>
      <c r="F342">
        <f t="shared" si="10"/>
        <v>11.501275670524706</v>
      </c>
      <c r="G342">
        <f t="shared" si="11"/>
        <v>-2.8594504051330898E-3</v>
      </c>
    </row>
    <row r="343" spans="1:7" x14ac:dyDescent="0.2">
      <c r="A343" s="1">
        <v>28246</v>
      </c>
      <c r="B343">
        <v>191779700000</v>
      </c>
      <c r="C343">
        <v>6.41</v>
      </c>
      <c r="D343" s="5">
        <v>60.2</v>
      </c>
      <c r="E343">
        <v>6.7375886524822848E-2</v>
      </c>
      <c r="F343">
        <f t="shared" si="10"/>
        <v>11.503206143669807</v>
      </c>
      <c r="G343">
        <f t="shared" si="11"/>
        <v>-1.3349440828770921E-3</v>
      </c>
    </row>
    <row r="344" spans="1:7" x14ac:dyDescent="0.2">
      <c r="A344" s="1">
        <v>28277</v>
      </c>
      <c r="B344">
        <v>193554800000</v>
      </c>
      <c r="C344">
        <v>6.75</v>
      </c>
      <c r="D344" s="5">
        <v>60.5</v>
      </c>
      <c r="E344">
        <v>6.7019400352733571E-2</v>
      </c>
      <c r="F344">
        <f t="shared" si="10"/>
        <v>11.505048571282353</v>
      </c>
      <c r="G344">
        <f t="shared" si="11"/>
        <v>1.9556793749914066E-4</v>
      </c>
    </row>
    <row r="345" spans="1:7" x14ac:dyDescent="0.2">
      <c r="A345" s="1">
        <v>28307</v>
      </c>
      <c r="B345">
        <v>195183500000</v>
      </c>
      <c r="C345">
        <v>6.75</v>
      </c>
      <c r="D345" s="5">
        <v>60.8</v>
      </c>
      <c r="E345">
        <v>6.6666666666666652E-2</v>
      </c>
      <c r="F345">
        <f t="shared" si="10"/>
        <v>11.506539522163324</v>
      </c>
      <c r="G345">
        <f t="shared" si="11"/>
        <v>3.3916009681791612E-4</v>
      </c>
    </row>
    <row r="346" spans="1:7" x14ac:dyDescent="0.2">
      <c r="A346" s="1">
        <v>28338</v>
      </c>
      <c r="B346">
        <v>197488100000</v>
      </c>
      <c r="C346">
        <v>6.83</v>
      </c>
      <c r="D346" s="5">
        <v>61.1</v>
      </c>
      <c r="E346">
        <v>6.6317626527050644E-2</v>
      </c>
      <c r="F346">
        <f t="shared" si="10"/>
        <v>11.509499721314668</v>
      </c>
      <c r="G346">
        <f t="shared" si="11"/>
        <v>8.0664011875187472E-4</v>
      </c>
    </row>
    <row r="347" spans="1:7" x14ac:dyDescent="0.2">
      <c r="A347" s="1">
        <v>28369</v>
      </c>
      <c r="B347">
        <v>198999100000</v>
      </c>
      <c r="C347">
        <v>7.13</v>
      </c>
      <c r="D347" s="5">
        <v>61.3</v>
      </c>
      <c r="E347">
        <v>6.4236111111110938E-2</v>
      </c>
      <c r="F347">
        <f t="shared" si="10"/>
        <v>11.511390637740952</v>
      </c>
      <c r="G347">
        <f t="shared" si="11"/>
        <v>2.8731138172414256E-3</v>
      </c>
    </row>
    <row r="348" spans="1:7" x14ac:dyDescent="0.2">
      <c r="A348" s="1">
        <v>28399</v>
      </c>
      <c r="B348">
        <v>201254500000</v>
      </c>
      <c r="C348">
        <v>7.52</v>
      </c>
      <c r="D348" s="5">
        <v>61.6</v>
      </c>
      <c r="E348">
        <v>6.390328151986191E-2</v>
      </c>
      <c r="F348">
        <f t="shared" si="10"/>
        <v>11.514164887699428</v>
      </c>
      <c r="G348">
        <f t="shared" si="11"/>
        <v>4.5871072727606882E-3</v>
      </c>
    </row>
    <row r="349" spans="1:7" x14ac:dyDescent="0.2">
      <c r="A349" s="1">
        <v>28430</v>
      </c>
      <c r="B349">
        <v>202939700000</v>
      </c>
      <c r="C349">
        <v>7.75</v>
      </c>
      <c r="D349" s="5">
        <v>62</v>
      </c>
      <c r="E349">
        <v>6.7125645438898429E-2</v>
      </c>
      <c r="F349">
        <f t="shared" si="10"/>
        <v>11.514975324535543</v>
      </c>
      <c r="G349">
        <f t="shared" si="11"/>
        <v>4.2017217248460107E-3</v>
      </c>
    </row>
    <row r="350" spans="1:7" x14ac:dyDescent="0.2">
      <c r="A350" s="1">
        <v>28460</v>
      </c>
      <c r="B350">
        <v>204677400000</v>
      </c>
      <c r="C350">
        <v>7.75</v>
      </c>
      <c r="D350" s="5">
        <v>62.3</v>
      </c>
      <c r="E350">
        <v>6.6780821917808098E-2</v>
      </c>
      <c r="F350">
        <f t="shared" si="10"/>
        <v>11.516581844869243</v>
      </c>
      <c r="G350">
        <f t="shared" si="11"/>
        <v>4.3420792859990729E-3</v>
      </c>
    </row>
    <row r="351" spans="1:7" x14ac:dyDescent="0.2">
      <c r="A351" s="1">
        <v>28491</v>
      </c>
      <c r="B351">
        <v>207293100000</v>
      </c>
      <c r="C351">
        <v>7.93</v>
      </c>
      <c r="D351" s="5">
        <v>62.7</v>
      </c>
      <c r="E351">
        <v>6.8143100511073307E-2</v>
      </c>
      <c r="F351">
        <f t="shared" si="10"/>
        <v>11.51931730548988</v>
      </c>
      <c r="G351">
        <f t="shared" si="11"/>
        <v>4.5127374775226561E-3</v>
      </c>
    </row>
    <row r="352" spans="1:7" x14ac:dyDescent="0.2">
      <c r="A352" s="1">
        <v>28522</v>
      </c>
      <c r="B352">
        <v>210259000000</v>
      </c>
      <c r="C352">
        <v>8</v>
      </c>
      <c r="D352" s="5">
        <v>63</v>
      </c>
      <c r="E352">
        <v>6.2394603709949426E-2</v>
      </c>
      <c r="F352">
        <f t="shared" si="10"/>
        <v>11.523414045107604</v>
      </c>
      <c r="G352">
        <f t="shared" si="11"/>
        <v>7.1378993976306503E-3</v>
      </c>
    </row>
    <row r="353" spans="1:7" x14ac:dyDescent="0.2">
      <c r="A353" s="1">
        <v>28550</v>
      </c>
      <c r="B353">
        <v>213605800000</v>
      </c>
      <c r="C353">
        <v>8</v>
      </c>
      <c r="D353" s="5">
        <v>63.4</v>
      </c>
      <c r="E353">
        <v>6.3758389261744819E-2</v>
      </c>
      <c r="F353">
        <f t="shared" si="10"/>
        <v>11.527523782955109</v>
      </c>
      <c r="G353">
        <f t="shared" si="11"/>
        <v>6.580757345453556E-3</v>
      </c>
    </row>
    <row r="354" spans="1:7" x14ac:dyDescent="0.2">
      <c r="A354" s="1">
        <v>28581</v>
      </c>
      <c r="B354">
        <v>216997900000</v>
      </c>
      <c r="C354">
        <v>8</v>
      </c>
      <c r="D354" s="5">
        <v>63.9</v>
      </c>
      <c r="E354">
        <v>6.4999999999999947E-2</v>
      </c>
      <c r="F354">
        <f t="shared" si="10"/>
        <v>11.530954672819968</v>
      </c>
      <c r="G354">
        <f t="shared" si="11"/>
        <v>6.0741477121932612E-3</v>
      </c>
    </row>
    <row r="355" spans="1:7" x14ac:dyDescent="0.2">
      <c r="A355" s="1">
        <v>28611</v>
      </c>
      <c r="B355">
        <v>220400500000</v>
      </c>
      <c r="C355">
        <v>8.27</v>
      </c>
      <c r="D355" s="5">
        <v>64.5</v>
      </c>
      <c r="E355">
        <v>7.1428571428571397E-2</v>
      </c>
      <c r="F355">
        <f t="shared" si="10"/>
        <v>11.533652860784928</v>
      </c>
      <c r="G355">
        <f t="shared" si="11"/>
        <v>4.5449134017264388E-3</v>
      </c>
    </row>
    <row r="356" spans="1:7" x14ac:dyDescent="0.2">
      <c r="A356" s="1">
        <v>28642</v>
      </c>
      <c r="B356">
        <v>223475900000</v>
      </c>
      <c r="C356">
        <v>8.6300000000000008</v>
      </c>
      <c r="D356" s="5">
        <v>65</v>
      </c>
      <c r="E356">
        <v>7.4380165289256173E-2</v>
      </c>
      <c r="F356">
        <f t="shared" si="10"/>
        <v>11.536317338335813</v>
      </c>
      <c r="G356">
        <f t="shared" si="11"/>
        <v>4.7917975462874185E-3</v>
      </c>
    </row>
    <row r="357" spans="1:7" x14ac:dyDescent="0.2">
      <c r="A357" s="1">
        <v>28672</v>
      </c>
      <c r="B357">
        <v>226225800000</v>
      </c>
      <c r="C357">
        <v>9</v>
      </c>
      <c r="D357" s="5">
        <v>65.5</v>
      </c>
      <c r="E357">
        <v>7.7302631578947345E-2</v>
      </c>
      <c r="F357">
        <f t="shared" si="10"/>
        <v>11.538300832687314</v>
      </c>
      <c r="G357">
        <f t="shared" si="11"/>
        <v>5.0887772215755652E-3</v>
      </c>
    </row>
    <row r="358" spans="1:7" x14ac:dyDescent="0.2">
      <c r="A358" s="1">
        <v>28703</v>
      </c>
      <c r="B358">
        <v>228362300000</v>
      </c>
      <c r="C358">
        <v>9.01</v>
      </c>
      <c r="D358" s="5">
        <v>65.900000000000006</v>
      </c>
      <c r="E358">
        <v>7.8559738134206247E-2</v>
      </c>
      <c r="F358">
        <f t="shared" si="10"/>
        <v>11.539738993852906</v>
      </c>
      <c r="G358">
        <f t="shared" si="11"/>
        <v>4.6221352920448044E-3</v>
      </c>
    </row>
    <row r="359" spans="1:7" x14ac:dyDescent="0.2">
      <c r="A359" s="1">
        <v>28734</v>
      </c>
      <c r="B359">
        <v>230501100000</v>
      </c>
      <c r="C359">
        <v>9.41</v>
      </c>
      <c r="D359" s="5">
        <v>66.5</v>
      </c>
      <c r="E359">
        <v>8.4828711256117462E-2</v>
      </c>
      <c r="F359">
        <f t="shared" si="10"/>
        <v>11.539851356972628</v>
      </c>
      <c r="G359">
        <f t="shared" si="11"/>
        <v>3.6958472487542528E-3</v>
      </c>
    </row>
    <row r="360" spans="1:7" x14ac:dyDescent="0.2">
      <c r="A360" s="1">
        <v>28764</v>
      </c>
      <c r="B360">
        <v>232924900000</v>
      </c>
      <c r="C360">
        <v>9.94</v>
      </c>
      <c r="D360" s="5">
        <v>67.099999999999994</v>
      </c>
      <c r="E360">
        <v>8.9285714285714191E-2</v>
      </c>
      <c r="F360">
        <f t="shared" si="10"/>
        <v>11.540493397539439</v>
      </c>
      <c r="G360">
        <f t="shared" si="11"/>
        <v>4.0139246251451053E-3</v>
      </c>
    </row>
    <row r="361" spans="1:7" x14ac:dyDescent="0.2">
      <c r="A361" s="1">
        <v>28795</v>
      </c>
      <c r="B361">
        <v>235806200000</v>
      </c>
      <c r="C361">
        <v>10.94</v>
      </c>
      <c r="D361" s="5">
        <v>67.5</v>
      </c>
      <c r="E361">
        <v>8.870967741935476E-2</v>
      </c>
      <c r="F361">
        <f t="shared" si="10"/>
        <v>11.543251446886439</v>
      </c>
      <c r="G361">
        <f t="shared" si="11"/>
        <v>8.1760782100456109E-3</v>
      </c>
    </row>
    <row r="362" spans="1:7" x14ac:dyDescent="0.2">
      <c r="A362" s="1">
        <v>28825</v>
      </c>
      <c r="B362">
        <v>237239400000</v>
      </c>
      <c r="C362">
        <v>11.55</v>
      </c>
      <c r="D362" s="5">
        <v>67.900000000000006</v>
      </c>
      <c r="E362">
        <v>8.9887640449438422E-2</v>
      </c>
      <c r="F362">
        <f t="shared" si="10"/>
        <v>11.543317042711976</v>
      </c>
      <c r="G362">
        <f t="shared" si="11"/>
        <v>1.0087846998524313E-2</v>
      </c>
    </row>
    <row r="363" spans="1:7" x14ac:dyDescent="0.2">
      <c r="A363" s="1">
        <v>28856</v>
      </c>
      <c r="B363">
        <v>239757000000</v>
      </c>
      <c r="C363">
        <v>11.75</v>
      </c>
      <c r="D363" s="5">
        <v>68.5</v>
      </c>
      <c r="E363">
        <v>9.2503987240829311E-2</v>
      </c>
      <c r="F363">
        <f t="shared" si="10"/>
        <v>11.544080724296027</v>
      </c>
      <c r="G363">
        <f t="shared" si="11"/>
        <v>9.8245011422649423E-3</v>
      </c>
    </row>
    <row r="364" spans="1:7" x14ac:dyDescent="0.2">
      <c r="A364" s="1">
        <v>28887</v>
      </c>
      <c r="B364">
        <v>243876600000</v>
      </c>
      <c r="C364">
        <v>11.75</v>
      </c>
      <c r="D364" s="5">
        <v>69.2</v>
      </c>
      <c r="E364">
        <v>9.8412698412698507E-2</v>
      </c>
      <c r="F364">
        <f t="shared" si="10"/>
        <v>11.547064037228816</v>
      </c>
      <c r="G364">
        <f t="shared" si="11"/>
        <v>7.4819868007978936E-3</v>
      </c>
    </row>
    <row r="365" spans="1:7" x14ac:dyDescent="0.2">
      <c r="A365" s="1">
        <v>28915</v>
      </c>
      <c r="B365">
        <v>247893300000</v>
      </c>
      <c r="C365">
        <v>11.75</v>
      </c>
      <c r="D365" s="5">
        <v>69.900000000000006</v>
      </c>
      <c r="E365">
        <v>0.10252365930599372</v>
      </c>
      <c r="F365">
        <f t="shared" si="10"/>
        <v>11.54978761317482</v>
      </c>
      <c r="G365">
        <f t="shared" si="11"/>
        <v>5.8596139400252985E-3</v>
      </c>
    </row>
    <row r="366" spans="1:7" x14ac:dyDescent="0.2">
      <c r="A366" s="1">
        <v>28946</v>
      </c>
      <c r="B366">
        <v>253760900000</v>
      </c>
      <c r="C366">
        <v>11.75</v>
      </c>
      <c r="D366" s="5">
        <v>70.599999999999994</v>
      </c>
      <c r="E366">
        <v>0.10485133020344284</v>
      </c>
      <c r="F366">
        <f t="shared" si="10"/>
        <v>11.555620004877087</v>
      </c>
      <c r="G366">
        <f t="shared" si="11"/>
        <v>4.9436889105704939E-3</v>
      </c>
    </row>
    <row r="367" spans="1:7" x14ac:dyDescent="0.2">
      <c r="A367" s="1">
        <v>28976</v>
      </c>
      <c r="B367">
        <v>258734899999.99997</v>
      </c>
      <c r="C367">
        <v>11.75</v>
      </c>
      <c r="D367" s="5">
        <v>71.400000000000006</v>
      </c>
      <c r="E367">
        <v>0.10697674418604652</v>
      </c>
      <c r="F367">
        <f t="shared" si="10"/>
        <v>11.559156801614272</v>
      </c>
      <c r="G367">
        <f t="shared" si="11"/>
        <v>4.1090346630673997E-3</v>
      </c>
    </row>
    <row r="368" spans="1:7" x14ac:dyDescent="0.2">
      <c r="A368" s="1">
        <v>29007</v>
      </c>
      <c r="B368">
        <v>263481499999.99997</v>
      </c>
      <c r="C368">
        <v>11.65</v>
      </c>
      <c r="D368" s="5">
        <v>72.2</v>
      </c>
      <c r="E368">
        <v>0.11076923076923073</v>
      </c>
      <c r="F368">
        <f t="shared" si="10"/>
        <v>11.562212929645064</v>
      </c>
      <c r="G368">
        <f t="shared" si="11"/>
        <v>2.2348864806732735E-3</v>
      </c>
    </row>
    <row r="369" spans="1:7" x14ac:dyDescent="0.2">
      <c r="A369" s="1">
        <v>29037</v>
      </c>
      <c r="B369">
        <v>267863099999.99997</v>
      </c>
      <c r="C369">
        <v>11.54</v>
      </c>
      <c r="D369" s="5">
        <v>73</v>
      </c>
      <c r="E369">
        <v>0.11450381679389321</v>
      </c>
      <c r="F369">
        <f t="shared" si="10"/>
        <v>11.5645900305309</v>
      </c>
      <c r="G369">
        <f t="shared" si="11"/>
        <v>3.4908002686932587E-4</v>
      </c>
    </row>
    <row r="370" spans="1:7" x14ac:dyDescent="0.2">
      <c r="A370" s="1">
        <v>29068</v>
      </c>
      <c r="B370">
        <v>270645200000</v>
      </c>
      <c r="C370">
        <v>11.91</v>
      </c>
      <c r="D370" s="5">
        <v>73.7</v>
      </c>
      <c r="E370">
        <v>0.11836115326251884</v>
      </c>
      <c r="F370">
        <f t="shared" si="10"/>
        <v>11.564932841251387</v>
      </c>
      <c r="G370">
        <f t="shared" si="11"/>
        <v>2.8682247488898789E-4</v>
      </c>
    </row>
    <row r="371" spans="1:7" x14ac:dyDescent="0.2">
      <c r="A371" s="1">
        <v>29099</v>
      </c>
      <c r="B371">
        <v>274376100000</v>
      </c>
      <c r="C371">
        <v>12.9</v>
      </c>
      <c r="D371" s="5">
        <v>74.400000000000006</v>
      </c>
      <c r="E371">
        <v>0.11879699248120312</v>
      </c>
      <c r="F371">
        <f t="shared" si="10"/>
        <v>11.56677334317188</v>
      </c>
      <c r="G371">
        <f t="shared" si="11"/>
        <v>3.9426516821937218E-3</v>
      </c>
    </row>
    <row r="372" spans="1:7" x14ac:dyDescent="0.2">
      <c r="A372" s="1">
        <v>29129</v>
      </c>
      <c r="B372">
        <v>276150600000</v>
      </c>
      <c r="C372">
        <v>14.39</v>
      </c>
      <c r="D372" s="5">
        <v>75.2</v>
      </c>
      <c r="E372">
        <v>0.12071535022354718</v>
      </c>
      <c r="F372">
        <f t="shared" si="10"/>
        <v>11.564928150572639</v>
      </c>
      <c r="G372">
        <f t="shared" si="11"/>
        <v>8.8927395706827877E-3</v>
      </c>
    </row>
    <row r="373" spans="1:7" x14ac:dyDescent="0.2">
      <c r="A373" s="1">
        <v>29160</v>
      </c>
      <c r="B373">
        <v>277238200000</v>
      </c>
      <c r="C373">
        <v>15.55</v>
      </c>
      <c r="D373" s="5">
        <v>76</v>
      </c>
      <c r="E373">
        <v>0.125925925925926</v>
      </c>
      <c r="F373">
        <f t="shared" si="10"/>
        <v>11.562039478197955</v>
      </c>
      <c r="G373">
        <f t="shared" si="11"/>
        <v>1.1260130365361616E-2</v>
      </c>
    </row>
    <row r="374" spans="1:7" x14ac:dyDescent="0.2">
      <c r="A374" s="1">
        <v>29190</v>
      </c>
      <c r="B374">
        <v>279725700000</v>
      </c>
      <c r="C374">
        <v>15.3</v>
      </c>
      <c r="D374" s="5">
        <v>76.900000000000006</v>
      </c>
      <c r="E374">
        <v>0.13254786450662737</v>
      </c>
      <c r="F374">
        <f t="shared" si="10"/>
        <v>11.560806029521258</v>
      </c>
      <c r="G374">
        <f t="shared" si="11"/>
        <v>7.7727417737696522E-3</v>
      </c>
    </row>
    <row r="375" spans="1:7" x14ac:dyDescent="0.2">
      <c r="A375" s="1">
        <v>29221</v>
      </c>
      <c r="B375">
        <v>281850100000</v>
      </c>
      <c r="C375">
        <v>15.25</v>
      </c>
      <c r="D375" s="5">
        <v>78</v>
      </c>
      <c r="E375">
        <v>0.13868613138686126</v>
      </c>
      <c r="F375">
        <f t="shared" si="10"/>
        <v>11.557923590552797</v>
      </c>
      <c r="G375">
        <f t="shared" si="11"/>
        <v>5.2369028636309409E-3</v>
      </c>
    </row>
    <row r="376" spans="1:7" x14ac:dyDescent="0.2">
      <c r="A376" s="1">
        <v>29252</v>
      </c>
      <c r="B376">
        <v>285673100000</v>
      </c>
      <c r="C376">
        <v>15.63</v>
      </c>
      <c r="D376" s="5">
        <v>79</v>
      </c>
      <c r="E376">
        <v>0.14161849710982644</v>
      </c>
      <c r="F376">
        <f t="shared" si="10"/>
        <v>11.558242256297133</v>
      </c>
      <c r="G376">
        <f t="shared" si="11"/>
        <v>5.5495288092766645E-3</v>
      </c>
    </row>
    <row r="377" spans="1:7" x14ac:dyDescent="0.2">
      <c r="A377" s="1">
        <v>29281</v>
      </c>
      <c r="B377">
        <v>289384400000</v>
      </c>
      <c r="C377">
        <v>18.309999999999999</v>
      </c>
      <c r="D377" s="5">
        <v>80.099999999999994</v>
      </c>
      <c r="E377">
        <v>0.14592274678111572</v>
      </c>
      <c r="F377">
        <f t="shared" si="10"/>
        <v>11.557842599584317</v>
      </c>
      <c r="G377">
        <f t="shared" si="11"/>
        <v>1.3866114021182796E-2</v>
      </c>
    </row>
    <row r="378" spans="1:7" x14ac:dyDescent="0.2">
      <c r="A378" s="1">
        <v>29312</v>
      </c>
      <c r="B378">
        <v>290601800000</v>
      </c>
      <c r="C378">
        <v>19.77</v>
      </c>
      <c r="D378" s="5">
        <v>80.900000000000006</v>
      </c>
      <c r="E378">
        <v>0.14589235127478761</v>
      </c>
      <c r="F378">
        <f t="shared" si="10"/>
        <v>11.555349778396689</v>
      </c>
      <c r="G378">
        <f t="shared" si="11"/>
        <v>1.9204228994888512E-2</v>
      </c>
    </row>
    <row r="379" spans="1:7" x14ac:dyDescent="0.2">
      <c r="A379" s="1">
        <v>29342</v>
      </c>
      <c r="B379">
        <v>287878400000</v>
      </c>
      <c r="C379">
        <v>16.57</v>
      </c>
      <c r="D379" s="5">
        <v>81.7</v>
      </c>
      <c r="E379">
        <v>0.14425770308123242</v>
      </c>
      <c r="F379">
        <f t="shared" si="10"/>
        <v>11.54698702372348</v>
      </c>
      <c r="G379">
        <f t="shared" si="11"/>
        <v>8.0629517144533789E-3</v>
      </c>
    </row>
    <row r="380" spans="1:7" x14ac:dyDescent="0.2">
      <c r="A380" s="1">
        <v>29373</v>
      </c>
      <c r="B380">
        <v>287037800000</v>
      </c>
      <c r="C380">
        <v>12.63</v>
      </c>
      <c r="D380" s="5">
        <v>82.5</v>
      </c>
      <c r="E380">
        <v>0.14265927977839321</v>
      </c>
      <c r="F380">
        <f t="shared" si="10"/>
        <v>11.541485144178615</v>
      </c>
      <c r="G380">
        <f t="shared" si="11"/>
        <v>-6.2626668669994922E-3</v>
      </c>
    </row>
    <row r="381" spans="1:7" x14ac:dyDescent="0.2">
      <c r="A381" s="1">
        <v>29403</v>
      </c>
      <c r="B381">
        <v>288058300000</v>
      </c>
      <c r="C381">
        <v>11.48</v>
      </c>
      <c r="D381" s="5">
        <v>82.6</v>
      </c>
      <c r="E381">
        <v>0.1315068493150684</v>
      </c>
      <c r="F381">
        <f t="shared" si="10"/>
        <v>11.542500346015007</v>
      </c>
      <c r="G381">
        <f t="shared" si="11"/>
        <v>-6.4602271586596868E-3</v>
      </c>
    </row>
    <row r="382" spans="1:7" x14ac:dyDescent="0.2">
      <c r="A382" s="1">
        <v>29434</v>
      </c>
      <c r="B382">
        <v>291449100000</v>
      </c>
      <c r="C382">
        <v>11.12</v>
      </c>
      <c r="D382" s="5">
        <v>83.2</v>
      </c>
      <c r="E382">
        <v>0.12890094979647215</v>
      </c>
      <c r="F382">
        <f t="shared" si="10"/>
        <v>11.544439392257733</v>
      </c>
      <c r="G382">
        <f t="shared" si="11"/>
        <v>-6.8636057021133111E-3</v>
      </c>
    </row>
    <row r="383" spans="1:7" x14ac:dyDescent="0.2">
      <c r="A383" s="1">
        <v>29465</v>
      </c>
      <c r="B383">
        <v>294792500000</v>
      </c>
      <c r="C383">
        <v>12.23</v>
      </c>
      <c r="D383" s="5">
        <v>83.9</v>
      </c>
      <c r="E383">
        <v>0.12768817204301075</v>
      </c>
      <c r="F383">
        <f t="shared" si="10"/>
        <v>11.545754469341867</v>
      </c>
      <c r="G383">
        <f t="shared" si="11"/>
        <v>-2.0800623649540623E-3</v>
      </c>
    </row>
    <row r="384" spans="1:7" x14ac:dyDescent="0.2">
      <c r="A384" s="1">
        <v>29495</v>
      </c>
      <c r="B384">
        <v>299957300000</v>
      </c>
      <c r="C384">
        <v>13.79</v>
      </c>
      <c r="D384" s="5">
        <v>84.7</v>
      </c>
      <c r="E384">
        <v>0.12632978723404253</v>
      </c>
      <c r="F384">
        <f t="shared" si="10"/>
        <v>11.549176025408142</v>
      </c>
      <c r="G384">
        <f t="shared" si="11"/>
        <v>4.4385276833882759E-3</v>
      </c>
    </row>
    <row r="385" spans="1:7" x14ac:dyDescent="0.2">
      <c r="A385" s="1">
        <v>29526</v>
      </c>
      <c r="B385">
        <v>307374300000</v>
      </c>
      <c r="C385">
        <v>16.059999999999999</v>
      </c>
      <c r="D385" s="5">
        <v>85.6</v>
      </c>
      <c r="E385">
        <v>0.12631578947368416</v>
      </c>
      <c r="F385">
        <f t="shared" si="10"/>
        <v>11.5551937880286</v>
      </c>
      <c r="G385">
        <f t="shared" si="11"/>
        <v>1.3022393832149761E-2</v>
      </c>
    </row>
    <row r="386" spans="1:7" x14ac:dyDescent="0.2">
      <c r="A386" s="1">
        <v>29556</v>
      </c>
      <c r="B386">
        <v>312038300000</v>
      </c>
      <c r="C386">
        <v>20.350000000000001</v>
      </c>
      <c r="D386" s="5">
        <v>86.4</v>
      </c>
      <c r="E386">
        <v>0.12353706111833551</v>
      </c>
      <c r="F386">
        <f t="shared" si="10"/>
        <v>11.557694160699189</v>
      </c>
      <c r="G386">
        <f t="shared" si="11"/>
        <v>2.9858691933586565E-2</v>
      </c>
    </row>
    <row r="387" spans="1:7" x14ac:dyDescent="0.2">
      <c r="A387" s="1">
        <v>29587</v>
      </c>
      <c r="B387">
        <v>312452200000</v>
      </c>
      <c r="C387">
        <v>20.16</v>
      </c>
      <c r="D387" s="5">
        <v>87.2</v>
      </c>
      <c r="E387">
        <v>0.11794871794871797</v>
      </c>
      <c r="F387">
        <f t="shared" si="10"/>
        <v>11.554267101982514</v>
      </c>
      <c r="G387">
        <f t="shared" si="11"/>
        <v>3.1338037418006316E-2</v>
      </c>
    </row>
    <row r="388" spans="1:7" x14ac:dyDescent="0.2">
      <c r="A388" s="1">
        <v>29618</v>
      </c>
      <c r="B388">
        <v>313117000000</v>
      </c>
      <c r="C388">
        <v>19.43</v>
      </c>
      <c r="D388" s="5">
        <v>88</v>
      </c>
      <c r="E388">
        <v>0.11392405063291133</v>
      </c>
      <c r="F388">
        <f t="shared" ref="F388:F451" si="12">LOG(B388/D388*100)</f>
        <v>11.551223975172165</v>
      </c>
      <c r="G388">
        <f t="shared" ref="G388:G451" si="13">LOG((1+C388/100)/(1+E388))</f>
        <v>3.0257851444033215E-2</v>
      </c>
    </row>
    <row r="389" spans="1:7" x14ac:dyDescent="0.2">
      <c r="A389" s="1">
        <v>29646</v>
      </c>
      <c r="B389">
        <v>314393300000</v>
      </c>
      <c r="C389">
        <v>18.05</v>
      </c>
      <c r="D389" s="5">
        <v>88.6</v>
      </c>
      <c r="E389">
        <v>0.10611735330836458</v>
      </c>
      <c r="F389">
        <f t="shared" si="12"/>
        <v>11.550039560378432</v>
      </c>
      <c r="G389">
        <f t="shared" si="13"/>
        <v>2.8264785611932679E-2</v>
      </c>
    </row>
    <row r="390" spans="1:7" x14ac:dyDescent="0.2">
      <c r="A390" s="1">
        <v>29677</v>
      </c>
      <c r="B390">
        <v>318502400000</v>
      </c>
      <c r="C390">
        <v>17.149999999999999</v>
      </c>
      <c r="D390" s="5">
        <v>89.1</v>
      </c>
      <c r="E390">
        <v>0.10135970333745359</v>
      </c>
      <c r="F390">
        <f t="shared" si="12"/>
        <v>11.553235005170851</v>
      </c>
      <c r="G390">
        <f t="shared" si="13"/>
        <v>2.681311050837908E-2</v>
      </c>
    </row>
    <row r="391" spans="1:7" x14ac:dyDescent="0.2">
      <c r="A391" s="1">
        <v>29707</v>
      </c>
      <c r="B391">
        <v>324080000000</v>
      </c>
      <c r="C391">
        <v>19.61</v>
      </c>
      <c r="D391" s="5">
        <v>89.7</v>
      </c>
      <c r="E391">
        <v>9.7919216646266793E-2</v>
      </c>
      <c r="F391">
        <f t="shared" si="12"/>
        <v>11.55785978713144</v>
      </c>
      <c r="G391">
        <f t="shared" si="13"/>
        <v>3.719710387038027E-2</v>
      </c>
    </row>
    <row r="392" spans="1:7" x14ac:dyDescent="0.2">
      <c r="A392" s="1">
        <v>29738</v>
      </c>
      <c r="B392">
        <v>328172600000</v>
      </c>
      <c r="C392">
        <v>20.03</v>
      </c>
      <c r="D392" s="5">
        <v>90.5</v>
      </c>
      <c r="E392">
        <v>9.6969696969696928E-2</v>
      </c>
      <c r="F392">
        <f t="shared" si="12"/>
        <v>11.559453738628392</v>
      </c>
      <c r="G392">
        <f t="shared" si="13"/>
        <v>3.9095175443381397E-2</v>
      </c>
    </row>
    <row r="393" spans="1:7" x14ac:dyDescent="0.2">
      <c r="A393" s="1">
        <v>29768</v>
      </c>
      <c r="B393">
        <v>331857100000</v>
      </c>
      <c r="C393">
        <v>20.39</v>
      </c>
      <c r="D393" s="5">
        <v>91.5</v>
      </c>
      <c r="E393">
        <v>0.10774818401937059</v>
      </c>
      <c r="F393">
        <f t="shared" si="12"/>
        <v>11.559530019633282</v>
      </c>
      <c r="G393">
        <f t="shared" si="13"/>
        <v>3.6149367707435064E-2</v>
      </c>
    </row>
    <row r="394" spans="1:7" x14ac:dyDescent="0.2">
      <c r="A394" s="1">
        <v>29799</v>
      </c>
      <c r="B394">
        <v>336523000000</v>
      </c>
      <c r="C394">
        <v>20.5</v>
      </c>
      <c r="D394" s="5">
        <v>92.2</v>
      </c>
      <c r="E394">
        <v>0.10817307692307687</v>
      </c>
      <c r="F394">
        <f t="shared" si="12"/>
        <v>11.56228383081017</v>
      </c>
      <c r="G394">
        <f t="shared" si="13"/>
        <v>3.6379452147981821E-2</v>
      </c>
    </row>
    <row r="395" spans="1:7" x14ac:dyDescent="0.2">
      <c r="A395" s="1">
        <v>29830</v>
      </c>
      <c r="B395">
        <v>338115500000</v>
      </c>
      <c r="C395">
        <v>20.079999999999998</v>
      </c>
      <c r="D395" s="5">
        <v>93.1</v>
      </c>
      <c r="E395">
        <v>0.1096543504171632</v>
      </c>
      <c r="F395">
        <f t="shared" si="12"/>
        <v>11.560115399308744</v>
      </c>
      <c r="G395">
        <f t="shared" si="13"/>
        <v>3.4282959082571722E-2</v>
      </c>
    </row>
    <row r="396" spans="1:7" x14ac:dyDescent="0.2">
      <c r="A396" s="1">
        <v>29860</v>
      </c>
      <c r="B396">
        <v>341198900000</v>
      </c>
      <c r="C396">
        <v>18.45</v>
      </c>
      <c r="D396" s="5">
        <v>93.4</v>
      </c>
      <c r="E396">
        <v>0.10271546635182993</v>
      </c>
      <c r="F396">
        <f t="shared" si="12"/>
        <v>11.562660746134384</v>
      </c>
      <c r="G396">
        <f t="shared" si="13"/>
        <v>3.1071599159397414E-2</v>
      </c>
    </row>
    <row r="397" spans="1:7" x14ac:dyDescent="0.2">
      <c r="A397" s="1">
        <v>29891</v>
      </c>
      <c r="B397">
        <v>345508800000</v>
      </c>
      <c r="C397">
        <v>16.84</v>
      </c>
      <c r="D397" s="5">
        <v>93.8</v>
      </c>
      <c r="E397">
        <v>9.5794392523364635E-2</v>
      </c>
      <c r="F397">
        <f t="shared" si="12"/>
        <v>11.566256274815293</v>
      </c>
      <c r="G397">
        <f t="shared" si="13"/>
        <v>2.7862474599600916E-2</v>
      </c>
    </row>
    <row r="398" spans="1:7" x14ac:dyDescent="0.2">
      <c r="A398" s="1">
        <v>29921</v>
      </c>
      <c r="B398">
        <v>350307700000</v>
      </c>
      <c r="C398">
        <v>15.75</v>
      </c>
      <c r="D398" s="5">
        <v>94.1</v>
      </c>
      <c r="E398">
        <v>8.9120370370370239E-2</v>
      </c>
      <c r="F398">
        <f t="shared" si="12"/>
        <v>11.57086006008158</v>
      </c>
      <c r="G398">
        <f t="shared" si="13"/>
        <v>2.6445118741627169E-2</v>
      </c>
    </row>
    <row r="399" spans="1:7" x14ac:dyDescent="0.2">
      <c r="A399" s="1">
        <v>29952</v>
      </c>
      <c r="B399">
        <v>354845500000</v>
      </c>
      <c r="C399">
        <v>15.75</v>
      </c>
      <c r="D399" s="5">
        <v>94.4</v>
      </c>
      <c r="E399">
        <v>8.256880733944949E-2</v>
      </c>
      <c r="F399">
        <f t="shared" si="12"/>
        <v>11.575067307763495</v>
      </c>
      <c r="G399">
        <f t="shared" si="13"/>
        <v>2.9065490324489022E-2</v>
      </c>
    </row>
    <row r="400" spans="1:7" x14ac:dyDescent="0.2">
      <c r="A400" s="1">
        <v>29983</v>
      </c>
      <c r="B400">
        <v>360713700000</v>
      </c>
      <c r="C400">
        <v>16.559999999999999</v>
      </c>
      <c r="D400" s="5">
        <v>94.7</v>
      </c>
      <c r="E400">
        <v>7.6136363636363669E-2</v>
      </c>
      <c r="F400">
        <f t="shared" si="12"/>
        <v>11.580812658245538</v>
      </c>
      <c r="G400">
        <f t="shared" si="13"/>
        <v>3.4682231908828895E-2</v>
      </c>
    </row>
    <row r="401" spans="1:7" x14ac:dyDescent="0.2">
      <c r="A401" s="1">
        <v>30011</v>
      </c>
      <c r="B401">
        <v>363974600000</v>
      </c>
      <c r="C401">
        <v>16.5</v>
      </c>
      <c r="D401" s="5">
        <v>94.7</v>
      </c>
      <c r="E401">
        <v>6.8848758465011484E-2</v>
      </c>
      <c r="F401">
        <f t="shared" si="12"/>
        <v>11.584721098423985</v>
      </c>
      <c r="G401">
        <f t="shared" si="13"/>
        <v>3.7409668245815091E-2</v>
      </c>
    </row>
    <row r="402" spans="1:7" x14ac:dyDescent="0.2">
      <c r="A402" s="1">
        <v>30042</v>
      </c>
      <c r="B402">
        <v>371056500000</v>
      </c>
      <c r="C402">
        <v>16.5</v>
      </c>
      <c r="D402" s="5">
        <v>95</v>
      </c>
      <c r="E402">
        <v>6.6217732884399583E-2</v>
      </c>
      <c r="F402">
        <f t="shared" si="12"/>
        <v>11.591716438477102</v>
      </c>
      <c r="G402">
        <f t="shared" si="13"/>
        <v>3.8480024110064827E-2</v>
      </c>
    </row>
    <row r="403" spans="1:7" x14ac:dyDescent="0.2">
      <c r="A403" s="1">
        <v>30072</v>
      </c>
      <c r="B403">
        <v>375982300000</v>
      </c>
      <c r="C403">
        <v>16.5</v>
      </c>
      <c r="D403" s="5">
        <v>95.9</v>
      </c>
      <c r="E403">
        <v>6.911928651059096E-2</v>
      </c>
      <c r="F403">
        <f t="shared" si="12"/>
        <v>11.593348793094055</v>
      </c>
      <c r="G403">
        <f t="shared" si="13"/>
        <v>3.729976123546621E-2</v>
      </c>
    </row>
    <row r="404" spans="1:7" x14ac:dyDescent="0.2">
      <c r="A404" s="1">
        <v>30103</v>
      </c>
      <c r="B404">
        <v>380564200000</v>
      </c>
      <c r="C404">
        <v>16.5</v>
      </c>
      <c r="D404" s="5">
        <v>97</v>
      </c>
      <c r="E404">
        <v>7.182320441988943E-2</v>
      </c>
      <c r="F404">
        <f t="shared" si="12"/>
        <v>11.593656197152638</v>
      </c>
      <c r="G404">
        <f t="shared" si="13"/>
        <v>3.6202770300996313E-2</v>
      </c>
    </row>
    <row r="405" spans="1:7" x14ac:dyDescent="0.2">
      <c r="A405" s="1">
        <v>30133</v>
      </c>
      <c r="B405">
        <v>384043700000</v>
      </c>
      <c r="C405">
        <v>16.260000000000002</v>
      </c>
      <c r="D405" s="5">
        <v>97.5</v>
      </c>
      <c r="E405">
        <v>6.5573770491803351E-2</v>
      </c>
      <c r="F405">
        <f t="shared" si="12"/>
        <v>11.595376029473773</v>
      </c>
      <c r="G405">
        <f t="shared" si="13"/>
        <v>3.7846796988280751E-2</v>
      </c>
    </row>
    <row r="406" spans="1:7" x14ac:dyDescent="0.2">
      <c r="A406" s="1">
        <v>30164</v>
      </c>
      <c r="B406">
        <v>385859300000</v>
      </c>
      <c r="C406">
        <v>14.39</v>
      </c>
      <c r="D406" s="5">
        <v>97.7</v>
      </c>
      <c r="E406">
        <v>5.9652928416485951E-2</v>
      </c>
      <c r="F406">
        <f t="shared" si="12"/>
        <v>11.596534408380503</v>
      </c>
      <c r="G406">
        <f t="shared" si="13"/>
        <v>3.3224417328189232E-2</v>
      </c>
    </row>
    <row r="407" spans="1:7" x14ac:dyDescent="0.2">
      <c r="A407" s="1">
        <v>30195</v>
      </c>
      <c r="B407">
        <v>391038500000</v>
      </c>
      <c r="C407">
        <v>13.5</v>
      </c>
      <c r="D407" s="5">
        <v>97.7</v>
      </c>
      <c r="E407">
        <v>4.9409237379162363E-2</v>
      </c>
      <c r="F407">
        <f t="shared" si="12"/>
        <v>11.602324954583537</v>
      </c>
      <c r="G407">
        <f t="shared" si="13"/>
        <v>3.4050978791710998E-2</v>
      </c>
    </row>
    <row r="408" spans="1:7" x14ac:dyDescent="0.2">
      <c r="A408" s="1">
        <v>30225</v>
      </c>
      <c r="B408">
        <v>392391700000</v>
      </c>
      <c r="C408">
        <v>12.52</v>
      </c>
      <c r="D408" s="5">
        <v>98.1</v>
      </c>
      <c r="E408">
        <v>5.0321199143468887E-2</v>
      </c>
      <c r="F408">
        <f t="shared" si="12"/>
        <v>11.602050805083511</v>
      </c>
      <c r="G408">
        <f t="shared" si="13"/>
        <v>2.9907592343308229E-2</v>
      </c>
    </row>
    <row r="409" spans="1:7" x14ac:dyDescent="0.2">
      <c r="A409" s="1">
        <v>30256</v>
      </c>
      <c r="B409">
        <v>391975100000</v>
      </c>
      <c r="C409">
        <v>11.85</v>
      </c>
      <c r="D409" s="5">
        <v>98</v>
      </c>
      <c r="E409">
        <v>4.4776119402985204E-2</v>
      </c>
      <c r="F409">
        <f t="shared" si="12"/>
        <v>11.602032403889018</v>
      </c>
      <c r="G409">
        <f t="shared" si="13"/>
        <v>2.9612751119218059E-2</v>
      </c>
    </row>
    <row r="410" spans="1:7" x14ac:dyDescent="0.2">
      <c r="A410" s="1">
        <v>30286</v>
      </c>
      <c r="B410">
        <v>392041900000</v>
      </c>
      <c r="C410">
        <v>11.5</v>
      </c>
      <c r="D410" s="5">
        <v>97.7</v>
      </c>
      <c r="E410">
        <v>3.8257173219978791E-2</v>
      </c>
      <c r="F410">
        <f t="shared" si="12"/>
        <v>11.603437921583179</v>
      </c>
      <c r="G410">
        <f t="shared" si="13"/>
        <v>3.0969927092663309E-2</v>
      </c>
    </row>
    <row r="411" spans="1:7" x14ac:dyDescent="0.2">
      <c r="A411" s="1">
        <v>30317</v>
      </c>
      <c r="B411">
        <v>393186400000</v>
      </c>
      <c r="C411">
        <v>11.16</v>
      </c>
      <c r="D411" s="5">
        <v>97.9</v>
      </c>
      <c r="E411">
        <v>3.7076271186440746E-2</v>
      </c>
      <c r="F411">
        <f t="shared" si="12"/>
        <v>11.603815795721403</v>
      </c>
      <c r="G411">
        <f t="shared" si="13"/>
        <v>3.0137840600265368E-2</v>
      </c>
    </row>
    <row r="412" spans="1:7" x14ac:dyDescent="0.2">
      <c r="A412" s="1">
        <v>30348</v>
      </c>
      <c r="B412">
        <v>393355600000</v>
      </c>
      <c r="C412">
        <v>10.98</v>
      </c>
      <c r="D412" s="5">
        <v>98</v>
      </c>
      <c r="E412">
        <v>3.4846884899683239E-2</v>
      </c>
      <c r="F412">
        <f t="shared" si="12"/>
        <v>11.60355926168233</v>
      </c>
      <c r="G412">
        <f t="shared" si="13"/>
        <v>3.0368623788925523E-2</v>
      </c>
    </row>
    <row r="413" spans="1:7" x14ac:dyDescent="0.2">
      <c r="A413" s="1">
        <v>30376</v>
      </c>
      <c r="B413">
        <v>393804800000</v>
      </c>
      <c r="C413">
        <v>10.5</v>
      </c>
      <c r="D413" s="5">
        <v>98.1</v>
      </c>
      <c r="E413">
        <v>3.5902851108764455E-2</v>
      </c>
      <c r="F413">
        <f t="shared" si="12"/>
        <v>11.60361199797423</v>
      </c>
      <c r="G413">
        <f t="shared" si="13"/>
        <v>2.8043249644454413E-2</v>
      </c>
    </row>
    <row r="414" spans="1:7" x14ac:dyDescent="0.2">
      <c r="A414" s="1">
        <v>30407</v>
      </c>
      <c r="B414">
        <v>392425900000</v>
      </c>
      <c r="C414">
        <v>10.5</v>
      </c>
      <c r="D414" s="5">
        <v>98.8</v>
      </c>
      <c r="E414">
        <v>4.0000000000000036E-2</v>
      </c>
      <c r="F414">
        <f t="shared" si="12"/>
        <v>11.599000718380942</v>
      </c>
      <c r="G414">
        <f t="shared" si="13"/>
        <v>2.6328938722349149E-2</v>
      </c>
    </row>
    <row r="415" spans="1:7" x14ac:dyDescent="0.2">
      <c r="A415" s="1">
        <v>30437</v>
      </c>
      <c r="B415">
        <v>391490600000</v>
      </c>
      <c r="C415">
        <v>10.5</v>
      </c>
      <c r="D415" s="5">
        <v>99.2</v>
      </c>
      <c r="E415">
        <v>3.4410844629822801E-2</v>
      </c>
      <c r="F415">
        <f t="shared" si="12"/>
        <v>11.596209666609797</v>
      </c>
      <c r="G415">
        <f t="shared" si="13"/>
        <v>2.86692130376144E-2</v>
      </c>
    </row>
    <row r="416" spans="1:7" x14ac:dyDescent="0.2">
      <c r="A416" s="1">
        <v>30468</v>
      </c>
      <c r="B416">
        <v>393839500000</v>
      </c>
      <c r="C416">
        <v>10.5</v>
      </c>
      <c r="D416" s="5">
        <v>99.4</v>
      </c>
      <c r="E416">
        <v>2.4742268041237248E-2</v>
      </c>
      <c r="F416">
        <f t="shared" si="12"/>
        <v>11.597932887008005</v>
      </c>
      <c r="G416">
        <f t="shared" si="13"/>
        <v>3.2747627890060992E-2</v>
      </c>
    </row>
    <row r="417" spans="1:7" x14ac:dyDescent="0.2">
      <c r="A417" s="1">
        <v>30498</v>
      </c>
      <c r="B417">
        <v>397794500000</v>
      </c>
      <c r="C417">
        <v>10.5</v>
      </c>
      <c r="D417" s="5">
        <v>99.8</v>
      </c>
      <c r="E417">
        <v>2.3589743589743639E-2</v>
      </c>
      <c r="F417">
        <f t="shared" si="12"/>
        <v>11.600528232885251</v>
      </c>
      <c r="G417">
        <f t="shared" si="13"/>
        <v>3.3236352432295148E-2</v>
      </c>
    </row>
    <row r="418" spans="1:7" x14ac:dyDescent="0.2">
      <c r="A418" s="1">
        <v>30529</v>
      </c>
      <c r="B418">
        <v>401586600000</v>
      </c>
      <c r="C418">
        <v>10.89</v>
      </c>
      <c r="D418" s="5">
        <v>100.1</v>
      </c>
      <c r="E418">
        <v>2.4564994882292579E-2</v>
      </c>
      <c r="F418">
        <f t="shared" si="12"/>
        <v>11.603345135514346</v>
      </c>
      <c r="G418">
        <f t="shared" si="13"/>
        <v>3.4352869713814335E-2</v>
      </c>
    </row>
    <row r="419" spans="1:7" x14ac:dyDescent="0.2">
      <c r="A419" s="1">
        <v>30560</v>
      </c>
      <c r="B419">
        <v>402529000000</v>
      </c>
      <c r="C419">
        <v>11</v>
      </c>
      <c r="D419" s="5">
        <v>100.4</v>
      </c>
      <c r="E419">
        <v>2.763561924257929E-2</v>
      </c>
      <c r="F419">
        <f t="shared" si="12"/>
        <v>11.603063461550242</v>
      </c>
      <c r="G419">
        <f t="shared" si="13"/>
        <v>3.3483829696430011E-2</v>
      </c>
    </row>
    <row r="420" spans="1:7" x14ac:dyDescent="0.2">
      <c r="A420" s="1">
        <v>30590</v>
      </c>
      <c r="B420">
        <v>405748600000</v>
      </c>
      <c r="C420">
        <v>11</v>
      </c>
      <c r="D420" s="5">
        <v>100.8</v>
      </c>
      <c r="E420">
        <v>2.7522935779816571E-2</v>
      </c>
      <c r="F420">
        <f t="shared" si="12"/>
        <v>11.604796497896283</v>
      </c>
      <c r="G420">
        <f t="shared" si="13"/>
        <v>3.3531454057099487E-2</v>
      </c>
    </row>
    <row r="421" spans="1:7" x14ac:dyDescent="0.2">
      <c r="A421" s="1">
        <v>30621</v>
      </c>
      <c r="B421">
        <v>409617400000</v>
      </c>
      <c r="C421">
        <v>11</v>
      </c>
      <c r="D421" s="5">
        <v>101.1</v>
      </c>
      <c r="E421">
        <v>3.1632653061224536E-2</v>
      </c>
      <c r="F421">
        <f t="shared" si="12"/>
        <v>11.60762724101809</v>
      </c>
      <c r="G421">
        <f t="shared" si="13"/>
        <v>3.179789888815128E-2</v>
      </c>
    </row>
    <row r="422" spans="1:7" x14ac:dyDescent="0.2">
      <c r="A422" s="1">
        <v>30651</v>
      </c>
      <c r="B422">
        <v>413940400000</v>
      </c>
      <c r="C422">
        <v>11</v>
      </c>
      <c r="D422" s="5">
        <v>101.4</v>
      </c>
      <c r="E422">
        <v>3.7871033776867957E-2</v>
      </c>
      <c r="F422">
        <f t="shared" si="12"/>
        <v>11.610899860001735</v>
      </c>
      <c r="G422">
        <f t="shared" si="13"/>
        <v>2.9179587508113343E-2</v>
      </c>
    </row>
    <row r="423" spans="1:7" x14ac:dyDescent="0.2">
      <c r="A423" s="1">
        <v>30682</v>
      </c>
      <c r="B423">
        <v>415605400000</v>
      </c>
      <c r="C423">
        <v>11</v>
      </c>
      <c r="D423" s="5">
        <v>102.1</v>
      </c>
      <c r="E423">
        <v>4.290091930541351E-2</v>
      </c>
      <c r="F423">
        <f t="shared" si="12"/>
        <v>11.609655439663886</v>
      </c>
      <c r="G423">
        <f t="shared" si="13"/>
        <v>2.7079928502885112E-2</v>
      </c>
    </row>
    <row r="424" spans="1:7" x14ac:dyDescent="0.2">
      <c r="A424" s="1">
        <v>30713</v>
      </c>
      <c r="B424">
        <v>423580800000</v>
      </c>
      <c r="C424">
        <v>11</v>
      </c>
      <c r="D424" s="5">
        <v>102.6</v>
      </c>
      <c r="E424">
        <v>4.6938775510203978E-2</v>
      </c>
      <c r="F424">
        <f t="shared" si="12"/>
        <v>11.6157889054778</v>
      </c>
      <c r="G424">
        <f t="shared" si="13"/>
        <v>2.5401693703354867E-2</v>
      </c>
    </row>
    <row r="425" spans="1:7" x14ac:dyDescent="0.2">
      <c r="A425" s="1">
        <v>30742</v>
      </c>
      <c r="B425">
        <v>430946300000</v>
      </c>
      <c r="C425">
        <v>11.21</v>
      </c>
      <c r="D425" s="5">
        <v>102.9</v>
      </c>
      <c r="E425">
        <v>4.8929663608562768E-2</v>
      </c>
      <c r="F425">
        <f t="shared" si="12"/>
        <v>11.622007781554528</v>
      </c>
      <c r="G425">
        <f t="shared" si="13"/>
        <v>2.5397473366741707E-2</v>
      </c>
    </row>
    <row r="426" spans="1:7" x14ac:dyDescent="0.2">
      <c r="A426" s="1">
        <v>30773</v>
      </c>
      <c r="B426">
        <v>437837400000</v>
      </c>
      <c r="C426">
        <v>11.93</v>
      </c>
      <c r="D426" s="5">
        <v>103.3</v>
      </c>
      <c r="E426">
        <v>4.5546558704453455E-2</v>
      </c>
      <c r="F426">
        <f t="shared" si="12"/>
        <v>11.627212534661316</v>
      </c>
      <c r="G426">
        <f t="shared" si="13"/>
        <v>2.9603126828499023E-2</v>
      </c>
    </row>
    <row r="427" spans="1:7" x14ac:dyDescent="0.2">
      <c r="A427" s="1">
        <v>30803</v>
      </c>
      <c r="B427">
        <v>446318300000</v>
      </c>
      <c r="C427">
        <v>12.39</v>
      </c>
      <c r="D427" s="5">
        <v>103.5</v>
      </c>
      <c r="E427">
        <v>4.3346774193548265E-2</v>
      </c>
      <c r="F427">
        <f t="shared" si="12"/>
        <v>11.634704344410538</v>
      </c>
      <c r="G427">
        <f t="shared" si="13"/>
        <v>3.2298993576295142E-2</v>
      </c>
    </row>
    <row r="428" spans="1:7" x14ac:dyDescent="0.2">
      <c r="A428" s="1">
        <v>30834</v>
      </c>
      <c r="B428">
        <v>450972300000</v>
      </c>
      <c r="C428">
        <v>12.6</v>
      </c>
      <c r="D428" s="5">
        <v>103.7</v>
      </c>
      <c r="E428">
        <v>4.3259557344064392E-2</v>
      </c>
      <c r="F428">
        <f t="shared" si="12"/>
        <v>11.638371110707105</v>
      </c>
      <c r="G428">
        <f t="shared" si="13"/>
        <v>3.3146018523599691E-2</v>
      </c>
    </row>
    <row r="429" spans="1:7" x14ac:dyDescent="0.2">
      <c r="A429" s="1">
        <v>30864</v>
      </c>
      <c r="B429">
        <v>455800900000</v>
      </c>
      <c r="C429">
        <v>13</v>
      </c>
      <c r="D429" s="5">
        <v>104.1</v>
      </c>
      <c r="E429">
        <v>4.3086172344689366E-2</v>
      </c>
      <c r="F429">
        <f t="shared" si="12"/>
        <v>11.641324448869248</v>
      </c>
      <c r="G429">
        <f t="shared" si="13"/>
        <v>3.4758255260254653E-2</v>
      </c>
    </row>
    <row r="430" spans="1:7" x14ac:dyDescent="0.2">
      <c r="A430" s="1">
        <v>30895</v>
      </c>
      <c r="B430">
        <v>458792500000</v>
      </c>
      <c r="C430">
        <v>13</v>
      </c>
      <c r="D430" s="5">
        <v>104.4</v>
      </c>
      <c r="E430">
        <v>4.2957042957043168E-2</v>
      </c>
      <c r="F430">
        <f t="shared" si="12"/>
        <v>11.64291581109647</v>
      </c>
      <c r="G430">
        <f t="shared" si="13"/>
        <v>3.4812022296494889E-2</v>
      </c>
    </row>
    <row r="431" spans="1:7" x14ac:dyDescent="0.2">
      <c r="A431" s="1">
        <v>30926</v>
      </c>
      <c r="B431">
        <v>461914800000</v>
      </c>
      <c r="C431">
        <v>12.97</v>
      </c>
      <c r="D431" s="5">
        <v>104.7</v>
      </c>
      <c r="E431">
        <v>4.2828685258964105E-2</v>
      </c>
      <c r="F431">
        <f t="shared" si="12"/>
        <v>11.644615195820702</v>
      </c>
      <c r="G431">
        <f t="shared" si="13"/>
        <v>3.4750159885661429E-2</v>
      </c>
    </row>
    <row r="432" spans="1:7" x14ac:dyDescent="0.2">
      <c r="A432" s="1">
        <v>30956</v>
      </c>
      <c r="B432">
        <v>466354500000</v>
      </c>
      <c r="C432">
        <v>12.58</v>
      </c>
      <c r="D432" s="5">
        <v>105.1</v>
      </c>
      <c r="E432">
        <v>4.2658730158730229E-2</v>
      </c>
      <c r="F432">
        <f t="shared" si="12"/>
        <v>11.647113455733738</v>
      </c>
      <c r="G432">
        <f t="shared" si="13"/>
        <v>3.3319060405447645E-2</v>
      </c>
    </row>
    <row r="433" spans="1:7" x14ac:dyDescent="0.2">
      <c r="A433" s="1">
        <v>30987</v>
      </c>
      <c r="B433">
        <v>470961800000</v>
      </c>
      <c r="C433">
        <v>11.77</v>
      </c>
      <c r="D433" s="5">
        <v>105.3</v>
      </c>
      <c r="E433">
        <v>4.1543026706231556E-2</v>
      </c>
      <c r="F433">
        <f t="shared" si="12"/>
        <v>11.650557311480554</v>
      </c>
      <c r="G433">
        <f t="shared" si="13"/>
        <v>3.064803533673667E-2</v>
      </c>
    </row>
    <row r="434" spans="1:7" x14ac:dyDescent="0.2">
      <c r="A434" s="1">
        <v>31017</v>
      </c>
      <c r="B434">
        <v>473352400000</v>
      </c>
      <c r="C434">
        <v>11.06</v>
      </c>
      <c r="D434" s="5">
        <v>105.5</v>
      </c>
      <c r="E434">
        <v>4.0433925049309538E-2</v>
      </c>
      <c r="F434">
        <f t="shared" si="12"/>
        <v>11.651932123793095</v>
      </c>
      <c r="G434">
        <f t="shared" si="13"/>
        <v>2.8343164500153534E-2</v>
      </c>
    </row>
    <row r="435" spans="1:7" x14ac:dyDescent="0.2">
      <c r="A435" s="1">
        <v>31048</v>
      </c>
      <c r="B435">
        <v>472942500000</v>
      </c>
      <c r="C435">
        <v>10.61</v>
      </c>
      <c r="D435" s="5">
        <v>105.7</v>
      </c>
      <c r="E435">
        <v>3.52595494613126E-2</v>
      </c>
      <c r="F435">
        <f t="shared" si="12"/>
        <v>11.650733355437399</v>
      </c>
      <c r="G435">
        <f t="shared" si="13"/>
        <v>2.8745147105262929E-2</v>
      </c>
    </row>
    <row r="436" spans="1:7" x14ac:dyDescent="0.2">
      <c r="A436" s="1">
        <v>31079</v>
      </c>
      <c r="B436">
        <v>475725700000</v>
      </c>
      <c r="C436">
        <v>10.5</v>
      </c>
      <c r="D436" s="5">
        <v>106.3</v>
      </c>
      <c r="E436">
        <v>3.6062378167641462E-2</v>
      </c>
      <c r="F436">
        <f t="shared" si="12"/>
        <v>11.650823349302945</v>
      </c>
      <c r="G436">
        <f t="shared" si="13"/>
        <v>2.7976374273630186E-2</v>
      </c>
    </row>
    <row r="437" spans="1:7" x14ac:dyDescent="0.2">
      <c r="A437" s="1">
        <v>31107</v>
      </c>
      <c r="B437">
        <v>480420300000</v>
      </c>
      <c r="C437">
        <v>10.5</v>
      </c>
      <c r="D437" s="5">
        <v>106.8</v>
      </c>
      <c r="E437">
        <v>3.790087463556846E-2</v>
      </c>
      <c r="F437">
        <f t="shared" si="12"/>
        <v>11.653050097394946</v>
      </c>
      <c r="G437">
        <f t="shared" si="13"/>
        <v>2.7206400091024804E-2</v>
      </c>
    </row>
    <row r="438" spans="1:7" x14ac:dyDescent="0.2">
      <c r="A438" s="1">
        <v>31138</v>
      </c>
      <c r="B438">
        <v>479176900000</v>
      </c>
      <c r="C438">
        <v>10.5</v>
      </c>
      <c r="D438" s="5">
        <v>107</v>
      </c>
      <c r="E438">
        <v>3.5818005808325282E-2</v>
      </c>
      <c r="F438">
        <f t="shared" si="12"/>
        <v>11.6511120958773</v>
      </c>
      <c r="G438">
        <f t="shared" si="13"/>
        <v>2.8078821855540431E-2</v>
      </c>
    </row>
    <row r="439" spans="1:7" x14ac:dyDescent="0.2">
      <c r="A439" s="1">
        <v>31168</v>
      </c>
      <c r="B439">
        <v>480800400000</v>
      </c>
      <c r="C439">
        <v>10.31</v>
      </c>
      <c r="D439" s="5">
        <v>107.2</v>
      </c>
      <c r="E439">
        <v>3.5748792270531515E-2</v>
      </c>
      <c r="F439">
        <f t="shared" si="12"/>
        <v>11.651770034947667</v>
      </c>
      <c r="G439">
        <f t="shared" si="13"/>
        <v>2.7360449024710111E-2</v>
      </c>
    </row>
    <row r="440" spans="1:7" x14ac:dyDescent="0.2">
      <c r="A440" s="1">
        <v>31199</v>
      </c>
      <c r="B440">
        <v>482247400000</v>
      </c>
      <c r="C440">
        <v>9.7799999999999994</v>
      </c>
      <c r="D440" s="5">
        <v>107.5</v>
      </c>
      <c r="E440">
        <v>3.6644165863066513E-2</v>
      </c>
      <c r="F440">
        <f t="shared" si="12"/>
        <v>11.651861430605102</v>
      </c>
      <c r="G440">
        <f t="shared" si="13"/>
        <v>2.4893518583012964E-2</v>
      </c>
    </row>
    <row r="441" spans="1:7" x14ac:dyDescent="0.2">
      <c r="A441" s="1">
        <v>31229</v>
      </c>
      <c r="B441">
        <v>487105100000</v>
      </c>
      <c r="C441">
        <v>9.5</v>
      </c>
      <c r="D441" s="5">
        <v>107.7</v>
      </c>
      <c r="E441">
        <v>3.4582132564841661E-2</v>
      </c>
      <c r="F441">
        <f t="shared" si="12"/>
        <v>11.655406973369379</v>
      </c>
      <c r="G441">
        <f t="shared" si="13"/>
        <v>2.4649145388691646E-2</v>
      </c>
    </row>
    <row r="442" spans="1:7" x14ac:dyDescent="0.2">
      <c r="A442" s="1">
        <v>31260</v>
      </c>
      <c r="B442">
        <v>489919900000</v>
      </c>
      <c r="C442">
        <v>9.5</v>
      </c>
      <c r="D442" s="5">
        <v>107.9</v>
      </c>
      <c r="E442">
        <v>3.3524904214559337E-2</v>
      </c>
      <c r="F442">
        <f t="shared" si="12"/>
        <v>11.657103635689248</v>
      </c>
      <c r="G442">
        <f t="shared" si="13"/>
        <v>2.509317315946984E-2</v>
      </c>
    </row>
    <row r="443" spans="1:7" x14ac:dyDescent="0.2">
      <c r="A443" s="1">
        <v>31291</v>
      </c>
      <c r="B443">
        <v>494408100000</v>
      </c>
      <c r="C443">
        <v>9.5</v>
      </c>
      <c r="D443" s="5">
        <v>108.1</v>
      </c>
      <c r="E443">
        <v>3.2473734479465E-2</v>
      </c>
      <c r="F443">
        <f t="shared" si="12"/>
        <v>11.660259883330699</v>
      </c>
      <c r="G443">
        <f t="shared" si="13"/>
        <v>2.5535106901669182E-2</v>
      </c>
    </row>
    <row r="444" spans="1:7" x14ac:dyDescent="0.2">
      <c r="A444" s="1">
        <v>31321</v>
      </c>
      <c r="B444">
        <v>493249000000</v>
      </c>
      <c r="C444">
        <v>9.5</v>
      </c>
      <c r="D444" s="5">
        <v>108.5</v>
      </c>
      <c r="E444">
        <v>3.2350142721217834E-2</v>
      </c>
      <c r="F444">
        <f t="shared" si="12"/>
        <v>11.657636475263406</v>
      </c>
      <c r="G444">
        <f t="shared" si="13"/>
        <v>2.5587097019831053E-2</v>
      </c>
    </row>
    <row r="445" spans="1:7" x14ac:dyDescent="0.2">
      <c r="A445" s="1">
        <v>31352</v>
      </c>
      <c r="B445">
        <v>497052500000</v>
      </c>
      <c r="C445">
        <v>9.5</v>
      </c>
      <c r="D445" s="5">
        <v>109</v>
      </c>
      <c r="E445">
        <v>3.5137701804368593E-2</v>
      </c>
      <c r="F445">
        <f t="shared" si="12"/>
        <v>11.658975764547508</v>
      </c>
      <c r="G445">
        <f t="shared" si="13"/>
        <v>2.4415992420999934E-2</v>
      </c>
    </row>
    <row r="446" spans="1:7" x14ac:dyDescent="0.2">
      <c r="A446" s="1">
        <v>31382</v>
      </c>
      <c r="B446">
        <v>498852800000</v>
      </c>
      <c r="C446">
        <v>9.5</v>
      </c>
      <c r="D446" s="5">
        <v>109.5</v>
      </c>
      <c r="E446">
        <v>3.7914691943127909E-2</v>
      </c>
      <c r="F446">
        <f t="shared" si="12"/>
        <v>11.658558295027067</v>
      </c>
      <c r="G446">
        <f t="shared" si="13"/>
        <v>2.3252459633711444E-2</v>
      </c>
    </row>
    <row r="447" spans="1:7" x14ac:dyDescent="0.2">
      <c r="A447" s="1">
        <v>31413</v>
      </c>
      <c r="B447">
        <v>500389500000</v>
      </c>
      <c r="C447">
        <v>9.5</v>
      </c>
      <c r="D447" s="5">
        <v>109.9</v>
      </c>
      <c r="E447">
        <v>3.9735099337748325E-2</v>
      </c>
      <c r="F447">
        <f t="shared" si="12"/>
        <v>11.658310495608477</v>
      </c>
      <c r="G447">
        <f t="shared" si="13"/>
        <v>2.249141406007283E-2</v>
      </c>
    </row>
    <row r="448" spans="1:7" x14ac:dyDescent="0.2">
      <c r="A448" s="1">
        <v>31444</v>
      </c>
      <c r="B448">
        <v>500695600000</v>
      </c>
      <c r="C448">
        <v>9.5</v>
      </c>
      <c r="D448" s="5">
        <v>109.7</v>
      </c>
      <c r="E448">
        <v>3.1984948259642598E-2</v>
      </c>
      <c r="F448">
        <f t="shared" si="12"/>
        <v>11.659367147359015</v>
      </c>
      <c r="G448">
        <f t="shared" si="13"/>
        <v>2.5740756124722701E-2</v>
      </c>
    </row>
    <row r="449" spans="1:7" x14ac:dyDescent="0.2">
      <c r="A449" s="1">
        <v>31472</v>
      </c>
      <c r="B449">
        <v>505339500000</v>
      </c>
      <c r="C449">
        <v>9.1</v>
      </c>
      <c r="D449" s="5">
        <v>109.1</v>
      </c>
      <c r="E449">
        <v>2.1535580524344455E-2</v>
      </c>
      <c r="F449">
        <f t="shared" si="12"/>
        <v>11.665758495723448</v>
      </c>
      <c r="G449">
        <f t="shared" si="13"/>
        <v>2.8571252692537637E-2</v>
      </c>
    </row>
    <row r="450" spans="1:7" x14ac:dyDescent="0.2">
      <c r="A450" s="1">
        <v>31503</v>
      </c>
      <c r="B450">
        <v>507766200000</v>
      </c>
      <c r="C450">
        <v>8.83</v>
      </c>
      <c r="D450" s="5">
        <v>108.7</v>
      </c>
      <c r="E450">
        <v>1.5887850467289688E-2</v>
      </c>
      <c r="F450">
        <f t="shared" si="12"/>
        <v>11.669434244137024</v>
      </c>
      <c r="G450">
        <f t="shared" si="13"/>
        <v>2.9902862771117339E-2</v>
      </c>
    </row>
    <row r="451" spans="1:7" x14ac:dyDescent="0.2">
      <c r="A451" s="1">
        <v>31533</v>
      </c>
      <c r="B451">
        <v>507950200000</v>
      </c>
      <c r="C451">
        <v>8.5</v>
      </c>
      <c r="D451" s="5">
        <v>109</v>
      </c>
      <c r="E451">
        <v>1.6791044776119479E-2</v>
      </c>
      <c r="F451">
        <f t="shared" si="12"/>
        <v>11.668394637718544</v>
      </c>
      <c r="G451">
        <f t="shared" si="13"/>
        <v>2.819802560067584E-2</v>
      </c>
    </row>
    <row r="452" spans="1:7" x14ac:dyDescent="0.2">
      <c r="A452" s="1">
        <v>31564</v>
      </c>
      <c r="B452">
        <v>511186600000</v>
      </c>
      <c r="C452">
        <v>8.5</v>
      </c>
      <c r="D452" s="5">
        <v>109.4</v>
      </c>
      <c r="E452">
        <v>1.7674418604651132E-2</v>
      </c>
      <c r="F452">
        <f t="shared" ref="F452:F515" si="14">LOG(B452/D452*100)</f>
        <v>11.669562138915193</v>
      </c>
      <c r="G452">
        <f t="shared" ref="G452:G515" si="15">LOG((1+C452/100)/(1+E452))</f>
        <v>2.7820880438760444E-2</v>
      </c>
    </row>
    <row r="453" spans="1:7" x14ac:dyDescent="0.2">
      <c r="A453" s="1">
        <v>31594</v>
      </c>
      <c r="B453">
        <v>513055100000.00006</v>
      </c>
      <c r="C453">
        <v>8.16</v>
      </c>
      <c r="D453" s="5">
        <v>109.5</v>
      </c>
      <c r="E453">
        <v>1.6713091922005541E-2</v>
      </c>
      <c r="F453">
        <f t="shared" si="14"/>
        <v>11.670749889875124</v>
      </c>
      <c r="G453">
        <f t="shared" si="15"/>
        <v>2.6868262719405091E-2</v>
      </c>
    </row>
    <row r="454" spans="1:7" x14ac:dyDescent="0.2">
      <c r="A454" s="1">
        <v>31625</v>
      </c>
      <c r="B454">
        <v>515120400000</v>
      </c>
      <c r="C454">
        <v>7.9</v>
      </c>
      <c r="D454" s="5">
        <v>109.6</v>
      </c>
      <c r="E454">
        <v>1.5755329008340979E-2</v>
      </c>
      <c r="F454">
        <f t="shared" si="14"/>
        <v>11.67209819517311</v>
      </c>
      <c r="G454">
        <f t="shared" si="15"/>
        <v>2.6232335217471047E-2</v>
      </c>
    </row>
    <row r="455" spans="1:7" x14ac:dyDescent="0.2">
      <c r="A455" s="1">
        <v>31656</v>
      </c>
      <c r="B455">
        <v>517697400000</v>
      </c>
      <c r="C455">
        <v>7.5</v>
      </c>
      <c r="D455" s="5">
        <v>110</v>
      </c>
      <c r="E455">
        <v>1.7576318223866849E-2</v>
      </c>
      <c r="F455">
        <f t="shared" si="14"/>
        <v>11.672683298698484</v>
      </c>
      <c r="G455">
        <f t="shared" si="15"/>
        <v>2.3841473046709354E-2</v>
      </c>
    </row>
    <row r="456" spans="1:7" x14ac:dyDescent="0.2">
      <c r="A456" s="1">
        <v>31686</v>
      </c>
      <c r="B456">
        <v>517578499999.99994</v>
      </c>
      <c r="C456">
        <v>7.5</v>
      </c>
      <c r="D456" s="5">
        <v>110.2</v>
      </c>
      <c r="E456">
        <v>1.5668202764977046E-2</v>
      </c>
      <c r="F456">
        <f t="shared" si="14"/>
        <v>11.67179463310374</v>
      </c>
      <c r="G456">
        <f t="shared" si="15"/>
        <v>2.465660792040612E-2</v>
      </c>
    </row>
    <row r="457" spans="1:7" x14ac:dyDescent="0.2">
      <c r="A457" s="1">
        <v>31717</v>
      </c>
      <c r="B457">
        <v>523821200000</v>
      </c>
      <c r="C457">
        <v>7.5</v>
      </c>
      <c r="D457" s="5">
        <v>110.4</v>
      </c>
      <c r="E457">
        <v>1.2844036697247763E-2</v>
      </c>
      <c r="F457">
        <f t="shared" si="14"/>
        <v>11.676213997742044</v>
      </c>
      <c r="G457">
        <f t="shared" si="15"/>
        <v>2.5865888799067611E-2</v>
      </c>
    </row>
    <row r="458" spans="1:7" x14ac:dyDescent="0.2">
      <c r="A458" s="1">
        <v>31747</v>
      </c>
      <c r="B458">
        <v>539182199999.99994</v>
      </c>
      <c r="C458">
        <v>7.5</v>
      </c>
      <c r="D458" s="5">
        <v>110.8</v>
      </c>
      <c r="E458">
        <v>1.1872146118721449E-2</v>
      </c>
      <c r="F458">
        <f t="shared" si="14"/>
        <v>11.68719578602547</v>
      </c>
      <c r="G458">
        <f t="shared" si="15"/>
        <v>2.6282823035350334E-2</v>
      </c>
    </row>
    <row r="459" spans="1:7" x14ac:dyDescent="0.2">
      <c r="A459" s="1">
        <v>31778</v>
      </c>
      <c r="B459">
        <v>548773400000.00006</v>
      </c>
      <c r="C459">
        <v>7.5</v>
      </c>
      <c r="D459" s="5">
        <v>111.4</v>
      </c>
      <c r="E459">
        <v>1.364877161055511E-2</v>
      </c>
      <c r="F459">
        <f t="shared" si="14"/>
        <v>11.692507861363186</v>
      </c>
      <c r="G459">
        <f t="shared" si="15"/>
        <v>2.5520965837404534E-2</v>
      </c>
    </row>
    <row r="460" spans="1:7" x14ac:dyDescent="0.2">
      <c r="A460" s="1">
        <v>31809</v>
      </c>
      <c r="B460">
        <v>546878700000</v>
      </c>
      <c r="C460">
        <v>7.5</v>
      </c>
      <c r="D460" s="5">
        <v>111.8</v>
      </c>
      <c r="E460">
        <v>1.9143117593436676E-2</v>
      </c>
      <c r="F460">
        <f t="shared" si="14"/>
        <v>11.689449205118425</v>
      </c>
      <c r="G460">
        <f t="shared" si="15"/>
        <v>2.3173288275930789E-2</v>
      </c>
    </row>
    <row r="461" spans="1:7" x14ac:dyDescent="0.2">
      <c r="A461" s="1">
        <v>31837</v>
      </c>
      <c r="B461">
        <v>548301100000</v>
      </c>
      <c r="C461">
        <v>7.5</v>
      </c>
      <c r="D461" s="5">
        <v>112.2</v>
      </c>
      <c r="E461">
        <v>2.8414298808432603E-2</v>
      </c>
      <c r="F461">
        <f t="shared" si="14"/>
        <v>11.689026260244482</v>
      </c>
      <c r="G461">
        <f t="shared" si="15"/>
        <v>1.9240357919823363E-2</v>
      </c>
    </row>
    <row r="462" spans="1:7" x14ac:dyDescent="0.2">
      <c r="A462" s="1">
        <v>31868</v>
      </c>
      <c r="B462">
        <v>549605100000</v>
      </c>
      <c r="C462">
        <v>7.75</v>
      </c>
      <c r="D462" s="5">
        <v>112.7</v>
      </c>
      <c r="E462">
        <v>3.6798528058877622E-2</v>
      </c>
      <c r="F462">
        <f t="shared" si="14"/>
        <v>11.688126838011904</v>
      </c>
      <c r="G462">
        <f t="shared" si="15"/>
        <v>1.6722906872957192E-2</v>
      </c>
    </row>
    <row r="463" spans="1:7" x14ac:dyDescent="0.2">
      <c r="A463" s="1">
        <v>31898</v>
      </c>
      <c r="B463">
        <v>551562800000</v>
      </c>
      <c r="C463">
        <v>8.14</v>
      </c>
      <c r="D463" s="5">
        <v>113</v>
      </c>
      <c r="E463">
        <v>3.669724770642202E-2</v>
      </c>
      <c r="F463">
        <f t="shared" si="14"/>
        <v>11.688516524137279</v>
      </c>
      <c r="G463">
        <f t="shared" si="15"/>
        <v>1.8334419696809743E-2</v>
      </c>
    </row>
    <row r="464" spans="1:7" x14ac:dyDescent="0.2">
      <c r="A464" s="1">
        <v>31929</v>
      </c>
      <c r="B464">
        <v>554493600000</v>
      </c>
      <c r="C464">
        <v>8.25</v>
      </c>
      <c r="D464" s="5">
        <v>113.5</v>
      </c>
      <c r="E464">
        <v>3.7477148080438782E-2</v>
      </c>
      <c r="F464">
        <f t="shared" si="14"/>
        <v>11.688900676330745</v>
      </c>
      <c r="G464">
        <f t="shared" si="15"/>
        <v>1.844936549367349E-2</v>
      </c>
    </row>
    <row r="465" spans="1:7" x14ac:dyDescent="0.2">
      <c r="A465" s="1">
        <v>31959</v>
      </c>
      <c r="B465">
        <v>553469300000</v>
      </c>
      <c r="C465">
        <v>8.25</v>
      </c>
      <c r="D465" s="5">
        <v>113.8</v>
      </c>
      <c r="E465">
        <v>3.926940639269394E-2</v>
      </c>
      <c r="F465">
        <f t="shared" si="14"/>
        <v>11.686951274248079</v>
      </c>
      <c r="G465">
        <f t="shared" si="15"/>
        <v>1.7699762142487918E-2</v>
      </c>
    </row>
    <row r="466" spans="1:7" x14ac:dyDescent="0.2">
      <c r="A466" s="1">
        <v>31990</v>
      </c>
      <c r="B466">
        <v>554141200000</v>
      </c>
      <c r="C466">
        <v>8.25</v>
      </c>
      <c r="D466" s="5">
        <v>114.3</v>
      </c>
      <c r="E466">
        <v>4.2883211678832245E-2</v>
      </c>
      <c r="F466">
        <f t="shared" si="14"/>
        <v>11.685574210447665</v>
      </c>
      <c r="G466">
        <f t="shared" si="15"/>
        <v>1.6192228778471613E-2</v>
      </c>
    </row>
    <row r="467" spans="1:7" x14ac:dyDescent="0.2">
      <c r="A467" s="1">
        <v>32021</v>
      </c>
      <c r="B467">
        <v>561331000000</v>
      </c>
      <c r="C467">
        <v>8.6999999999999993</v>
      </c>
      <c r="D467" s="5">
        <v>114.7</v>
      </c>
      <c r="E467">
        <v>4.2727272727272725E-2</v>
      </c>
      <c r="F467">
        <f t="shared" si="14"/>
        <v>11.68965560927685</v>
      </c>
      <c r="G467">
        <f t="shared" si="15"/>
        <v>1.8058811343251917E-2</v>
      </c>
    </row>
    <row r="468" spans="1:7" x14ac:dyDescent="0.2">
      <c r="A468" s="1">
        <v>32051</v>
      </c>
      <c r="B468">
        <v>563085700000</v>
      </c>
      <c r="C468">
        <v>9.07</v>
      </c>
      <c r="D468" s="5">
        <v>115</v>
      </c>
      <c r="E468">
        <v>4.3557168784029043E-2</v>
      </c>
      <c r="F468">
        <f t="shared" si="14"/>
        <v>11.689876657880756</v>
      </c>
      <c r="G468">
        <f t="shared" si="15"/>
        <v>1.9189067297691556E-2</v>
      </c>
    </row>
    <row r="469" spans="1:7" x14ac:dyDescent="0.2">
      <c r="A469" s="1">
        <v>32082</v>
      </c>
      <c r="B469">
        <v>562479000000</v>
      </c>
      <c r="C469">
        <v>8.7799999999999994</v>
      </c>
      <c r="D469" s="5">
        <v>115.4</v>
      </c>
      <c r="E469">
        <v>4.5289855072463858E-2</v>
      </c>
      <c r="F469">
        <f t="shared" si="14"/>
        <v>11.687900504000368</v>
      </c>
      <c r="G469">
        <f t="shared" si="15"/>
        <v>1.731231905261979E-2</v>
      </c>
    </row>
    <row r="470" spans="1:7" x14ac:dyDescent="0.2">
      <c r="A470" s="1">
        <v>32112</v>
      </c>
      <c r="B470">
        <v>565097400000</v>
      </c>
      <c r="C470">
        <v>8.75</v>
      </c>
      <c r="D470" s="5">
        <v>115.6</v>
      </c>
      <c r="E470">
        <v>4.3321299638989119E-2</v>
      </c>
      <c r="F470">
        <f t="shared" si="14"/>
        <v>11.68916547503917</v>
      </c>
      <c r="G470">
        <f t="shared" si="15"/>
        <v>1.8011191934575611E-2</v>
      </c>
    </row>
    <row r="471" spans="1:7" x14ac:dyDescent="0.2">
      <c r="A471" s="1">
        <v>32143</v>
      </c>
      <c r="B471">
        <v>567065900000</v>
      </c>
      <c r="C471">
        <v>8.75</v>
      </c>
      <c r="D471" s="5">
        <v>116</v>
      </c>
      <c r="E471">
        <v>4.1292639138240439E-2</v>
      </c>
      <c r="F471">
        <f t="shared" si="14"/>
        <v>11.689175542934587</v>
      </c>
      <c r="G471">
        <f t="shared" si="15"/>
        <v>1.8856467237466579E-2</v>
      </c>
    </row>
    <row r="472" spans="1:7" x14ac:dyDescent="0.2">
      <c r="A472" s="1">
        <v>32174</v>
      </c>
      <c r="B472">
        <v>568216400000</v>
      </c>
      <c r="C472">
        <v>8.51</v>
      </c>
      <c r="D472" s="5">
        <v>116.2</v>
      </c>
      <c r="E472">
        <v>3.9355992844364973E-2</v>
      </c>
      <c r="F472">
        <f t="shared" si="14"/>
        <v>11.689307636226511</v>
      </c>
      <c r="G472">
        <f t="shared" si="15"/>
        <v>1.8705438977374651E-2</v>
      </c>
    </row>
    <row r="473" spans="1:7" x14ac:dyDescent="0.2">
      <c r="A473" s="1">
        <v>32203</v>
      </c>
      <c r="B473">
        <v>571364500000</v>
      </c>
      <c r="C473">
        <v>8.5</v>
      </c>
      <c r="D473" s="5">
        <v>116.5</v>
      </c>
      <c r="E473">
        <v>3.8324420677361859E-2</v>
      </c>
      <c r="F473">
        <f t="shared" si="14"/>
        <v>11.690587327952702</v>
      </c>
      <c r="G473">
        <f t="shared" si="15"/>
        <v>1.9096669742653102E-2</v>
      </c>
    </row>
    <row r="474" spans="1:7" x14ac:dyDescent="0.2">
      <c r="A474" s="1">
        <v>32234</v>
      </c>
      <c r="B474">
        <v>577427000000</v>
      </c>
      <c r="C474">
        <v>8.5</v>
      </c>
      <c r="D474" s="5">
        <v>117.2</v>
      </c>
      <c r="E474">
        <v>3.9929015084294583E-2</v>
      </c>
      <c r="F474">
        <f t="shared" si="14"/>
        <v>11.692569475581472</v>
      </c>
      <c r="G474">
        <f t="shared" si="15"/>
        <v>1.8426042548582981E-2</v>
      </c>
    </row>
    <row r="475" spans="1:7" x14ac:dyDescent="0.2">
      <c r="A475" s="1">
        <v>32264</v>
      </c>
      <c r="B475">
        <v>583828900000</v>
      </c>
      <c r="C475">
        <v>8.84</v>
      </c>
      <c r="D475" s="5">
        <v>117.5</v>
      </c>
      <c r="E475">
        <v>3.9823008849557473E-2</v>
      </c>
      <c r="F475">
        <f t="shared" si="14"/>
        <v>11.696247722502406</v>
      </c>
      <c r="G475">
        <f t="shared" si="15"/>
        <v>1.9829109983384753E-2</v>
      </c>
    </row>
    <row r="476" spans="1:7" x14ac:dyDescent="0.2">
      <c r="A476" s="1">
        <v>32295</v>
      </c>
      <c r="B476">
        <v>588981400000</v>
      </c>
      <c r="C476">
        <v>9</v>
      </c>
      <c r="D476" s="5">
        <v>118</v>
      </c>
      <c r="E476">
        <v>3.9647577092511099E-2</v>
      </c>
      <c r="F476">
        <f t="shared" si="14"/>
        <v>11.69821957270184</v>
      </c>
      <c r="G476">
        <f t="shared" si="15"/>
        <v>2.0540352163639797E-2</v>
      </c>
    </row>
    <row r="477" spans="1:7" x14ac:dyDescent="0.2">
      <c r="A477" s="1">
        <v>32325</v>
      </c>
      <c r="B477">
        <v>593974400000</v>
      </c>
      <c r="C477">
        <v>9.2899999999999991</v>
      </c>
      <c r="D477" s="5">
        <v>118.5</v>
      </c>
      <c r="E477">
        <v>4.1300527240773377E-2</v>
      </c>
      <c r="F477">
        <f t="shared" si="14"/>
        <v>11.700049377163149</v>
      </c>
      <c r="G477">
        <f t="shared" si="15"/>
        <v>2.1004337674507975E-2</v>
      </c>
    </row>
    <row r="478" spans="1:7" x14ac:dyDescent="0.2">
      <c r="A478" s="1">
        <v>32356</v>
      </c>
      <c r="B478">
        <v>594557700000</v>
      </c>
      <c r="C478">
        <v>9.84</v>
      </c>
      <c r="D478" s="5">
        <v>119</v>
      </c>
      <c r="E478">
        <v>4.1119860017497789E-2</v>
      </c>
      <c r="F478">
        <f t="shared" si="14"/>
        <v>11.698647046553983</v>
      </c>
      <c r="G478">
        <f t="shared" si="15"/>
        <v>2.3259793231449721E-2</v>
      </c>
    </row>
    <row r="479" spans="1:7" x14ac:dyDescent="0.2">
      <c r="A479" s="1">
        <v>32387</v>
      </c>
      <c r="B479">
        <v>595477800000</v>
      </c>
      <c r="C479">
        <v>10</v>
      </c>
      <c r="D479" s="5">
        <v>119.5</v>
      </c>
      <c r="E479">
        <v>4.1848299912816023E-2</v>
      </c>
      <c r="F479">
        <f t="shared" si="14"/>
        <v>11.697497669909593</v>
      </c>
      <c r="G479">
        <f t="shared" si="15"/>
        <v>2.3588197775336269E-2</v>
      </c>
    </row>
    <row r="480" spans="1:7" x14ac:dyDescent="0.2">
      <c r="A480" s="1">
        <v>32417</v>
      </c>
      <c r="B480">
        <v>599031800000</v>
      </c>
      <c r="C480">
        <v>10</v>
      </c>
      <c r="D480" s="5">
        <v>119.9</v>
      </c>
      <c r="E480">
        <v>4.2608695652174067E-2</v>
      </c>
      <c r="F480">
        <f t="shared" si="14"/>
        <v>11.698630694712744</v>
      </c>
      <c r="G480">
        <f t="shared" si="15"/>
        <v>2.3271342412988005E-2</v>
      </c>
    </row>
    <row r="481" spans="1:7" x14ac:dyDescent="0.2">
      <c r="A481" s="1">
        <v>32448</v>
      </c>
      <c r="B481">
        <v>601037800000</v>
      </c>
      <c r="C481">
        <v>10.050000000000001</v>
      </c>
      <c r="D481" s="5">
        <v>120.3</v>
      </c>
      <c r="E481">
        <v>4.2461005199306623E-2</v>
      </c>
      <c r="F481">
        <f t="shared" si="14"/>
        <v>11.698636158831253</v>
      </c>
      <c r="G481">
        <f t="shared" si="15"/>
        <v>2.3530228369234681E-2</v>
      </c>
    </row>
    <row r="482" spans="1:7" x14ac:dyDescent="0.2">
      <c r="A482" s="1">
        <v>32478</v>
      </c>
      <c r="B482">
        <v>604603300000</v>
      </c>
      <c r="C482">
        <v>10.5</v>
      </c>
      <c r="D482" s="5">
        <v>120.7</v>
      </c>
      <c r="E482">
        <v>4.4117647058823595E-2</v>
      </c>
      <c r="F482">
        <f t="shared" si="14"/>
        <v>11.69976324318421</v>
      </c>
      <c r="G482">
        <f t="shared" si="15"/>
        <v>2.4612842008290541E-2</v>
      </c>
    </row>
    <row r="483" spans="1:7" x14ac:dyDescent="0.2">
      <c r="A483" s="1">
        <v>32509</v>
      </c>
      <c r="B483">
        <v>606270900000</v>
      </c>
      <c r="C483">
        <v>10.5</v>
      </c>
      <c r="D483" s="5">
        <v>121.2</v>
      </c>
      <c r="E483">
        <v>4.482758620689653E-2</v>
      </c>
      <c r="F483">
        <f t="shared" si="14"/>
        <v>11.699164103488455</v>
      </c>
      <c r="G483">
        <f t="shared" si="15"/>
        <v>2.4317647417780537E-2</v>
      </c>
    </row>
    <row r="484" spans="1:7" x14ac:dyDescent="0.2">
      <c r="A484" s="1">
        <v>32540</v>
      </c>
      <c r="B484">
        <v>617092700000</v>
      </c>
      <c r="C484">
        <v>10.93</v>
      </c>
      <c r="D484" s="5">
        <v>121.6</v>
      </c>
      <c r="E484">
        <v>4.6471600688468007E-2</v>
      </c>
      <c r="F484">
        <f t="shared" si="14"/>
        <v>11.705416833949766</v>
      </c>
      <c r="G484">
        <f t="shared" si="15"/>
        <v>2.5321566106556882E-2</v>
      </c>
    </row>
    <row r="485" spans="1:7" x14ac:dyDescent="0.2">
      <c r="A485" s="1">
        <v>32568</v>
      </c>
      <c r="B485">
        <v>616481000000</v>
      </c>
      <c r="C485">
        <v>11.5</v>
      </c>
      <c r="D485" s="5">
        <v>122.2</v>
      </c>
      <c r="E485">
        <v>4.8927038626609409E-2</v>
      </c>
      <c r="F485">
        <f t="shared" si="14"/>
        <v>11.702848490236388</v>
      </c>
      <c r="G485">
        <f t="shared" si="15"/>
        <v>2.6529586839681818E-2</v>
      </c>
    </row>
    <row r="486" spans="1:7" x14ac:dyDescent="0.2">
      <c r="A486" s="1">
        <v>32599</v>
      </c>
      <c r="B486">
        <v>619041200000</v>
      </c>
      <c r="C486">
        <v>11.5</v>
      </c>
      <c r="D486" s="5">
        <v>123.1</v>
      </c>
      <c r="E486">
        <v>5.0341296928327672E-2</v>
      </c>
      <c r="F486">
        <f t="shared" si="14"/>
        <v>11.701461501318548</v>
      </c>
      <c r="G486">
        <f t="shared" si="15"/>
        <v>2.5944426134935042E-2</v>
      </c>
    </row>
    <row r="487" spans="1:7" x14ac:dyDescent="0.2">
      <c r="A487" s="1">
        <v>32629</v>
      </c>
      <c r="B487">
        <v>624309600000</v>
      </c>
      <c r="C487">
        <v>11.5</v>
      </c>
      <c r="D487" s="5">
        <v>123.7</v>
      </c>
      <c r="E487">
        <v>5.2765957446808454E-2</v>
      </c>
      <c r="F487">
        <f t="shared" si="14"/>
        <v>11.703030313493697</v>
      </c>
      <c r="G487">
        <f t="shared" si="15"/>
        <v>2.4943034362813962E-2</v>
      </c>
    </row>
    <row r="488" spans="1:7" x14ac:dyDescent="0.2">
      <c r="A488" s="1">
        <v>32660</v>
      </c>
      <c r="B488">
        <v>624266800000</v>
      </c>
      <c r="C488">
        <v>11.07</v>
      </c>
      <c r="D488" s="5">
        <v>124.1</v>
      </c>
      <c r="E488">
        <v>5.1694915254237195E-2</v>
      </c>
      <c r="F488">
        <f t="shared" si="14"/>
        <v>11.701598457228492</v>
      </c>
      <c r="G488">
        <f t="shared" si="15"/>
        <v>2.3706997674974403E-2</v>
      </c>
    </row>
    <row r="489" spans="1:7" x14ac:dyDescent="0.2">
      <c r="A489" s="1">
        <v>32690</v>
      </c>
      <c r="B489">
        <v>631040300000</v>
      </c>
      <c r="C489">
        <v>10.98</v>
      </c>
      <c r="D489" s="5">
        <v>124.5</v>
      </c>
      <c r="E489">
        <v>5.0632911392405111E-2</v>
      </c>
      <c r="F489">
        <f t="shared" si="14"/>
        <v>11.704887743959357</v>
      </c>
      <c r="G489">
        <f t="shared" si="15"/>
        <v>2.3793719392514515E-2</v>
      </c>
    </row>
    <row r="490" spans="1:7" x14ac:dyDescent="0.2">
      <c r="A490" s="1">
        <v>32721</v>
      </c>
      <c r="B490">
        <v>635265400000</v>
      </c>
      <c r="C490">
        <v>10.5</v>
      </c>
      <c r="D490" s="5">
        <v>124.5</v>
      </c>
      <c r="E490">
        <v>4.6218487394958041E-2</v>
      </c>
      <c r="F490">
        <f t="shared" si="14"/>
        <v>11.707785850514114</v>
      </c>
      <c r="G490">
        <f t="shared" si="15"/>
        <v>2.3739887981905083E-2</v>
      </c>
    </row>
    <row r="491" spans="1:7" x14ac:dyDescent="0.2">
      <c r="A491" s="1">
        <v>32752</v>
      </c>
      <c r="B491">
        <v>637189600000</v>
      </c>
      <c r="C491">
        <v>10.5</v>
      </c>
      <c r="D491" s="5">
        <v>124.8</v>
      </c>
      <c r="E491">
        <v>4.435146443514637E-2</v>
      </c>
      <c r="F491">
        <f t="shared" si="14"/>
        <v>11.708054093428213</v>
      </c>
      <c r="G491">
        <f t="shared" si="15"/>
        <v>2.4515597958880822E-2</v>
      </c>
    </row>
    <row r="492" spans="1:7" x14ac:dyDescent="0.2">
      <c r="A492" s="1">
        <v>32782</v>
      </c>
      <c r="B492">
        <v>639341600000</v>
      </c>
      <c r="C492">
        <v>10.5</v>
      </c>
      <c r="D492" s="5">
        <v>125.4</v>
      </c>
      <c r="E492">
        <v>4.587155963302747E-2</v>
      </c>
      <c r="F492">
        <f t="shared" si="14"/>
        <v>11.707435427070504</v>
      </c>
      <c r="G492">
        <f t="shared" si="15"/>
        <v>2.3883924625280554E-2</v>
      </c>
    </row>
    <row r="493" spans="1:7" x14ac:dyDescent="0.2">
      <c r="A493" s="1">
        <v>32813</v>
      </c>
      <c r="B493">
        <v>639666400000</v>
      </c>
      <c r="C493">
        <v>10.5</v>
      </c>
      <c r="D493" s="5">
        <v>125.9</v>
      </c>
      <c r="E493">
        <v>4.6550290939318506E-2</v>
      </c>
      <c r="F493">
        <f t="shared" si="14"/>
        <v>11.705927808857577</v>
      </c>
      <c r="G493">
        <f t="shared" si="15"/>
        <v>2.3602175253111625E-2</v>
      </c>
    </row>
    <row r="494" spans="1:7" x14ac:dyDescent="0.2">
      <c r="A494" s="1">
        <v>32843</v>
      </c>
      <c r="B494">
        <v>637573400000</v>
      </c>
      <c r="C494">
        <v>10.5</v>
      </c>
      <c r="D494" s="5">
        <v>126.3</v>
      </c>
      <c r="E494">
        <v>4.6396023198011616E-2</v>
      </c>
      <c r="F494">
        <f t="shared" si="14"/>
        <v>11.703126839146718</v>
      </c>
      <c r="G494">
        <f t="shared" si="15"/>
        <v>2.3666197563147993E-2</v>
      </c>
    </row>
    <row r="495" spans="1:7" x14ac:dyDescent="0.2">
      <c r="A495" s="1">
        <v>32874</v>
      </c>
      <c r="B495">
        <v>635748400000</v>
      </c>
      <c r="C495">
        <v>10.11</v>
      </c>
      <c r="D495" s="5">
        <v>127.5</v>
      </c>
      <c r="E495">
        <v>5.1980198019802026E-2</v>
      </c>
      <c r="F495">
        <f t="shared" si="14"/>
        <v>11.697775091082027</v>
      </c>
      <c r="G495">
        <f t="shared" si="15"/>
        <v>1.9819197697837118E-2</v>
      </c>
    </row>
    <row r="496" spans="1:7" x14ac:dyDescent="0.2">
      <c r="A496" s="1">
        <v>32905</v>
      </c>
      <c r="B496">
        <v>636527500000</v>
      </c>
      <c r="C496">
        <v>10</v>
      </c>
      <c r="D496" s="5">
        <v>128</v>
      </c>
      <c r="E496">
        <v>5.2631578947368363E-2</v>
      </c>
      <c r="F496">
        <f t="shared" si="14"/>
        <v>11.696607201641505</v>
      </c>
      <c r="G496">
        <f t="shared" si="15"/>
        <v>1.9116290447072869E-2</v>
      </c>
    </row>
    <row r="497" spans="1:7" x14ac:dyDescent="0.2">
      <c r="A497" s="1">
        <v>32933</v>
      </c>
      <c r="B497">
        <v>638358700000</v>
      </c>
      <c r="C497">
        <v>10</v>
      </c>
      <c r="D497" s="5">
        <v>128.6</v>
      </c>
      <c r="E497">
        <v>5.237315875613735E-2</v>
      </c>
      <c r="F497">
        <f t="shared" si="14"/>
        <v>11.695823813040331</v>
      </c>
      <c r="G497">
        <f t="shared" si="15"/>
        <v>1.9222922476557297E-2</v>
      </c>
    </row>
    <row r="498" spans="1:7" x14ac:dyDescent="0.2">
      <c r="A498" s="1">
        <v>32964</v>
      </c>
      <c r="B498">
        <v>640851000000</v>
      </c>
      <c r="C498">
        <v>10</v>
      </c>
      <c r="D498" s="5">
        <v>128.9</v>
      </c>
      <c r="E498">
        <v>4.7116165718927849E-2</v>
      </c>
      <c r="F498">
        <f t="shared" si="14"/>
        <v>11.696504148983118</v>
      </c>
      <c r="G498">
        <f t="shared" si="15"/>
        <v>2.1397820736138318E-2</v>
      </c>
    </row>
    <row r="499" spans="1:7" x14ac:dyDescent="0.2">
      <c r="A499" s="1">
        <v>32994</v>
      </c>
      <c r="B499">
        <v>639760800000</v>
      </c>
      <c r="C499">
        <v>10</v>
      </c>
      <c r="D499" s="5">
        <v>129.1</v>
      </c>
      <c r="E499">
        <v>4.3654001616814764E-2</v>
      </c>
      <c r="F499">
        <f t="shared" si="14"/>
        <v>11.695091383814201</v>
      </c>
      <c r="G499">
        <f t="shared" si="15"/>
        <v>2.2836142520925466E-2</v>
      </c>
    </row>
    <row r="500" spans="1:7" x14ac:dyDescent="0.2">
      <c r="A500" s="1">
        <v>33025</v>
      </c>
      <c r="B500">
        <v>641532100000</v>
      </c>
      <c r="C500">
        <v>10</v>
      </c>
      <c r="D500" s="5">
        <v>129.9</v>
      </c>
      <c r="E500">
        <v>4.6736502820306391E-2</v>
      </c>
      <c r="F500">
        <f t="shared" si="14"/>
        <v>11.693609240743278</v>
      </c>
      <c r="G500">
        <f t="shared" si="15"/>
        <v>2.155531558392693E-2</v>
      </c>
    </row>
    <row r="501" spans="1:7" x14ac:dyDescent="0.2">
      <c r="A501" s="1">
        <v>33055</v>
      </c>
      <c r="B501">
        <v>639921600000</v>
      </c>
      <c r="C501">
        <v>10</v>
      </c>
      <c r="D501" s="5">
        <v>130.5</v>
      </c>
      <c r="E501">
        <v>4.8192771084337283E-2</v>
      </c>
      <c r="F501">
        <f t="shared" si="14"/>
        <v>11.690516257976721</v>
      </c>
      <c r="G501">
        <f t="shared" si="15"/>
        <v>2.0951524915680444E-2</v>
      </c>
    </row>
    <row r="502" spans="1:7" x14ac:dyDescent="0.2">
      <c r="A502" s="1">
        <v>33086</v>
      </c>
      <c r="B502">
        <v>640373000000</v>
      </c>
      <c r="C502">
        <v>10</v>
      </c>
      <c r="D502" s="5">
        <v>131.6</v>
      </c>
      <c r="E502">
        <v>5.7028112449799107E-2</v>
      </c>
      <c r="F502">
        <f t="shared" si="14"/>
        <v>11.687177123228839</v>
      </c>
      <c r="G502">
        <f t="shared" si="15"/>
        <v>1.7306147312043552E-2</v>
      </c>
    </row>
    <row r="503" spans="1:7" x14ac:dyDescent="0.2">
      <c r="A503" s="1">
        <v>33117</v>
      </c>
      <c r="B503">
        <v>639479600000</v>
      </c>
      <c r="C503">
        <v>10</v>
      </c>
      <c r="D503" s="5">
        <v>132.5</v>
      </c>
      <c r="E503">
        <v>6.1698717948718063E-2</v>
      </c>
      <c r="F503">
        <f t="shared" si="14"/>
        <v>11.683610816360854</v>
      </c>
      <c r="G503">
        <f t="shared" si="15"/>
        <v>1.5391392231803519E-2</v>
      </c>
    </row>
    <row r="504" spans="1:7" x14ac:dyDescent="0.2">
      <c r="A504" s="1">
        <v>33147</v>
      </c>
      <c r="B504">
        <v>637525000000</v>
      </c>
      <c r="C504">
        <v>10</v>
      </c>
      <c r="D504" s="5">
        <v>133.4</v>
      </c>
      <c r="E504">
        <v>6.3795853269537517E-2</v>
      </c>
      <c r="F504">
        <f t="shared" si="14"/>
        <v>11.67934139034768</v>
      </c>
      <c r="G504">
        <f t="shared" si="15"/>
        <v>1.4534392072392573E-2</v>
      </c>
    </row>
    <row r="505" spans="1:7" x14ac:dyDescent="0.2">
      <c r="A505" s="1">
        <v>33178</v>
      </c>
      <c r="B505">
        <v>639180100000</v>
      </c>
      <c r="C505">
        <v>10</v>
      </c>
      <c r="D505" s="5">
        <v>133.69999999999999</v>
      </c>
      <c r="E505">
        <v>6.1953931691818731E-2</v>
      </c>
      <c r="F505">
        <f t="shared" si="14"/>
        <v>11.6794918380885</v>
      </c>
      <c r="G505">
        <f t="shared" si="15"/>
        <v>1.5287008004103344E-2</v>
      </c>
    </row>
    <row r="506" spans="1:7" x14ac:dyDescent="0.2">
      <c r="A506" s="1">
        <v>33208</v>
      </c>
      <c r="B506">
        <v>641546900000</v>
      </c>
      <c r="C506">
        <v>10</v>
      </c>
      <c r="D506" s="5">
        <v>134.19999999999999</v>
      </c>
      <c r="E506">
        <v>6.2549485352335621E-2</v>
      </c>
      <c r="F506">
        <f t="shared" si="14"/>
        <v>11.679475894942934</v>
      </c>
      <c r="G506">
        <f t="shared" si="15"/>
        <v>1.5043519880582612E-2</v>
      </c>
    </row>
    <row r="507" spans="1:7" x14ac:dyDescent="0.2">
      <c r="A507" s="1">
        <v>33239</v>
      </c>
      <c r="B507">
        <v>636137500000</v>
      </c>
      <c r="C507">
        <v>9.52</v>
      </c>
      <c r="D507" s="5">
        <v>134.69999999999999</v>
      </c>
      <c r="E507">
        <v>5.647058823529405E-2</v>
      </c>
      <c r="F507">
        <f t="shared" si="14"/>
        <v>11.67418340205923</v>
      </c>
      <c r="G507">
        <f t="shared" si="15"/>
        <v>1.5636024172921981E-2</v>
      </c>
    </row>
    <row r="508" spans="1:7" x14ac:dyDescent="0.2">
      <c r="A508" s="1">
        <v>33270</v>
      </c>
      <c r="B508">
        <v>635960700000</v>
      </c>
      <c r="C508">
        <v>9.0500000000000007</v>
      </c>
      <c r="D508" s="5">
        <v>134.80000000000001</v>
      </c>
      <c r="E508">
        <v>5.3125000000000089E-2</v>
      </c>
      <c r="F508">
        <f t="shared" si="14"/>
        <v>11.673740386498656</v>
      </c>
      <c r="G508">
        <f t="shared" si="15"/>
        <v>1.5145747363286419E-2</v>
      </c>
    </row>
    <row r="509" spans="1:7" x14ac:dyDescent="0.2">
      <c r="A509" s="1">
        <v>33298</v>
      </c>
      <c r="B509">
        <v>635289100000</v>
      </c>
      <c r="C509">
        <v>9</v>
      </c>
      <c r="D509" s="5">
        <v>134.80000000000001</v>
      </c>
      <c r="E509">
        <v>4.8211508553654969E-2</v>
      </c>
      <c r="F509">
        <f t="shared" si="14"/>
        <v>11.673281511773672</v>
      </c>
      <c r="G509">
        <f t="shared" si="15"/>
        <v>1.6977574329525871E-2</v>
      </c>
    </row>
    <row r="510" spans="1:7" x14ac:dyDescent="0.2">
      <c r="A510" s="1">
        <v>33329</v>
      </c>
      <c r="B510">
        <v>631268100000</v>
      </c>
      <c r="C510">
        <v>9</v>
      </c>
      <c r="D510" s="5">
        <v>135.1</v>
      </c>
      <c r="E510">
        <v>4.8099301784328752E-2</v>
      </c>
      <c r="F510">
        <f t="shared" si="14"/>
        <v>11.669558494567941</v>
      </c>
      <c r="G510">
        <f t="shared" si="15"/>
        <v>1.7024066271996183E-2</v>
      </c>
    </row>
    <row r="511" spans="1:7" x14ac:dyDescent="0.2">
      <c r="A511" s="1">
        <v>33359</v>
      </c>
      <c r="B511">
        <v>627742100000</v>
      </c>
      <c r="C511">
        <v>8.5</v>
      </c>
      <c r="D511" s="5">
        <v>135.6</v>
      </c>
      <c r="E511">
        <v>5.0348567002323819E-2</v>
      </c>
      <c r="F511">
        <f t="shared" si="14"/>
        <v>11.665521566385184</v>
      </c>
      <c r="G511">
        <f t="shared" si="15"/>
        <v>1.4096290919924065E-2</v>
      </c>
    </row>
    <row r="512" spans="1:7" x14ac:dyDescent="0.2">
      <c r="A512" s="1">
        <v>33390</v>
      </c>
      <c r="B512">
        <v>626379500000</v>
      </c>
      <c r="C512">
        <v>8.5</v>
      </c>
      <c r="D512" s="5">
        <v>136</v>
      </c>
      <c r="E512">
        <v>4.6959199384141614E-2</v>
      </c>
      <c r="F512">
        <f t="shared" si="14"/>
        <v>11.663298627425254</v>
      </c>
      <c r="G512">
        <f t="shared" si="15"/>
        <v>1.5499980887358641E-2</v>
      </c>
    </row>
    <row r="513" spans="1:7" x14ac:dyDescent="0.2">
      <c r="A513" s="1">
        <v>33420</v>
      </c>
      <c r="B513">
        <v>623221600000</v>
      </c>
      <c r="C513">
        <v>8.5</v>
      </c>
      <c r="D513" s="5">
        <v>136.19999999999999</v>
      </c>
      <c r="E513">
        <v>4.3678160919540243E-2</v>
      </c>
      <c r="F513">
        <f t="shared" si="14"/>
        <v>11.660465389395581</v>
      </c>
      <c r="G513">
        <f t="shared" si="15"/>
        <v>1.686314228208171E-2</v>
      </c>
    </row>
    <row r="514" spans="1:7" x14ac:dyDescent="0.2">
      <c r="A514" s="1">
        <v>33451</v>
      </c>
      <c r="B514">
        <v>618382200000</v>
      </c>
      <c r="C514">
        <v>8.5</v>
      </c>
      <c r="D514" s="5">
        <v>136.6</v>
      </c>
      <c r="E514">
        <v>3.7993920972644313E-2</v>
      </c>
      <c r="F514">
        <f t="shared" si="14"/>
        <v>11.655806280670452</v>
      </c>
      <c r="G514">
        <f t="shared" si="15"/>
        <v>1.9234928116971244E-2</v>
      </c>
    </row>
    <row r="515" spans="1:7" x14ac:dyDescent="0.2">
      <c r="A515" s="1">
        <v>33482</v>
      </c>
      <c r="B515">
        <v>620561900000</v>
      </c>
      <c r="C515">
        <v>8.1999999999999993</v>
      </c>
      <c r="D515" s="5">
        <v>137</v>
      </c>
      <c r="E515">
        <v>3.3962264150943389E-2</v>
      </c>
      <c r="F515">
        <f t="shared" si="14"/>
        <v>11.656064540979111</v>
      </c>
      <c r="G515">
        <f t="shared" si="15"/>
        <v>1.9722571886970554E-2</v>
      </c>
    </row>
    <row r="516" spans="1:7" x14ac:dyDescent="0.2">
      <c r="A516" s="1">
        <v>33512</v>
      </c>
      <c r="B516">
        <v>620969800000</v>
      </c>
      <c r="C516">
        <v>8</v>
      </c>
      <c r="D516" s="5">
        <v>137.19999999999999</v>
      </c>
      <c r="E516">
        <v>2.8485757121439192E-2</v>
      </c>
      <c r="F516">
        <f t="shared" ref="F516:F579" si="16">LOG(B516/D516*100)</f>
        <v>11.655716368013126</v>
      </c>
      <c r="G516">
        <f t="shared" ref="G516:G579" si="17">LOG((1+C516/100)/(1+E516))</f>
        <v>2.1225473696747085E-2</v>
      </c>
    </row>
    <row r="517" spans="1:7" x14ac:dyDescent="0.2">
      <c r="A517" s="1">
        <v>33543</v>
      </c>
      <c r="B517">
        <v>618416600000</v>
      </c>
      <c r="C517">
        <v>7.58</v>
      </c>
      <c r="D517" s="5">
        <v>137.80000000000001</v>
      </c>
      <c r="E517">
        <v>3.0665669409125185E-2</v>
      </c>
      <c r="F517">
        <f t="shared" si="16"/>
        <v>11.652031921151792</v>
      </c>
      <c r="G517">
        <f t="shared" si="17"/>
        <v>1.861372963620378E-2</v>
      </c>
    </row>
    <row r="518" spans="1:7" x14ac:dyDescent="0.2">
      <c r="A518" s="1">
        <v>33573</v>
      </c>
      <c r="B518">
        <v>618354200000</v>
      </c>
      <c r="C518">
        <v>7.21</v>
      </c>
      <c r="D518" s="5">
        <v>138.19999999999999</v>
      </c>
      <c r="E518">
        <v>2.9806259314456129E-2</v>
      </c>
      <c r="F518">
        <f t="shared" si="16"/>
        <v>11.650729271921442</v>
      </c>
      <c r="G518">
        <f t="shared" si="17"/>
        <v>1.7479768807038359E-2</v>
      </c>
    </row>
    <row r="519" spans="1:7" x14ac:dyDescent="0.2">
      <c r="A519" s="1">
        <v>33604</v>
      </c>
      <c r="B519">
        <v>613599600000</v>
      </c>
      <c r="C519">
        <v>6.5</v>
      </c>
      <c r="D519" s="5">
        <v>138.30000000000001</v>
      </c>
      <c r="E519">
        <v>2.6726057906458989E-2</v>
      </c>
      <c r="F519">
        <f t="shared" si="16"/>
        <v>11.647062887719082</v>
      </c>
      <c r="G519">
        <f t="shared" si="17"/>
        <v>1.5895023388431434E-2</v>
      </c>
    </row>
    <row r="520" spans="1:7" x14ac:dyDescent="0.2">
      <c r="A520" s="1">
        <v>33635</v>
      </c>
      <c r="B520">
        <v>609738200000</v>
      </c>
      <c r="C520">
        <v>6.5</v>
      </c>
      <c r="D520" s="5">
        <v>138.6</v>
      </c>
      <c r="E520">
        <v>2.8189910979228294E-2</v>
      </c>
      <c r="F520">
        <f t="shared" si="16"/>
        <v>11.643380174077796</v>
      </c>
      <c r="G520">
        <f t="shared" si="17"/>
        <v>1.5276269698269663E-2</v>
      </c>
    </row>
    <row r="521" spans="1:7" x14ac:dyDescent="0.2">
      <c r="A521" s="1">
        <v>33664</v>
      </c>
      <c r="B521">
        <v>607376800000</v>
      </c>
      <c r="C521">
        <v>6.5</v>
      </c>
      <c r="D521" s="5">
        <v>139.1</v>
      </c>
      <c r="E521">
        <v>3.1899109792284719E-2</v>
      </c>
      <c r="F521">
        <f t="shared" si="16"/>
        <v>11.640131069140402</v>
      </c>
      <c r="G521">
        <f t="shared" si="17"/>
        <v>1.3712369982011188E-2</v>
      </c>
    </row>
    <row r="522" spans="1:7" x14ac:dyDescent="0.2">
      <c r="A522" s="1">
        <v>33695</v>
      </c>
      <c r="B522">
        <v>604401900000</v>
      </c>
      <c r="C522">
        <v>6.5</v>
      </c>
      <c r="D522" s="5">
        <v>139.4</v>
      </c>
      <c r="E522">
        <v>3.1828275351591495E-2</v>
      </c>
      <c r="F522">
        <f t="shared" si="16"/>
        <v>11.637063047156849</v>
      </c>
      <c r="G522">
        <f t="shared" si="17"/>
        <v>1.3742183034796438E-2</v>
      </c>
    </row>
    <row r="523" spans="1:7" x14ac:dyDescent="0.2">
      <c r="A523" s="1">
        <v>33725</v>
      </c>
      <c r="B523">
        <v>602216300000</v>
      </c>
      <c r="C523">
        <v>6.5</v>
      </c>
      <c r="D523" s="5">
        <v>139.69999999999999</v>
      </c>
      <c r="E523">
        <v>3.0235988200590036E-2</v>
      </c>
      <c r="F523">
        <f t="shared" si="16"/>
        <v>11.634556100134381</v>
      </c>
      <c r="G523">
        <f t="shared" si="17"/>
        <v>1.4412891191619131E-2</v>
      </c>
    </row>
    <row r="524" spans="1:7" x14ac:dyDescent="0.2">
      <c r="A524" s="1">
        <v>33756</v>
      </c>
      <c r="B524">
        <v>601063300000</v>
      </c>
      <c r="C524">
        <v>6.5</v>
      </c>
      <c r="D524" s="5">
        <v>140.1</v>
      </c>
      <c r="E524">
        <v>3.0147058823529305E-2</v>
      </c>
      <c r="F524">
        <f t="shared" si="16"/>
        <v>11.632482076139722</v>
      </c>
      <c r="G524">
        <f t="shared" si="17"/>
        <v>1.4450380859199455E-2</v>
      </c>
    </row>
    <row r="525" spans="1:7" x14ac:dyDescent="0.2">
      <c r="A525" s="1">
        <v>33786</v>
      </c>
      <c r="B525">
        <v>599261300000</v>
      </c>
      <c r="C525">
        <v>6.02</v>
      </c>
      <c r="D525" s="5">
        <v>140.5</v>
      </c>
      <c r="E525">
        <v>3.1571218795888534E-2</v>
      </c>
      <c r="F525">
        <f t="shared" si="16"/>
        <v>11.629939907836935</v>
      </c>
      <c r="G525">
        <f t="shared" si="17"/>
        <v>1.1888583226075323E-2</v>
      </c>
    </row>
    <row r="526" spans="1:7" x14ac:dyDescent="0.2">
      <c r="A526" s="1">
        <v>33817</v>
      </c>
      <c r="B526">
        <v>597255600000</v>
      </c>
      <c r="C526">
        <v>6</v>
      </c>
      <c r="D526" s="5">
        <v>140.80000000000001</v>
      </c>
      <c r="E526">
        <v>3.0746705710102518E-2</v>
      </c>
      <c r="F526">
        <f t="shared" si="16"/>
        <v>11.62755757567559</v>
      </c>
      <c r="G526">
        <f t="shared" si="17"/>
        <v>1.2153909804190569E-2</v>
      </c>
    </row>
    <row r="527" spans="1:7" x14ac:dyDescent="0.2">
      <c r="A527" s="1">
        <v>33848</v>
      </c>
      <c r="B527">
        <v>598409600000</v>
      </c>
      <c r="C527">
        <v>6</v>
      </c>
      <c r="D527" s="5">
        <v>141.1</v>
      </c>
      <c r="E527">
        <v>2.9927007299270114E-2</v>
      </c>
      <c r="F527">
        <f t="shared" si="16"/>
        <v>11.627471538337323</v>
      </c>
      <c r="G527">
        <f t="shared" si="17"/>
        <v>1.2499418666829167E-2</v>
      </c>
    </row>
    <row r="528" spans="1:7" x14ac:dyDescent="0.2">
      <c r="A528" s="1">
        <v>33878</v>
      </c>
      <c r="B528">
        <v>596855700000</v>
      </c>
      <c r="C528">
        <v>6</v>
      </c>
      <c r="D528" s="5">
        <v>141.69999999999999</v>
      </c>
      <c r="E528">
        <v>3.2798833819241979E-2</v>
      </c>
      <c r="F528">
        <f t="shared" si="16"/>
        <v>11.624499495507138</v>
      </c>
      <c r="G528">
        <f t="shared" si="17"/>
        <v>1.1290126388042752E-2</v>
      </c>
    </row>
    <row r="529" spans="1:7" x14ac:dyDescent="0.2">
      <c r="A529" s="1">
        <v>33909</v>
      </c>
      <c r="B529">
        <v>596894700000</v>
      </c>
      <c r="C529">
        <v>6</v>
      </c>
      <c r="D529" s="5">
        <v>142.1</v>
      </c>
      <c r="E529">
        <v>3.1204644412191396E-2</v>
      </c>
      <c r="F529">
        <f t="shared" si="16"/>
        <v>11.623303644755504</v>
      </c>
      <c r="G529">
        <f t="shared" si="17"/>
        <v>1.1961004908907573E-2</v>
      </c>
    </row>
    <row r="530" spans="1:7" x14ac:dyDescent="0.2">
      <c r="A530" s="1">
        <v>33939</v>
      </c>
      <c r="B530">
        <v>596463400000</v>
      </c>
      <c r="C530">
        <v>6</v>
      </c>
      <c r="D530" s="5">
        <v>142.30000000000001</v>
      </c>
      <c r="E530">
        <v>2.9667149059334541E-2</v>
      </c>
      <c r="F530">
        <f t="shared" si="16"/>
        <v>11.622378899697926</v>
      </c>
      <c r="G530">
        <f t="shared" si="17"/>
        <v>1.2609008218665421E-2</v>
      </c>
    </row>
    <row r="531" spans="1:7" x14ac:dyDescent="0.2">
      <c r="A531" s="1">
        <v>33970</v>
      </c>
      <c r="B531">
        <v>595492200000</v>
      </c>
      <c r="C531">
        <v>6</v>
      </c>
      <c r="D531" s="5">
        <v>142.80000000000001</v>
      </c>
      <c r="E531">
        <v>3.2537960954446943E-2</v>
      </c>
      <c r="F531">
        <f t="shared" si="16"/>
        <v>11.620147869849431</v>
      </c>
      <c r="G531">
        <f t="shared" si="17"/>
        <v>1.1399837933925214E-2</v>
      </c>
    </row>
    <row r="532" spans="1:7" x14ac:dyDescent="0.2">
      <c r="A532" s="1">
        <v>34001</v>
      </c>
      <c r="B532">
        <v>593512200000</v>
      </c>
      <c r="C532">
        <v>6</v>
      </c>
      <c r="D532" s="5">
        <v>143.1</v>
      </c>
      <c r="E532">
        <v>3.2467532467532534E-2</v>
      </c>
      <c r="F532">
        <f t="shared" si="16"/>
        <v>11.617790016806694</v>
      </c>
      <c r="G532">
        <f t="shared" si="17"/>
        <v>1.1429461780781804E-2</v>
      </c>
    </row>
    <row r="533" spans="1:7" x14ac:dyDescent="0.2">
      <c r="A533" s="1">
        <v>34029</v>
      </c>
      <c r="B533">
        <v>591274600000</v>
      </c>
      <c r="C533">
        <v>6</v>
      </c>
      <c r="D533" s="5">
        <v>143.30000000000001</v>
      </c>
      <c r="E533">
        <v>3.0194104960460155E-2</v>
      </c>
      <c r="F533">
        <f t="shared" si="16"/>
        <v>11.615543032561217</v>
      </c>
      <c r="G533">
        <f t="shared" si="17"/>
        <v>1.238680485947218E-2</v>
      </c>
    </row>
    <row r="534" spans="1:7" x14ac:dyDescent="0.2">
      <c r="A534" s="1">
        <v>34060</v>
      </c>
      <c r="B534">
        <v>585663100000</v>
      </c>
      <c r="C534">
        <v>6</v>
      </c>
      <c r="D534" s="5">
        <v>143.80000000000001</v>
      </c>
      <c r="E534">
        <v>3.1563845050215145E-2</v>
      </c>
      <c r="F534">
        <f t="shared" si="16"/>
        <v>11.609888975899453</v>
      </c>
      <c r="G534">
        <f t="shared" si="17"/>
        <v>1.1809752979897144E-2</v>
      </c>
    </row>
    <row r="535" spans="1:7" x14ac:dyDescent="0.2">
      <c r="A535" s="1">
        <v>34090</v>
      </c>
      <c r="B535">
        <v>588000700000</v>
      </c>
      <c r="C535">
        <v>6</v>
      </c>
      <c r="D535" s="5">
        <v>144.19999999999999</v>
      </c>
      <c r="E535">
        <v>3.2211882605583497E-2</v>
      </c>
      <c r="F535">
        <f t="shared" si="16"/>
        <v>11.61041258270966</v>
      </c>
      <c r="G535">
        <f t="shared" si="17"/>
        <v>1.1537010995541934E-2</v>
      </c>
    </row>
    <row r="536" spans="1:7" x14ac:dyDescent="0.2">
      <c r="A536" s="1">
        <v>34121</v>
      </c>
      <c r="B536">
        <v>590243700000</v>
      </c>
      <c r="C536">
        <v>6</v>
      </c>
      <c r="D536" s="5">
        <v>144.30000000000001</v>
      </c>
      <c r="E536">
        <v>2.9978586723768963E-2</v>
      </c>
      <c r="F536">
        <f t="shared" si="16"/>
        <v>11.611765029214936</v>
      </c>
      <c r="G536">
        <f t="shared" si="17"/>
        <v>1.2477669457050599E-2</v>
      </c>
    </row>
    <row r="537" spans="1:7" x14ac:dyDescent="0.2">
      <c r="A537" s="1">
        <v>34151</v>
      </c>
      <c r="B537">
        <v>587896000000</v>
      </c>
      <c r="C537">
        <v>6</v>
      </c>
      <c r="D537" s="5">
        <v>144.5</v>
      </c>
      <c r="E537">
        <v>2.8469750889679624E-2</v>
      </c>
      <c r="F537">
        <f t="shared" si="16"/>
        <v>11.609432658199701</v>
      </c>
      <c r="G537">
        <f t="shared" si="17"/>
        <v>1.3114342413302371E-2</v>
      </c>
    </row>
    <row r="538" spans="1:7" x14ac:dyDescent="0.2">
      <c r="A538" s="1">
        <v>34182</v>
      </c>
      <c r="B538">
        <v>587714600000</v>
      </c>
      <c r="C538">
        <v>6</v>
      </c>
      <c r="D538" s="5">
        <v>144.80000000000001</v>
      </c>
      <c r="E538">
        <v>2.8409090909090828E-2</v>
      </c>
      <c r="F538">
        <f t="shared" si="16"/>
        <v>11.608397917726297</v>
      </c>
      <c r="G538">
        <f t="shared" si="17"/>
        <v>1.3139958209735592E-2</v>
      </c>
    </row>
    <row r="539" spans="1:7" x14ac:dyDescent="0.2">
      <c r="A539" s="1">
        <v>34213</v>
      </c>
      <c r="B539">
        <v>585419100000</v>
      </c>
      <c r="C539">
        <v>6</v>
      </c>
      <c r="D539" s="5">
        <v>145</v>
      </c>
      <c r="E539">
        <v>2.7639971651311157E-2</v>
      </c>
      <c r="F539">
        <f t="shared" si="16"/>
        <v>11.6060988854721</v>
      </c>
      <c r="G539">
        <f t="shared" si="17"/>
        <v>1.3464876784143166E-2</v>
      </c>
    </row>
    <row r="540" spans="1:7" x14ac:dyDescent="0.2">
      <c r="A540" s="1">
        <v>34243</v>
      </c>
      <c r="B540">
        <v>583902500000</v>
      </c>
      <c r="C540">
        <v>6</v>
      </c>
      <c r="D540" s="5">
        <v>145.6</v>
      </c>
      <c r="E540">
        <v>2.7522935779816571E-2</v>
      </c>
      <c r="F540">
        <f t="shared" si="16"/>
        <v>11.603178959726025</v>
      </c>
      <c r="G540">
        <f t="shared" si="17"/>
        <v>1.3514340535212301E-2</v>
      </c>
    </row>
    <row r="541" spans="1:7" x14ac:dyDescent="0.2">
      <c r="A541" s="1">
        <v>34274</v>
      </c>
      <c r="B541">
        <v>584010400000</v>
      </c>
      <c r="C541">
        <v>6</v>
      </c>
      <c r="D541" s="5">
        <v>146</v>
      </c>
      <c r="E541">
        <v>2.7445460942997935E-2</v>
      </c>
      <c r="F541">
        <f t="shared" si="16"/>
        <v>11.60206772527042</v>
      </c>
      <c r="G541">
        <f t="shared" si="17"/>
        <v>1.3547087407802869E-2</v>
      </c>
    </row>
    <row r="542" spans="1:7" x14ac:dyDescent="0.2">
      <c r="A542" s="1">
        <v>34304</v>
      </c>
      <c r="B542">
        <v>583670100000</v>
      </c>
      <c r="C542">
        <v>6</v>
      </c>
      <c r="D542" s="5">
        <v>146.30000000000001</v>
      </c>
      <c r="E542">
        <v>2.8109627547435068E-2</v>
      </c>
      <c r="F542">
        <f t="shared" si="16"/>
        <v>11.600923119904381</v>
      </c>
      <c r="G542">
        <f t="shared" si="17"/>
        <v>1.3266439223743768E-2</v>
      </c>
    </row>
    <row r="543" spans="1:7" x14ac:dyDescent="0.2">
      <c r="A543" s="1">
        <v>34335</v>
      </c>
      <c r="B543">
        <v>587439800000</v>
      </c>
      <c r="C543">
        <v>6</v>
      </c>
      <c r="D543" s="5">
        <v>146.30000000000001</v>
      </c>
      <c r="E543">
        <v>2.450980392156854E-2</v>
      </c>
      <c r="F543">
        <f t="shared" si="16"/>
        <v>11.603719041214392</v>
      </c>
      <c r="G543">
        <f t="shared" si="17"/>
        <v>1.4789746579615069E-2</v>
      </c>
    </row>
    <row r="544" spans="1:7" x14ac:dyDescent="0.2">
      <c r="A544" s="1">
        <v>34366</v>
      </c>
      <c r="B544">
        <v>588041500000</v>
      </c>
      <c r="C544">
        <v>6</v>
      </c>
      <c r="D544" s="5">
        <v>146.69999999999999</v>
      </c>
      <c r="E544">
        <v>2.515723270440251E-2</v>
      </c>
      <c r="F544">
        <f t="shared" si="16"/>
        <v>11.602977862887627</v>
      </c>
      <c r="G544">
        <f t="shared" si="17"/>
        <v>1.4515385181263964E-2</v>
      </c>
    </row>
    <row r="545" spans="1:7" x14ac:dyDescent="0.2">
      <c r="A545" s="1">
        <v>34394</v>
      </c>
      <c r="B545">
        <v>594801100000</v>
      </c>
      <c r="C545">
        <v>6.06</v>
      </c>
      <c r="D545" s="5">
        <v>147.1</v>
      </c>
      <c r="E545">
        <v>2.6517794836008246E-2</v>
      </c>
      <c r="F545">
        <f t="shared" si="16"/>
        <v>11.606759090288978</v>
      </c>
      <c r="G545">
        <f t="shared" si="17"/>
        <v>1.4185140452358261E-2</v>
      </c>
    </row>
    <row r="546" spans="1:7" x14ac:dyDescent="0.2">
      <c r="A546" s="1">
        <v>34425</v>
      </c>
      <c r="B546">
        <v>600527100000</v>
      </c>
      <c r="C546">
        <v>6.45</v>
      </c>
      <c r="D546" s="5">
        <v>147.19999999999999</v>
      </c>
      <c r="E546">
        <v>2.3643949930458819E-2</v>
      </c>
      <c r="F546">
        <f t="shared" si="16"/>
        <v>11.610624800596558</v>
      </c>
      <c r="G546">
        <f t="shared" si="17"/>
        <v>1.6996741819725159E-2</v>
      </c>
    </row>
    <row r="547" spans="1:7" x14ac:dyDescent="0.2">
      <c r="A547" s="1">
        <v>34455</v>
      </c>
      <c r="B547">
        <v>604813100000</v>
      </c>
      <c r="C547">
        <v>6.99</v>
      </c>
      <c r="D547" s="5">
        <v>147.5</v>
      </c>
      <c r="E547">
        <v>2.2884882108183069E-2</v>
      </c>
      <c r="F547">
        <f t="shared" si="16"/>
        <v>11.61282916891855</v>
      </c>
      <c r="G547">
        <f t="shared" si="17"/>
        <v>1.9516427588335113E-2</v>
      </c>
    </row>
    <row r="548" spans="1:7" x14ac:dyDescent="0.2">
      <c r="A548" s="1">
        <v>34486</v>
      </c>
      <c r="B548">
        <v>609049400000</v>
      </c>
      <c r="C548">
        <v>7.25</v>
      </c>
      <c r="D548" s="5">
        <v>147.9</v>
      </c>
      <c r="E548">
        <v>2.4948024948024949E-2</v>
      </c>
      <c r="F548">
        <f t="shared" si="16"/>
        <v>11.61468434569232</v>
      </c>
      <c r="G548">
        <f t="shared" si="17"/>
        <v>1.9695457953363655E-2</v>
      </c>
    </row>
    <row r="549" spans="1:7" x14ac:dyDescent="0.2">
      <c r="A549" s="1">
        <v>34516</v>
      </c>
      <c r="B549">
        <v>616477900000</v>
      </c>
      <c r="C549">
        <v>7.25</v>
      </c>
      <c r="D549" s="5">
        <v>148.4</v>
      </c>
      <c r="E549">
        <v>2.6989619377162599E-2</v>
      </c>
      <c r="F549">
        <f t="shared" si="16"/>
        <v>11.618483611326804</v>
      </c>
      <c r="G549">
        <f t="shared" si="17"/>
        <v>1.8831247006320283E-2</v>
      </c>
    </row>
    <row r="550" spans="1:7" x14ac:dyDescent="0.2">
      <c r="A550" s="1">
        <v>34547</v>
      </c>
      <c r="B550">
        <v>622103200000</v>
      </c>
      <c r="C550">
        <v>7.51</v>
      </c>
      <c r="D550" s="5">
        <v>149</v>
      </c>
      <c r="E550">
        <v>2.9005524861878351E-2</v>
      </c>
      <c r="F550">
        <f t="shared" si="16"/>
        <v>11.62067616687794</v>
      </c>
      <c r="G550">
        <f t="shared" si="17"/>
        <v>1.9031155308237523E-2</v>
      </c>
    </row>
    <row r="551" spans="1:7" x14ac:dyDescent="0.2">
      <c r="A551" s="1">
        <v>34578</v>
      </c>
      <c r="B551">
        <v>624935200000</v>
      </c>
      <c r="C551">
        <v>7.75</v>
      </c>
      <c r="D551" s="5">
        <v>149.30000000000001</v>
      </c>
      <c r="E551">
        <v>2.9655172413793229E-2</v>
      </c>
      <c r="F551">
        <f t="shared" si="16"/>
        <v>11.62177517963277</v>
      </c>
      <c r="G551">
        <f t="shared" si="17"/>
        <v>1.9725473342718569E-2</v>
      </c>
    </row>
    <row r="552" spans="1:7" x14ac:dyDescent="0.2">
      <c r="A552" s="1">
        <v>34608</v>
      </c>
      <c r="B552">
        <v>631565600000</v>
      </c>
      <c r="C552">
        <v>7.75</v>
      </c>
      <c r="D552" s="5">
        <v>149.4</v>
      </c>
      <c r="E552">
        <v>2.6098901098901228E-2</v>
      </c>
      <c r="F552">
        <f t="shared" si="16"/>
        <v>11.626067869428383</v>
      </c>
      <c r="G552">
        <f t="shared" si="17"/>
        <v>2.1228056330407533E-2</v>
      </c>
    </row>
    <row r="553" spans="1:7" x14ac:dyDescent="0.2">
      <c r="A553" s="1">
        <v>34639</v>
      </c>
      <c r="B553">
        <v>638367500000</v>
      </c>
      <c r="C553">
        <v>8.15</v>
      </c>
      <c r="D553" s="5">
        <v>149.80000000000001</v>
      </c>
      <c r="E553">
        <v>2.6027397260274032E-2</v>
      </c>
      <c r="F553">
        <f t="shared" si="16"/>
        <v>11.629558955126546</v>
      </c>
      <c r="G553">
        <f t="shared" si="17"/>
        <v>2.2867566196099677E-2</v>
      </c>
    </row>
    <row r="554" spans="1:7" x14ac:dyDescent="0.2">
      <c r="A554" s="1">
        <v>34669</v>
      </c>
      <c r="B554">
        <v>643789400000</v>
      </c>
      <c r="C554">
        <v>8.5</v>
      </c>
      <c r="D554" s="5">
        <v>150.1</v>
      </c>
      <c r="E554">
        <v>2.5974025974025761E-2</v>
      </c>
      <c r="F554">
        <f t="shared" si="16"/>
        <v>11.632363129501469</v>
      </c>
      <c r="G554">
        <f t="shared" si="17"/>
        <v>2.4293372066588829E-2</v>
      </c>
    </row>
    <row r="555" spans="1:7" x14ac:dyDescent="0.2">
      <c r="A555" s="1">
        <v>34700</v>
      </c>
      <c r="B555">
        <v>654337100000</v>
      </c>
      <c r="C555">
        <v>8.5</v>
      </c>
      <c r="D555" s="5">
        <v>150.5</v>
      </c>
      <c r="E555">
        <v>2.8708133971291794E-2</v>
      </c>
      <c r="F555">
        <f t="shared" si="16"/>
        <v>11.63826504495737</v>
      </c>
      <c r="G555">
        <f t="shared" si="17"/>
        <v>2.3137564379997009E-2</v>
      </c>
    </row>
    <row r="556" spans="1:7" x14ac:dyDescent="0.2">
      <c r="A556" s="1">
        <v>34731</v>
      </c>
      <c r="B556">
        <v>666572200000</v>
      </c>
      <c r="C556">
        <v>9</v>
      </c>
      <c r="D556" s="5">
        <v>150.9</v>
      </c>
      <c r="E556">
        <v>2.8629856850715951E-2</v>
      </c>
      <c r="F556">
        <f t="shared" si="16"/>
        <v>11.645157957280155</v>
      </c>
      <c r="G556">
        <f t="shared" si="17"/>
        <v>2.51673720083164E-2</v>
      </c>
    </row>
    <row r="557" spans="1:7" x14ac:dyDescent="0.2">
      <c r="A557" s="1">
        <v>34759</v>
      </c>
      <c r="B557">
        <v>673561000000</v>
      </c>
      <c r="C557">
        <v>9</v>
      </c>
      <c r="D557" s="5">
        <v>151.19999999999999</v>
      </c>
      <c r="E557">
        <v>2.7872195785180187E-2</v>
      </c>
      <c r="F557">
        <f t="shared" si="16"/>
        <v>11.648825141876383</v>
      </c>
      <c r="G557">
        <f t="shared" si="17"/>
        <v>2.5487379502966073E-2</v>
      </c>
    </row>
    <row r="558" spans="1:7" x14ac:dyDescent="0.2">
      <c r="A558" s="1">
        <v>34790</v>
      </c>
      <c r="B558">
        <v>677612700000</v>
      </c>
      <c r="C558">
        <v>9</v>
      </c>
      <c r="D558" s="5">
        <v>151.80000000000001</v>
      </c>
      <c r="E558">
        <v>3.1250000000000222E-2</v>
      </c>
      <c r="F558">
        <f t="shared" si="16"/>
        <v>11.649709765503793</v>
      </c>
      <c r="G558">
        <f t="shared" si="17"/>
        <v>2.4062536382642101E-2</v>
      </c>
    </row>
    <row r="559" spans="1:7" x14ac:dyDescent="0.2">
      <c r="A559" s="1">
        <v>34820</v>
      </c>
      <c r="B559">
        <v>686272900000</v>
      </c>
      <c r="C559">
        <v>9</v>
      </c>
      <c r="D559" s="5">
        <v>152.1</v>
      </c>
      <c r="E559">
        <v>3.1186440677966054E-2</v>
      </c>
      <c r="F559">
        <f t="shared" si="16"/>
        <v>11.654367635467375</v>
      </c>
      <c r="G559">
        <f t="shared" si="17"/>
        <v>2.408930420180706E-2</v>
      </c>
    </row>
    <row r="560" spans="1:7" x14ac:dyDescent="0.2">
      <c r="A560" s="1">
        <v>34851</v>
      </c>
      <c r="B560">
        <v>690672800000</v>
      </c>
      <c r="C560">
        <v>9</v>
      </c>
      <c r="D560" s="5">
        <v>152.4</v>
      </c>
      <c r="E560">
        <v>3.0425963488843744E-2</v>
      </c>
      <c r="F560">
        <f t="shared" si="16"/>
        <v>11.656287386001971</v>
      </c>
      <c r="G560">
        <f t="shared" si="17"/>
        <v>2.4409704933934462E-2</v>
      </c>
    </row>
    <row r="561" spans="1:7" x14ac:dyDescent="0.2">
      <c r="A561" s="1">
        <v>34881</v>
      </c>
      <c r="B561">
        <v>698499400000</v>
      </c>
      <c r="C561">
        <v>8.8000000000000007</v>
      </c>
      <c r="D561" s="5">
        <v>152.6</v>
      </c>
      <c r="E561">
        <v>2.8301886792452713E-2</v>
      </c>
      <c r="F561">
        <f t="shared" si="16"/>
        <v>11.66061150377937</v>
      </c>
      <c r="G561">
        <f t="shared" si="17"/>
        <v>2.4508262686307795E-2</v>
      </c>
    </row>
    <row r="562" spans="1:7" x14ac:dyDescent="0.2">
      <c r="A562" s="1">
        <v>34912</v>
      </c>
      <c r="B562">
        <v>702803400000</v>
      </c>
      <c r="C562">
        <v>8.75</v>
      </c>
      <c r="D562" s="5">
        <v>152.9</v>
      </c>
      <c r="E562">
        <v>2.6174496644295386E-2</v>
      </c>
      <c r="F562">
        <f t="shared" si="16"/>
        <v>11.66242636843209</v>
      </c>
      <c r="G562">
        <f t="shared" si="17"/>
        <v>2.5208048626628742E-2</v>
      </c>
    </row>
    <row r="563" spans="1:7" x14ac:dyDescent="0.2">
      <c r="A563" s="1">
        <v>34943</v>
      </c>
      <c r="B563">
        <v>705986100000</v>
      </c>
      <c r="C563">
        <v>8.75</v>
      </c>
      <c r="D563" s="5">
        <v>153.1</v>
      </c>
      <c r="E563">
        <v>2.5452109845947701E-2</v>
      </c>
      <c r="F563">
        <f t="shared" si="16"/>
        <v>11.663820959712288</v>
      </c>
      <c r="G563">
        <f t="shared" si="17"/>
        <v>2.5513882653439346E-2</v>
      </c>
    </row>
    <row r="564" spans="1:7" x14ac:dyDescent="0.2">
      <c r="A564" s="1">
        <v>34973</v>
      </c>
      <c r="B564">
        <v>706266000000</v>
      </c>
      <c r="C564">
        <v>8.75</v>
      </c>
      <c r="D564" s="5">
        <v>153.5</v>
      </c>
      <c r="E564">
        <v>2.7443105756358666E-2</v>
      </c>
      <c r="F564">
        <f t="shared" si="16"/>
        <v>11.66285991978668</v>
      </c>
      <c r="G564">
        <f t="shared" si="17"/>
        <v>2.4671483292849614E-2</v>
      </c>
    </row>
    <row r="565" spans="1:7" x14ac:dyDescent="0.2">
      <c r="A565" s="1">
        <v>35004</v>
      </c>
      <c r="B565">
        <v>712581500000</v>
      </c>
      <c r="C565">
        <v>8.75</v>
      </c>
      <c r="D565" s="5">
        <v>153.69999999999999</v>
      </c>
      <c r="E565">
        <v>2.6034712950600669E-2</v>
      </c>
      <c r="F565">
        <f t="shared" si="16"/>
        <v>11.666160675533201</v>
      </c>
      <c r="G565">
        <f t="shared" si="17"/>
        <v>2.5267211490377455E-2</v>
      </c>
    </row>
    <row r="566" spans="1:7" x14ac:dyDescent="0.2">
      <c r="A566" s="1">
        <v>35034</v>
      </c>
      <c r="B566">
        <v>715072500000</v>
      </c>
      <c r="C566">
        <v>8.65</v>
      </c>
      <c r="D566" s="5">
        <v>153.9</v>
      </c>
      <c r="E566">
        <v>2.5316455696202667E-2</v>
      </c>
      <c r="F566">
        <f t="shared" si="16"/>
        <v>11.667111456590176</v>
      </c>
      <c r="G566">
        <f t="shared" si="17"/>
        <v>2.5171803068334987E-2</v>
      </c>
    </row>
    <row r="567" spans="1:7" x14ac:dyDescent="0.2">
      <c r="A567" s="1">
        <v>35065</v>
      </c>
      <c r="B567">
        <v>721795900000</v>
      </c>
      <c r="C567">
        <v>8.5</v>
      </c>
      <c r="D567" s="5">
        <v>154.69999999999999</v>
      </c>
      <c r="E567">
        <v>2.7906976744185963E-2</v>
      </c>
      <c r="F567">
        <f t="shared" si="16"/>
        <v>11.668924097118561</v>
      </c>
      <c r="G567">
        <f t="shared" si="17"/>
        <v>2.3475924415042961E-2</v>
      </c>
    </row>
    <row r="568" spans="1:7" x14ac:dyDescent="0.2">
      <c r="A568" s="1">
        <v>35096</v>
      </c>
      <c r="B568">
        <v>724168600000</v>
      </c>
      <c r="C568">
        <v>8.25</v>
      </c>
      <c r="D568" s="5">
        <v>155</v>
      </c>
      <c r="E568">
        <v>2.7170311464546071E-2</v>
      </c>
      <c r="F568">
        <f t="shared" si="16"/>
        <v>11.669507991680524</v>
      </c>
      <c r="G568">
        <f t="shared" si="17"/>
        <v>2.278544663070136E-2</v>
      </c>
    </row>
    <row r="569" spans="1:7" x14ac:dyDescent="0.2">
      <c r="A569" s="1">
        <v>35125</v>
      </c>
      <c r="B569">
        <v>727381600000</v>
      </c>
      <c r="C569">
        <v>8.25</v>
      </c>
      <c r="D569" s="5">
        <v>155.5</v>
      </c>
      <c r="E569">
        <v>2.8439153439153486E-2</v>
      </c>
      <c r="F569">
        <f t="shared" si="16"/>
        <v>11.670031917489</v>
      </c>
      <c r="G569">
        <f t="shared" si="17"/>
        <v>2.2249302827734449E-2</v>
      </c>
    </row>
    <row r="570" spans="1:7" x14ac:dyDescent="0.2">
      <c r="A570" s="1">
        <v>35156</v>
      </c>
      <c r="B570">
        <v>732166600000</v>
      </c>
      <c r="C570">
        <v>8.25</v>
      </c>
      <c r="D570" s="5">
        <v>156.1</v>
      </c>
      <c r="E570">
        <v>2.832674571805005E-2</v>
      </c>
      <c r="F570">
        <f t="shared" si="16"/>
        <v>11.67120701027503</v>
      </c>
      <c r="G570">
        <f t="shared" si="17"/>
        <v>2.2296773522447157E-2</v>
      </c>
    </row>
    <row r="571" spans="1:7" x14ac:dyDescent="0.2">
      <c r="A571" s="1">
        <v>35186</v>
      </c>
      <c r="B571">
        <v>736579900000</v>
      </c>
      <c r="C571">
        <v>8.25</v>
      </c>
      <c r="D571" s="5">
        <v>156.4</v>
      </c>
      <c r="E571">
        <v>2.8270874424720649E-2</v>
      </c>
      <c r="F571">
        <f t="shared" si="16"/>
        <v>11.672983114806483</v>
      </c>
      <c r="G571">
        <f t="shared" si="17"/>
        <v>2.2320370354572232E-2</v>
      </c>
    </row>
    <row r="572" spans="1:7" x14ac:dyDescent="0.2">
      <c r="A572" s="1">
        <v>35217</v>
      </c>
      <c r="B572">
        <v>741490800000</v>
      </c>
      <c r="C572">
        <v>8.25</v>
      </c>
      <c r="D572" s="5">
        <v>156.69999999999999</v>
      </c>
      <c r="E572">
        <v>2.8215223097112663E-2</v>
      </c>
      <c r="F572">
        <f t="shared" si="16"/>
        <v>11.675036770448042</v>
      </c>
      <c r="G572">
        <f t="shared" si="17"/>
        <v>2.2343875560394695E-2</v>
      </c>
    </row>
    <row r="573" spans="1:7" x14ac:dyDescent="0.2">
      <c r="A573" s="1">
        <v>35247</v>
      </c>
      <c r="B573">
        <v>744971000000</v>
      </c>
      <c r="C573">
        <v>8.25</v>
      </c>
      <c r="D573" s="5">
        <v>157</v>
      </c>
      <c r="E573">
        <v>2.8833551769331667E-2</v>
      </c>
      <c r="F573">
        <f t="shared" si="16"/>
        <v>11.676239714587233</v>
      </c>
      <c r="G573">
        <f t="shared" si="17"/>
        <v>2.208278623503096E-2</v>
      </c>
    </row>
    <row r="574" spans="1:7" x14ac:dyDescent="0.2">
      <c r="A574" s="1">
        <v>35278</v>
      </c>
      <c r="B574">
        <v>747772300000</v>
      </c>
      <c r="C574">
        <v>8.25</v>
      </c>
      <c r="D574" s="5">
        <v>157.19999999999999</v>
      </c>
      <c r="E574">
        <v>2.8122956180510084E-2</v>
      </c>
      <c r="F574">
        <f t="shared" si="16"/>
        <v>11.67731683168507</v>
      </c>
      <c r="G574">
        <f t="shared" si="17"/>
        <v>2.2382848734334156E-2</v>
      </c>
    </row>
    <row r="575" spans="1:7" x14ac:dyDescent="0.2">
      <c r="A575" s="1">
        <v>35309</v>
      </c>
      <c r="B575">
        <v>758460100000</v>
      </c>
      <c r="C575">
        <v>8.25</v>
      </c>
      <c r="D575" s="5">
        <v>157.69999999999999</v>
      </c>
      <c r="E575">
        <v>3.0045721750489918E-2</v>
      </c>
      <c r="F575">
        <f t="shared" si="16"/>
        <v>11.682101045642742</v>
      </c>
      <c r="G575">
        <f t="shared" si="17"/>
        <v>2.1571402394761227E-2</v>
      </c>
    </row>
    <row r="576" spans="1:7" x14ac:dyDescent="0.2">
      <c r="A576" s="1">
        <v>35339</v>
      </c>
      <c r="B576">
        <v>765913100000</v>
      </c>
      <c r="C576">
        <v>8.25</v>
      </c>
      <c r="D576" s="5">
        <v>158.19999999999999</v>
      </c>
      <c r="E576">
        <v>3.0618892508143203E-2</v>
      </c>
      <c r="F576">
        <f t="shared" si="16"/>
        <v>11.684973018497859</v>
      </c>
      <c r="G576">
        <f t="shared" si="17"/>
        <v>2.1329805676950697E-2</v>
      </c>
    </row>
    <row r="577" spans="1:7" x14ac:dyDescent="0.2">
      <c r="A577" s="1">
        <v>35370</v>
      </c>
      <c r="B577">
        <v>772027500000</v>
      </c>
      <c r="C577">
        <v>8.25</v>
      </c>
      <c r="D577" s="5">
        <v>158.69999999999999</v>
      </c>
      <c r="E577">
        <v>3.2530904359141077E-2</v>
      </c>
      <c r="F577">
        <f t="shared" si="16"/>
        <v>11.687055843639879</v>
      </c>
      <c r="G577">
        <f t="shared" si="17"/>
        <v>2.0524845770299997E-2</v>
      </c>
    </row>
    <row r="578" spans="1:7" x14ac:dyDescent="0.2">
      <c r="A578" s="1">
        <v>35400</v>
      </c>
      <c r="B578">
        <v>778613800000</v>
      </c>
      <c r="C578">
        <v>8.25</v>
      </c>
      <c r="D578" s="5">
        <v>159.1</v>
      </c>
      <c r="E578">
        <v>3.378817413905133E-2</v>
      </c>
      <c r="F578">
        <f t="shared" si="16"/>
        <v>11.689651917154952</v>
      </c>
      <c r="G578">
        <f t="shared" si="17"/>
        <v>1.9996345210300213E-2</v>
      </c>
    </row>
    <row r="579" spans="1:7" x14ac:dyDescent="0.2">
      <c r="A579" s="1">
        <v>35431</v>
      </c>
      <c r="B579">
        <v>782376400000</v>
      </c>
      <c r="C579">
        <v>8.25</v>
      </c>
      <c r="D579" s="5">
        <v>159.4</v>
      </c>
      <c r="E579">
        <v>3.0381383322559907E-2</v>
      </c>
      <c r="F579">
        <f t="shared" si="16"/>
        <v>11.690927424637199</v>
      </c>
      <c r="G579">
        <f t="shared" si="17"/>
        <v>2.1429901664676954E-2</v>
      </c>
    </row>
    <row r="580" spans="1:7" x14ac:dyDescent="0.2">
      <c r="A580" s="1">
        <v>35462</v>
      </c>
      <c r="B580">
        <v>789222600000</v>
      </c>
      <c r="C580">
        <v>8.25</v>
      </c>
      <c r="D580" s="5">
        <v>159.69999999999999</v>
      </c>
      <c r="E580">
        <v>3.0322580645161246E-2</v>
      </c>
      <c r="F580">
        <f t="shared" ref="F580:F643" si="18">LOG(B580/D580*100)</f>
        <v>11.693894596978364</v>
      </c>
      <c r="G580">
        <f t="shared" ref="G580:G643" si="19">LOG((1+C580/100)/(1+E580))</f>
        <v>2.1454687057211669E-2</v>
      </c>
    </row>
    <row r="581" spans="1:7" x14ac:dyDescent="0.2">
      <c r="A581" s="1">
        <v>35490</v>
      </c>
      <c r="B581">
        <v>795684500000</v>
      </c>
      <c r="C581">
        <v>8.3000000000000007</v>
      </c>
      <c r="D581" s="5">
        <v>159.80000000000001</v>
      </c>
      <c r="E581">
        <v>2.7652733118971096E-2</v>
      </c>
      <c r="F581">
        <f t="shared" si="18"/>
        <v>11.697164123073009</v>
      </c>
      <c r="G581">
        <f t="shared" si="19"/>
        <v>2.2782075010204073E-2</v>
      </c>
    </row>
    <row r="582" spans="1:7" x14ac:dyDescent="0.2">
      <c r="A582" s="1">
        <v>35521</v>
      </c>
      <c r="B582">
        <v>803980600000</v>
      </c>
      <c r="C582">
        <v>8.5</v>
      </c>
      <c r="D582" s="5">
        <v>159.9</v>
      </c>
      <c r="E582">
        <v>2.4343369634849621E-2</v>
      </c>
      <c r="F582">
        <f t="shared" si="18"/>
        <v>11.701397105630825</v>
      </c>
      <c r="G582">
        <f t="shared" si="19"/>
        <v>2.4984177500730991E-2</v>
      </c>
    </row>
    <row r="583" spans="1:7" x14ac:dyDescent="0.2">
      <c r="A583" s="1">
        <v>35551</v>
      </c>
      <c r="B583">
        <v>809460900000</v>
      </c>
      <c r="C583">
        <v>8.5</v>
      </c>
      <c r="D583" s="5">
        <v>159.9</v>
      </c>
      <c r="E583">
        <v>2.2378516624040889E-2</v>
      </c>
      <c r="F583">
        <f t="shared" si="18"/>
        <v>11.704347411796084</v>
      </c>
      <c r="G583">
        <f t="shared" si="19"/>
        <v>2.5818023162142788E-2</v>
      </c>
    </row>
    <row r="584" spans="1:7" x14ac:dyDescent="0.2">
      <c r="A584" s="1">
        <v>35582</v>
      </c>
      <c r="B584">
        <v>813461900000</v>
      </c>
      <c r="C584">
        <v>8.5</v>
      </c>
      <c r="D584" s="5">
        <v>160.19999999999999</v>
      </c>
      <c r="E584">
        <v>2.2335673261008271E-2</v>
      </c>
      <c r="F584">
        <f t="shared" si="18"/>
        <v>11.70567470501175</v>
      </c>
      <c r="G584">
        <f t="shared" si="19"/>
        <v>2.5836222904919614E-2</v>
      </c>
    </row>
    <row r="585" spans="1:7" x14ac:dyDescent="0.2">
      <c r="A585" s="1">
        <v>35612</v>
      </c>
      <c r="B585">
        <v>816453700000</v>
      </c>
      <c r="C585">
        <v>8.5</v>
      </c>
      <c r="D585" s="5">
        <v>160.4</v>
      </c>
      <c r="E585">
        <v>2.1656050955414008E-2</v>
      </c>
      <c r="F585">
        <f t="shared" si="18"/>
        <v>11.706727197562209</v>
      </c>
      <c r="G585">
        <f t="shared" si="19"/>
        <v>2.6125026645637376E-2</v>
      </c>
    </row>
    <row r="586" spans="1:7" x14ac:dyDescent="0.2">
      <c r="A586" s="1">
        <v>35643</v>
      </c>
      <c r="B586">
        <v>822428800000</v>
      </c>
      <c r="C586">
        <v>8.5</v>
      </c>
      <c r="D586" s="5">
        <v>160.80000000000001</v>
      </c>
      <c r="E586">
        <v>2.2900763358778775E-2</v>
      </c>
      <c r="F586">
        <f t="shared" si="18"/>
        <v>11.708812265728648</v>
      </c>
      <c r="G586">
        <f t="shared" si="19"/>
        <v>2.5596235475504877E-2</v>
      </c>
    </row>
    <row r="587" spans="1:7" x14ac:dyDescent="0.2">
      <c r="A587" s="1">
        <v>35674</v>
      </c>
      <c r="B587">
        <v>829823400000</v>
      </c>
      <c r="C587">
        <v>8.5</v>
      </c>
      <c r="D587" s="5">
        <v>161.19999999999999</v>
      </c>
      <c r="E587">
        <v>2.2194039315155401E-2</v>
      </c>
      <c r="F587">
        <f t="shared" si="18"/>
        <v>11.711620639767183</v>
      </c>
      <c r="G587">
        <f t="shared" si="19"/>
        <v>2.5896394044379316E-2</v>
      </c>
    </row>
    <row r="588" spans="1:7" x14ac:dyDescent="0.2">
      <c r="A588" s="1">
        <v>35704</v>
      </c>
      <c r="B588">
        <v>833845600000</v>
      </c>
      <c r="C588">
        <v>8.5</v>
      </c>
      <c r="D588" s="5">
        <v>161.5</v>
      </c>
      <c r="E588">
        <v>2.0859671302149163E-2</v>
      </c>
      <c r="F588">
        <f t="shared" si="18"/>
        <v>11.712913114767034</v>
      </c>
      <c r="G588">
        <f t="shared" si="19"/>
        <v>2.6463690679084363E-2</v>
      </c>
    </row>
    <row r="589" spans="1:7" x14ac:dyDescent="0.2">
      <c r="A589" s="1">
        <v>35735</v>
      </c>
      <c r="B589">
        <v>839873400000</v>
      </c>
      <c r="C589">
        <v>8.5</v>
      </c>
      <c r="D589" s="5">
        <v>161.69999999999999</v>
      </c>
      <c r="E589">
        <v>1.8903591682419618E-2</v>
      </c>
      <c r="F589">
        <f t="shared" si="18"/>
        <v>11.7155038068399</v>
      </c>
      <c r="G589">
        <f t="shared" si="19"/>
        <v>2.729664503299541E-2</v>
      </c>
    </row>
    <row r="590" spans="1:7" x14ac:dyDescent="0.2">
      <c r="A590" s="1">
        <v>35765</v>
      </c>
      <c r="B590">
        <v>845112700000</v>
      </c>
      <c r="C590">
        <v>8.5</v>
      </c>
      <c r="D590" s="5">
        <v>161.80000000000001</v>
      </c>
      <c r="E590">
        <v>1.6970458830924073E-2</v>
      </c>
      <c r="F590">
        <f t="shared" si="18"/>
        <v>11.717936110873955</v>
      </c>
      <c r="G590">
        <f t="shared" si="19"/>
        <v>2.8121400554876313E-2</v>
      </c>
    </row>
    <row r="591" spans="1:7" x14ac:dyDescent="0.2">
      <c r="A591" s="1">
        <v>35796</v>
      </c>
      <c r="B591">
        <v>855637500000</v>
      </c>
      <c r="C591">
        <v>8.5</v>
      </c>
      <c r="D591" s="5">
        <v>162</v>
      </c>
      <c r="E591">
        <v>1.6311166875784044E-2</v>
      </c>
      <c r="F591">
        <f t="shared" si="18"/>
        <v>11.722774795585684</v>
      </c>
      <c r="G591">
        <f t="shared" si="19"/>
        <v>2.8403040702010919E-2</v>
      </c>
    </row>
    <row r="592" spans="1:7" x14ac:dyDescent="0.2">
      <c r="A592" s="1">
        <v>35827</v>
      </c>
      <c r="B592">
        <v>862418000000</v>
      </c>
      <c r="C592">
        <v>8.5</v>
      </c>
      <c r="D592" s="5">
        <v>162</v>
      </c>
      <c r="E592">
        <v>1.4402003757044479E-2</v>
      </c>
      <c r="F592">
        <f t="shared" si="18"/>
        <v>11.726202797793416</v>
      </c>
      <c r="G592">
        <f t="shared" si="19"/>
        <v>2.9219639780400243E-2</v>
      </c>
    </row>
    <row r="593" spans="1:7" x14ac:dyDescent="0.2">
      <c r="A593" s="1">
        <v>35855</v>
      </c>
      <c r="B593">
        <v>866171400000</v>
      </c>
      <c r="C593">
        <v>8.5</v>
      </c>
      <c r="D593" s="5">
        <v>162</v>
      </c>
      <c r="E593">
        <v>1.3767209011263937E-2</v>
      </c>
      <c r="F593">
        <f t="shared" si="18"/>
        <v>11.72808882517532</v>
      </c>
      <c r="G593">
        <f t="shared" si="19"/>
        <v>2.9491498619889971E-2</v>
      </c>
    </row>
    <row r="594" spans="1:7" x14ac:dyDescent="0.2">
      <c r="A594" s="1">
        <v>35886</v>
      </c>
      <c r="B594">
        <v>864427800000</v>
      </c>
      <c r="C594">
        <v>8.5</v>
      </c>
      <c r="D594" s="5">
        <v>162.19999999999999</v>
      </c>
      <c r="E594">
        <v>1.4383989993745905E-2</v>
      </c>
      <c r="F594">
        <f t="shared" si="18"/>
        <v>11.726677875472179</v>
      </c>
      <c r="G594">
        <f t="shared" si="19"/>
        <v>2.9227352055645858E-2</v>
      </c>
    </row>
    <row r="595" spans="1:7" x14ac:dyDescent="0.2">
      <c r="A595" s="1">
        <v>35916</v>
      </c>
      <c r="B595">
        <v>876112500000</v>
      </c>
      <c r="C595">
        <v>8.5</v>
      </c>
      <c r="D595" s="5">
        <v>162.6</v>
      </c>
      <c r="E595">
        <v>1.6885553470919357E-2</v>
      </c>
      <c r="F595">
        <f t="shared" si="18"/>
        <v>11.731439335449059</v>
      </c>
      <c r="G595">
        <f t="shared" si="19"/>
        <v>2.8157660672733606E-2</v>
      </c>
    </row>
    <row r="596" spans="1:7" x14ac:dyDescent="0.2">
      <c r="A596" s="1">
        <v>35947</v>
      </c>
      <c r="B596">
        <v>891197400000</v>
      </c>
      <c r="C596">
        <v>8.5</v>
      </c>
      <c r="D596" s="5">
        <v>162.80000000000001</v>
      </c>
      <c r="E596">
        <v>1.6229712858926382E-2</v>
      </c>
      <c r="F596">
        <f t="shared" si="18"/>
        <v>11.738319510257508</v>
      </c>
      <c r="G596">
        <f t="shared" si="19"/>
        <v>2.843784937958467E-2</v>
      </c>
    </row>
    <row r="597" spans="1:7" x14ac:dyDescent="0.2">
      <c r="A597" s="1">
        <v>35977</v>
      </c>
      <c r="B597">
        <v>897605800000</v>
      </c>
      <c r="C597">
        <v>8.5</v>
      </c>
      <c r="D597" s="5">
        <v>163.19999999999999</v>
      </c>
      <c r="E597">
        <v>1.7456359102244301E-2</v>
      </c>
      <c r="F597">
        <f t="shared" si="18"/>
        <v>11.740365495755226</v>
      </c>
      <c r="G597">
        <f t="shared" si="19"/>
        <v>2.7913947714850677E-2</v>
      </c>
    </row>
    <row r="598" spans="1:7" x14ac:dyDescent="0.2">
      <c r="A598" s="1">
        <v>36008</v>
      </c>
      <c r="B598">
        <v>903866700000</v>
      </c>
      <c r="C598">
        <v>8.5</v>
      </c>
      <c r="D598" s="5">
        <v>163.4</v>
      </c>
      <c r="E598">
        <v>1.6169154228855787E-2</v>
      </c>
      <c r="F598">
        <f t="shared" si="18"/>
        <v>11.742852334337517</v>
      </c>
      <c r="G598">
        <f t="shared" si="19"/>
        <v>2.8463730400584066E-2</v>
      </c>
    </row>
    <row r="599" spans="1:7" x14ac:dyDescent="0.2">
      <c r="A599" s="1">
        <v>36039</v>
      </c>
      <c r="B599">
        <v>912242300000</v>
      </c>
      <c r="C599">
        <v>8.49</v>
      </c>
      <c r="D599" s="5">
        <v>163.5</v>
      </c>
      <c r="E599">
        <v>1.4267990074441794E-2</v>
      </c>
      <c r="F599">
        <f t="shared" si="18"/>
        <v>11.74659244928908</v>
      </c>
      <c r="G599">
        <f t="shared" si="19"/>
        <v>2.9236989671443926E-2</v>
      </c>
    </row>
    <row r="600" spans="1:7" x14ac:dyDescent="0.2">
      <c r="A600" s="1">
        <v>36069</v>
      </c>
      <c r="B600">
        <v>931272100000</v>
      </c>
      <c r="C600">
        <v>8.1199999999999992</v>
      </c>
      <c r="D600" s="5">
        <v>163.9</v>
      </c>
      <c r="E600">
        <v>1.4860681114551078E-2</v>
      </c>
      <c r="F600">
        <f t="shared" si="18"/>
        <v>11.754497638542</v>
      </c>
      <c r="G600">
        <f t="shared" si="19"/>
        <v>2.7499610123310397E-2</v>
      </c>
    </row>
    <row r="601" spans="1:7" x14ac:dyDescent="0.2">
      <c r="A601" s="1">
        <v>36100</v>
      </c>
      <c r="B601">
        <v>942230500000</v>
      </c>
      <c r="C601">
        <v>7.89</v>
      </c>
      <c r="D601" s="5">
        <v>164.1</v>
      </c>
      <c r="E601">
        <v>1.4842300556586308E-2</v>
      </c>
      <c r="F601">
        <f t="shared" si="18"/>
        <v>11.759048577188445</v>
      </c>
      <c r="G601">
        <f t="shared" si="19"/>
        <v>2.6582631950675794E-2</v>
      </c>
    </row>
    <row r="602" spans="1:7" x14ac:dyDescent="0.2">
      <c r="A602" s="1">
        <v>36130</v>
      </c>
      <c r="B602">
        <v>939216100000</v>
      </c>
      <c r="C602">
        <v>7.75</v>
      </c>
      <c r="D602" s="5">
        <v>164.4</v>
      </c>
      <c r="E602">
        <v>1.606922126081578E-2</v>
      </c>
      <c r="F602">
        <f t="shared" si="18"/>
        <v>11.756863715419726</v>
      </c>
      <c r="G602">
        <f t="shared" si="19"/>
        <v>2.5493982904991129E-2</v>
      </c>
    </row>
    <row r="603" spans="1:7" x14ac:dyDescent="0.2">
      <c r="A603" s="1">
        <v>36161</v>
      </c>
      <c r="B603">
        <v>937874800000</v>
      </c>
      <c r="C603">
        <v>7.75</v>
      </c>
      <c r="D603" s="5">
        <v>164.7</v>
      </c>
      <c r="E603">
        <v>1.6666666666666607E-2</v>
      </c>
      <c r="F603">
        <f t="shared" si="18"/>
        <v>11.755451267676012</v>
      </c>
      <c r="G603">
        <f t="shared" si="19"/>
        <v>2.5238694205645777E-2</v>
      </c>
    </row>
    <row r="604" spans="1:7" x14ac:dyDescent="0.2">
      <c r="A604" s="1">
        <v>36192</v>
      </c>
      <c r="B604">
        <v>936038500000</v>
      </c>
      <c r="C604">
        <v>7.75</v>
      </c>
      <c r="D604" s="5">
        <v>164.7</v>
      </c>
      <c r="E604">
        <v>1.6666666666666607E-2</v>
      </c>
      <c r="F604">
        <f t="shared" si="18"/>
        <v>11.75460011280947</v>
      </c>
      <c r="G604">
        <f t="shared" si="19"/>
        <v>2.5238694205645777E-2</v>
      </c>
    </row>
    <row r="605" spans="1:7" x14ac:dyDescent="0.2">
      <c r="A605" s="1">
        <v>36220</v>
      </c>
      <c r="B605">
        <v>944490100000</v>
      </c>
      <c r="C605">
        <v>7.75</v>
      </c>
      <c r="D605" s="5">
        <v>164.8</v>
      </c>
      <c r="E605">
        <v>1.7283950617283939E-2</v>
      </c>
      <c r="F605">
        <f t="shared" si="18"/>
        <v>11.758240202712633</v>
      </c>
      <c r="G605">
        <f t="shared" si="19"/>
        <v>2.497508601430309E-2</v>
      </c>
    </row>
    <row r="606" spans="1:7" x14ac:dyDescent="0.2">
      <c r="A606" s="1">
        <v>36251</v>
      </c>
      <c r="B606">
        <v>947242200000</v>
      </c>
      <c r="C606">
        <v>7.75</v>
      </c>
      <c r="D606" s="5">
        <v>165.9</v>
      </c>
      <c r="E606">
        <v>2.2811344019728841E-2</v>
      </c>
      <c r="F606">
        <f t="shared" si="18"/>
        <v>11.756614651769695</v>
      </c>
      <c r="G606">
        <f t="shared" si="19"/>
        <v>2.2621742683545634E-2</v>
      </c>
    </row>
    <row r="607" spans="1:7" x14ac:dyDescent="0.2">
      <c r="A607" s="1">
        <v>36281</v>
      </c>
      <c r="B607">
        <v>942459100000</v>
      </c>
      <c r="C607">
        <v>7.75</v>
      </c>
      <c r="D607" s="5">
        <v>166</v>
      </c>
      <c r="E607">
        <v>2.091020910209096E-2</v>
      </c>
      <c r="F607">
        <f t="shared" si="18"/>
        <v>11.754154424121884</v>
      </c>
      <c r="G607">
        <f t="shared" si="19"/>
        <v>2.3429732050763468E-2</v>
      </c>
    </row>
    <row r="608" spans="1:7" x14ac:dyDescent="0.2">
      <c r="A608" s="1">
        <v>36312</v>
      </c>
      <c r="B608">
        <v>949832900000</v>
      </c>
      <c r="C608">
        <v>7.75</v>
      </c>
      <c r="D608" s="5">
        <v>166</v>
      </c>
      <c r="E608">
        <v>1.9656019656019597E-2</v>
      </c>
      <c r="F608">
        <f t="shared" si="18"/>
        <v>11.757539120416089</v>
      </c>
      <c r="G608">
        <f t="shared" si="19"/>
        <v>2.3963591345896488E-2</v>
      </c>
    </row>
    <row r="609" spans="1:7" x14ac:dyDescent="0.2">
      <c r="A609" s="1">
        <v>36342</v>
      </c>
      <c r="B609">
        <v>958487100000</v>
      </c>
      <c r="C609">
        <v>8</v>
      </c>
      <c r="D609" s="5">
        <v>166.7</v>
      </c>
      <c r="E609">
        <v>2.1446078431372584E-2</v>
      </c>
      <c r="F609">
        <f t="shared" si="18"/>
        <v>11.759650672381886</v>
      </c>
      <c r="G609">
        <f t="shared" si="19"/>
        <v>2.4208310076786723E-2</v>
      </c>
    </row>
    <row r="610" spans="1:7" x14ac:dyDescent="0.2">
      <c r="A610" s="1">
        <v>36373</v>
      </c>
      <c r="B610">
        <v>969009600000</v>
      </c>
      <c r="C610">
        <v>8.06</v>
      </c>
      <c r="D610" s="5">
        <v>167.1</v>
      </c>
      <c r="E610">
        <v>2.2643818849449104E-2</v>
      </c>
      <c r="F610">
        <f t="shared" si="18"/>
        <v>11.763351629743932</v>
      </c>
      <c r="G610">
        <f t="shared" si="19"/>
        <v>2.3940565506182346E-2</v>
      </c>
    </row>
    <row r="611" spans="1:7" x14ac:dyDescent="0.2">
      <c r="A611" s="1">
        <v>36404</v>
      </c>
      <c r="B611">
        <v>975027700000</v>
      </c>
      <c r="C611">
        <v>8.25</v>
      </c>
      <c r="D611" s="5">
        <v>167.8</v>
      </c>
      <c r="E611">
        <v>2.629969418960254E-2</v>
      </c>
      <c r="F611">
        <f t="shared" si="18"/>
        <v>11.764224997448178</v>
      </c>
      <c r="G611">
        <f t="shared" si="19"/>
        <v>2.3153705529026458E-2</v>
      </c>
    </row>
    <row r="612" spans="1:7" x14ac:dyDescent="0.2">
      <c r="A612" s="1">
        <v>36434</v>
      </c>
      <c r="B612">
        <v>978187100000</v>
      </c>
      <c r="C612">
        <v>8.25</v>
      </c>
      <c r="D612" s="5">
        <v>168.1</v>
      </c>
      <c r="E612">
        <v>2.56253813300793E-2</v>
      </c>
      <c r="F612">
        <f t="shared" si="18"/>
        <v>11.764854217755097</v>
      </c>
      <c r="G612">
        <f t="shared" si="19"/>
        <v>2.3439145156431182E-2</v>
      </c>
    </row>
    <row r="613" spans="1:7" x14ac:dyDescent="0.2">
      <c r="A613" s="1">
        <v>36465</v>
      </c>
      <c r="B613">
        <v>1000278000000</v>
      </c>
      <c r="C613">
        <v>8.3699999999999992</v>
      </c>
      <c r="D613" s="5">
        <v>168.4</v>
      </c>
      <c r="E613">
        <v>2.6203534430225606E-2</v>
      </c>
      <c r="F613">
        <f t="shared" si="18"/>
        <v>11.773778629923441</v>
      </c>
      <c r="G613">
        <f t="shared" si="19"/>
        <v>2.3675567257210661E-2</v>
      </c>
    </row>
    <row r="614" spans="1:7" x14ac:dyDescent="0.2">
      <c r="A614" s="1">
        <v>36495</v>
      </c>
      <c r="B614">
        <v>1001089300000</v>
      </c>
      <c r="C614">
        <v>8.5</v>
      </c>
      <c r="D614" s="5">
        <v>168.8</v>
      </c>
      <c r="E614">
        <v>2.6763990267639981E-2</v>
      </c>
      <c r="F614">
        <f t="shared" si="18"/>
        <v>11.773100377215085</v>
      </c>
      <c r="G614">
        <f t="shared" si="19"/>
        <v>2.3959109098943578E-2</v>
      </c>
    </row>
    <row r="615" spans="1:7" x14ac:dyDescent="0.2">
      <c r="A615" s="1">
        <v>36526</v>
      </c>
      <c r="B615">
        <v>1003694300000</v>
      </c>
      <c r="C615">
        <v>8.5</v>
      </c>
      <c r="D615" s="5">
        <v>169.3</v>
      </c>
      <c r="E615">
        <v>2.7929568913175551E-2</v>
      </c>
      <c r="F615">
        <f t="shared" si="18"/>
        <v>11.772944499680818</v>
      </c>
      <c r="G615">
        <f t="shared" si="19"/>
        <v>2.3466379245367389E-2</v>
      </c>
    </row>
    <row r="616" spans="1:7" x14ac:dyDescent="0.2">
      <c r="A616" s="1">
        <v>36557</v>
      </c>
      <c r="B616">
        <v>1016726200000</v>
      </c>
      <c r="C616">
        <v>8.73</v>
      </c>
      <c r="D616" s="5">
        <v>170</v>
      </c>
      <c r="E616">
        <v>3.2179720704310855E-2</v>
      </c>
      <c r="F616">
        <f t="shared" si="18"/>
        <v>11.776755093650015</v>
      </c>
      <c r="G616">
        <f t="shared" si="19"/>
        <v>2.2594065823318601E-2</v>
      </c>
    </row>
    <row r="617" spans="1:7" x14ac:dyDescent="0.2">
      <c r="A617" s="1">
        <v>36586</v>
      </c>
      <c r="B617">
        <v>1026311800000</v>
      </c>
      <c r="C617">
        <v>8.83</v>
      </c>
      <c r="D617" s="5">
        <v>171</v>
      </c>
      <c r="E617">
        <v>3.762135922330101E-2</v>
      </c>
      <c r="F617">
        <f t="shared" si="18"/>
        <v>11.778283211833653</v>
      </c>
      <c r="G617">
        <f t="shared" si="19"/>
        <v>2.0709726141145336E-2</v>
      </c>
    </row>
    <row r="618" spans="1:7" x14ac:dyDescent="0.2">
      <c r="A618" s="1">
        <v>36617</v>
      </c>
      <c r="B618">
        <v>1035145000000</v>
      </c>
      <c r="C618">
        <v>9</v>
      </c>
      <c r="D618" s="5">
        <v>170.9</v>
      </c>
      <c r="E618">
        <v>3.0138637733574392E-2</v>
      </c>
      <c r="F618">
        <f t="shared" si="18"/>
        <v>11.782259125998921</v>
      </c>
      <c r="G618">
        <f t="shared" si="19"/>
        <v>2.4530821244247578E-2</v>
      </c>
    </row>
    <row r="619" spans="1:7" x14ac:dyDescent="0.2">
      <c r="A619" s="1">
        <v>36647</v>
      </c>
      <c r="B619">
        <v>1052093200000</v>
      </c>
      <c r="C619">
        <v>9.24</v>
      </c>
      <c r="D619" s="5">
        <v>171.2</v>
      </c>
      <c r="E619">
        <v>3.1325301204819134E-2</v>
      </c>
      <c r="F619">
        <f t="shared" si="18"/>
        <v>11.788550453291093</v>
      </c>
      <c r="G619">
        <f t="shared" si="19"/>
        <v>2.4986019166616472E-2</v>
      </c>
    </row>
    <row r="620" spans="1:7" x14ac:dyDescent="0.2">
      <c r="A620" s="1">
        <v>36678</v>
      </c>
      <c r="B620">
        <v>1062874300000</v>
      </c>
      <c r="C620">
        <v>9.5</v>
      </c>
      <c r="D620" s="5">
        <v>172.2</v>
      </c>
      <c r="E620">
        <v>3.7349397590361377E-2</v>
      </c>
      <c r="F620">
        <f t="shared" si="18"/>
        <v>11.790448758944402</v>
      </c>
      <c r="G620">
        <f t="shared" si="19"/>
        <v>2.3489060098556266E-2</v>
      </c>
    </row>
    <row r="621" spans="1:7" x14ac:dyDescent="0.2">
      <c r="A621" s="1">
        <v>36708</v>
      </c>
      <c r="B621">
        <v>1068579099999.9999</v>
      </c>
      <c r="C621">
        <v>9.5</v>
      </c>
      <c r="D621" s="5">
        <v>172.7</v>
      </c>
      <c r="E621">
        <v>3.5992801439711952E-2</v>
      </c>
      <c r="F621">
        <f t="shared" si="18"/>
        <v>11.791514338134345</v>
      </c>
      <c r="G621">
        <f t="shared" si="19"/>
        <v>2.4057381436683754E-2</v>
      </c>
    </row>
    <row r="622" spans="1:7" x14ac:dyDescent="0.2">
      <c r="A622" s="1">
        <v>36739</v>
      </c>
      <c r="B622">
        <v>1071608900000</v>
      </c>
      <c r="C622">
        <v>9.5</v>
      </c>
      <c r="D622" s="5">
        <v>172.7</v>
      </c>
      <c r="E622">
        <v>3.3512866546977715E-2</v>
      </c>
      <c r="F622">
        <f t="shared" si="18"/>
        <v>11.792743974316117</v>
      </c>
      <c r="G622">
        <f t="shared" si="19"/>
        <v>2.5098231502069756E-2</v>
      </c>
    </row>
    <row r="623" spans="1:7" x14ac:dyDescent="0.2">
      <c r="A623" s="1">
        <v>36770</v>
      </c>
      <c r="B623">
        <v>1072825100000</v>
      </c>
      <c r="C623">
        <v>9.5</v>
      </c>
      <c r="D623" s="5">
        <v>173.6</v>
      </c>
      <c r="E623">
        <v>3.4564958283670899E-2</v>
      </c>
      <c r="F623">
        <f t="shared" si="18"/>
        <v>11.790979204950101</v>
      </c>
      <c r="G623">
        <f t="shared" si="19"/>
        <v>2.4656354828345557E-2</v>
      </c>
    </row>
    <row r="624" spans="1:7" x14ac:dyDescent="0.2">
      <c r="A624" s="1">
        <v>36800</v>
      </c>
      <c r="B624">
        <v>1077858900000</v>
      </c>
      <c r="C624">
        <v>9.5</v>
      </c>
      <c r="D624" s="5">
        <v>173.9</v>
      </c>
      <c r="E624">
        <v>3.4503271861986873E-2</v>
      </c>
      <c r="F624">
        <f t="shared" si="18"/>
        <v>11.792262330089043</v>
      </c>
      <c r="G624">
        <f t="shared" si="19"/>
        <v>2.4682250612895709E-2</v>
      </c>
    </row>
    <row r="625" spans="1:7" x14ac:dyDescent="0.2">
      <c r="A625" s="1">
        <v>36831</v>
      </c>
      <c r="B625">
        <v>1080442500000.0001</v>
      </c>
      <c r="C625">
        <v>9.5</v>
      </c>
      <c r="D625" s="5">
        <v>174.2</v>
      </c>
      <c r="E625">
        <v>3.444180522565321E-2</v>
      </c>
      <c r="F625">
        <f t="shared" si="18"/>
        <v>11.792553508472476</v>
      </c>
      <c r="G625">
        <f t="shared" si="19"/>
        <v>2.4708055668123445E-2</v>
      </c>
    </row>
    <row r="626" spans="1:7" x14ac:dyDescent="0.2">
      <c r="A626" s="1">
        <v>36861</v>
      </c>
      <c r="B626">
        <v>1085317600000.0001</v>
      </c>
      <c r="C626">
        <v>9.5</v>
      </c>
      <c r="D626" s="5">
        <v>174.6</v>
      </c>
      <c r="E626">
        <v>3.4360189573459543E-2</v>
      </c>
      <c r="F626">
        <f t="shared" si="18"/>
        <v>11.793512606412925</v>
      </c>
      <c r="G626">
        <f t="shared" si="19"/>
        <v>2.4742322096222496E-2</v>
      </c>
    </row>
    <row r="627" spans="1:7" x14ac:dyDescent="0.2">
      <c r="A627" s="1">
        <v>36892</v>
      </c>
      <c r="B627">
        <v>1094172900000</v>
      </c>
      <c r="C627">
        <v>9.0500000000000007</v>
      </c>
      <c r="D627" s="5">
        <v>175.6</v>
      </c>
      <c r="E627">
        <v>3.7212049616065945E-2</v>
      </c>
      <c r="F627">
        <f t="shared" si="18"/>
        <v>11.794561442587133</v>
      </c>
      <c r="G627">
        <f t="shared" si="19"/>
        <v>2.1758116453570682E-2</v>
      </c>
    </row>
    <row r="628" spans="1:7" x14ac:dyDescent="0.2">
      <c r="A628" s="1">
        <v>36923</v>
      </c>
      <c r="B628">
        <v>1094409799999.9999</v>
      </c>
      <c r="C628">
        <v>8.5</v>
      </c>
      <c r="D628" s="5">
        <v>176</v>
      </c>
      <c r="E628">
        <v>3.529411764705892E-2</v>
      </c>
      <c r="F628">
        <f t="shared" si="18"/>
        <v>11.79366730551188</v>
      </c>
      <c r="G628">
        <f t="shared" si="19"/>
        <v>2.036599174867236E-2</v>
      </c>
    </row>
    <row r="629" spans="1:7" x14ac:dyDescent="0.2">
      <c r="A629" s="1">
        <v>36951</v>
      </c>
      <c r="B629">
        <v>1092069199999.9999</v>
      </c>
      <c r="C629">
        <v>8.32</v>
      </c>
      <c r="D629" s="5">
        <v>176.1</v>
      </c>
      <c r="E629">
        <v>2.9824561403508643E-2</v>
      </c>
      <c r="F629">
        <f t="shared" si="18"/>
        <v>11.792490802754878</v>
      </c>
      <c r="G629">
        <f t="shared" si="19"/>
        <v>2.1945405765946027E-2</v>
      </c>
    </row>
    <row r="630" spans="1:7" x14ac:dyDescent="0.2">
      <c r="A630" s="1">
        <v>36982</v>
      </c>
      <c r="B630">
        <v>1089096600000.0001</v>
      </c>
      <c r="C630">
        <v>7.8</v>
      </c>
      <c r="D630" s="5">
        <v>176.4</v>
      </c>
      <c r="E630">
        <v>3.2182562902282053E-2</v>
      </c>
      <c r="F630">
        <f t="shared" si="18"/>
        <v>11.790567821445137</v>
      </c>
      <c r="G630">
        <f t="shared" si="19"/>
        <v>1.8862242775655867E-2</v>
      </c>
    </row>
    <row r="631" spans="1:7" x14ac:dyDescent="0.2">
      <c r="A631" s="1">
        <v>37012</v>
      </c>
      <c r="B631">
        <v>1084191900000</v>
      </c>
      <c r="C631">
        <v>7.24</v>
      </c>
      <c r="D631" s="5">
        <v>177.3</v>
      </c>
      <c r="E631">
        <v>3.5630841121495394E-2</v>
      </c>
      <c r="F631">
        <f t="shared" si="18"/>
        <v>11.786397422740777</v>
      </c>
      <c r="G631">
        <f t="shared" si="19"/>
        <v>1.5151830051058569E-2</v>
      </c>
    </row>
    <row r="632" spans="1:7" x14ac:dyDescent="0.2">
      <c r="A632" s="1">
        <v>37043</v>
      </c>
      <c r="B632">
        <v>1072134100000</v>
      </c>
      <c r="C632">
        <v>6.98</v>
      </c>
      <c r="D632" s="5">
        <v>177.7</v>
      </c>
      <c r="E632">
        <v>3.1939605110336888E-2</v>
      </c>
      <c r="F632">
        <f t="shared" si="18"/>
        <v>11.780561681476524</v>
      </c>
      <c r="G632">
        <f t="shared" si="19"/>
        <v>1.564831287133267E-2</v>
      </c>
    </row>
    <row r="633" spans="1:7" x14ac:dyDescent="0.2">
      <c r="A633" s="1">
        <v>37073</v>
      </c>
      <c r="B633">
        <v>1063982600000</v>
      </c>
      <c r="C633">
        <v>6.75</v>
      </c>
      <c r="D633" s="5">
        <v>177.4</v>
      </c>
      <c r="E633">
        <v>2.7214823393167498E-2</v>
      </c>
      <c r="F633">
        <f t="shared" si="18"/>
        <v>11.777980910221052</v>
      </c>
      <c r="G633">
        <f t="shared" si="19"/>
        <v>1.67066057688126E-2</v>
      </c>
    </row>
    <row r="634" spans="1:7" x14ac:dyDescent="0.2">
      <c r="A634" s="1">
        <v>37104</v>
      </c>
      <c r="B634">
        <v>1055815499999.9999</v>
      </c>
      <c r="C634">
        <v>6.67</v>
      </c>
      <c r="D634" s="5">
        <v>177.4</v>
      </c>
      <c r="E634">
        <v>2.7214823393167498E-2</v>
      </c>
      <c r="F634">
        <f t="shared" si="18"/>
        <v>11.774634417917534</v>
      </c>
      <c r="G634">
        <f t="shared" si="19"/>
        <v>1.6381017162500653E-2</v>
      </c>
    </row>
    <row r="635" spans="1:7" x14ac:dyDescent="0.2">
      <c r="A635" s="1">
        <v>37135</v>
      </c>
      <c r="B635">
        <v>1059167999999.9999</v>
      </c>
      <c r="C635">
        <v>6.28</v>
      </c>
      <c r="D635" s="5">
        <v>178.1</v>
      </c>
      <c r="E635">
        <v>2.5921658986175045E-2</v>
      </c>
      <c r="F635">
        <f t="shared" si="18"/>
        <v>11.774300931754969</v>
      </c>
      <c r="G635">
        <f t="shared" si="19"/>
        <v>1.5337347115469477E-2</v>
      </c>
    </row>
    <row r="636" spans="1:7" x14ac:dyDescent="0.2">
      <c r="A636" s="1">
        <v>37165</v>
      </c>
      <c r="B636">
        <v>1044502400000.0001</v>
      </c>
      <c r="C636">
        <v>5.53</v>
      </c>
      <c r="D636" s="5">
        <v>177.6</v>
      </c>
      <c r="E636">
        <v>2.1276595744680771E-2</v>
      </c>
      <c r="F636">
        <f t="shared" si="18"/>
        <v>11.769466480772797</v>
      </c>
      <c r="G636">
        <f t="shared" si="19"/>
        <v>1.4232558699692663E-2</v>
      </c>
    </row>
    <row r="637" spans="1:7" x14ac:dyDescent="0.2">
      <c r="A637" s="1">
        <v>37196</v>
      </c>
      <c r="B637">
        <v>1033978200000</v>
      </c>
      <c r="C637">
        <v>5.0999999999999996</v>
      </c>
      <c r="D637" s="5">
        <v>177.5</v>
      </c>
      <c r="E637">
        <v>1.8943742824339971E-2</v>
      </c>
      <c r="F637">
        <f t="shared" si="18"/>
        <v>11.765313024964962</v>
      </c>
      <c r="G637">
        <f t="shared" si="19"/>
        <v>1.3452509308773616E-2</v>
      </c>
    </row>
    <row r="638" spans="1:7" x14ac:dyDescent="0.2">
      <c r="A638" s="1">
        <v>37226</v>
      </c>
      <c r="B638">
        <v>1021807700000</v>
      </c>
      <c r="C638">
        <v>4.84</v>
      </c>
      <c r="D638" s="5">
        <v>177.4</v>
      </c>
      <c r="E638">
        <v>1.6036655211913109E-2</v>
      </c>
      <c r="F638">
        <f t="shared" si="18"/>
        <v>11.760415555560373</v>
      </c>
      <c r="G638">
        <f t="shared" si="19"/>
        <v>1.3617636148406111E-2</v>
      </c>
    </row>
    <row r="639" spans="1:7" x14ac:dyDescent="0.2">
      <c r="A639" s="1">
        <v>37257</v>
      </c>
      <c r="B639">
        <v>1012195600000</v>
      </c>
      <c r="C639">
        <v>4.75</v>
      </c>
      <c r="D639" s="5">
        <v>177.7</v>
      </c>
      <c r="E639">
        <v>1.1958997722095743E-2</v>
      </c>
      <c r="F639">
        <f t="shared" si="18"/>
        <v>11.755577017299581</v>
      </c>
      <c r="G639">
        <f t="shared" si="19"/>
        <v>1.4991115403115129E-2</v>
      </c>
    </row>
    <row r="640" spans="1:7" x14ac:dyDescent="0.2">
      <c r="A640" s="1">
        <v>37288</v>
      </c>
      <c r="B640">
        <v>1016893000000</v>
      </c>
      <c r="C640">
        <v>4.75</v>
      </c>
      <c r="D640" s="5">
        <v>178</v>
      </c>
      <c r="E640">
        <v>1.1363636363636465E-2</v>
      </c>
      <c r="F640">
        <f t="shared" si="18"/>
        <v>11.756855255476882</v>
      </c>
      <c r="G640">
        <f t="shared" si="19"/>
        <v>1.5246697143588766E-2</v>
      </c>
    </row>
    <row r="641" spans="1:7" x14ac:dyDescent="0.2">
      <c r="A641" s="1">
        <v>37316</v>
      </c>
      <c r="B641">
        <v>1011882900000</v>
      </c>
      <c r="C641">
        <v>4.75</v>
      </c>
      <c r="D641" s="5">
        <v>178.5</v>
      </c>
      <c r="E641">
        <v>1.3628620102214661E-2</v>
      </c>
      <c r="F641">
        <f t="shared" si="18"/>
        <v>11.753492036298294</v>
      </c>
      <c r="G641">
        <f t="shared" si="19"/>
        <v>1.4275167157397886E-2</v>
      </c>
    </row>
    <row r="642" spans="1:7" x14ac:dyDescent="0.2">
      <c r="A642" s="1">
        <v>37347</v>
      </c>
      <c r="B642">
        <v>1000217600000</v>
      </c>
      <c r="C642">
        <v>4.75</v>
      </c>
      <c r="D642" s="5">
        <v>179.3</v>
      </c>
      <c r="E642">
        <v>1.6439909297052191E-2</v>
      </c>
      <c r="F642">
        <f t="shared" si="18"/>
        <v>11.746514202636702</v>
      </c>
      <c r="G642">
        <f t="shared" si="19"/>
        <v>1.3072322871951007E-2</v>
      </c>
    </row>
    <row r="643" spans="1:7" x14ac:dyDescent="0.2">
      <c r="A643" s="1">
        <v>37377</v>
      </c>
      <c r="B643">
        <v>991020600000</v>
      </c>
      <c r="C643">
        <v>4.75</v>
      </c>
      <c r="D643" s="5">
        <v>179.5</v>
      </c>
      <c r="E643">
        <v>1.2408347433727984E-2</v>
      </c>
      <c r="F643">
        <f t="shared" si="18"/>
        <v>11.742018229192878</v>
      </c>
      <c r="G643">
        <f t="shared" si="19"/>
        <v>1.4798314324912838E-2</v>
      </c>
    </row>
    <row r="644" spans="1:7" x14ac:dyDescent="0.2">
      <c r="A644" s="1">
        <v>37408</v>
      </c>
      <c r="B644">
        <v>984178700000</v>
      </c>
      <c r="C644">
        <v>4.75</v>
      </c>
      <c r="D644" s="5">
        <v>179.6</v>
      </c>
      <c r="E644">
        <v>1.0692177827799743E-2</v>
      </c>
      <c r="F644">
        <f t="shared" ref="F644:F707" si="20">LOG(B644/D644*100)</f>
        <v>11.738767629288779</v>
      </c>
      <c r="G644">
        <f t="shared" ref="G644:G707" si="21">LOG((1+C644/100)/(1+E644))</f>
        <v>1.5535127112348853E-2</v>
      </c>
    </row>
    <row r="645" spans="1:7" x14ac:dyDescent="0.2">
      <c r="A645" s="1">
        <v>37438</v>
      </c>
      <c r="B645">
        <v>976675000000</v>
      </c>
      <c r="C645">
        <v>4.75</v>
      </c>
      <c r="D645" s="5">
        <v>180</v>
      </c>
      <c r="E645">
        <v>1.465614430665152E-2</v>
      </c>
      <c r="F645">
        <f t="shared" si="20"/>
        <v>11.734477566099649</v>
      </c>
      <c r="G645">
        <f t="shared" si="21"/>
        <v>1.3835142030734533E-2</v>
      </c>
    </row>
    <row r="646" spans="1:7" x14ac:dyDescent="0.2">
      <c r="A646" s="1">
        <v>37469</v>
      </c>
      <c r="B646">
        <v>972433700000</v>
      </c>
      <c r="C646">
        <v>4.75</v>
      </c>
      <c r="D646" s="5">
        <v>180.5</v>
      </c>
      <c r="E646">
        <v>1.7474633596392231E-2</v>
      </c>
      <c r="F646">
        <f t="shared" si="20"/>
        <v>11.731382794804194</v>
      </c>
      <c r="G646">
        <f t="shared" si="21"/>
        <v>1.2630440892363851E-2</v>
      </c>
    </row>
    <row r="647" spans="1:7" x14ac:dyDescent="0.2">
      <c r="A647" s="1">
        <v>37500</v>
      </c>
      <c r="B647">
        <v>966239500000</v>
      </c>
      <c r="C647">
        <v>4.75</v>
      </c>
      <c r="D647" s="5">
        <v>180.8</v>
      </c>
      <c r="E647">
        <v>1.516002245929271E-2</v>
      </c>
      <c r="F647">
        <f t="shared" si="20"/>
        <v>11.727886361390569</v>
      </c>
      <c r="G647">
        <f t="shared" si="21"/>
        <v>1.361952496223188E-2</v>
      </c>
    </row>
    <row r="648" spans="1:7" x14ac:dyDescent="0.2">
      <c r="A648" s="1">
        <v>37530</v>
      </c>
      <c r="B648">
        <v>962773400000</v>
      </c>
      <c r="C648">
        <v>4.75</v>
      </c>
      <c r="D648" s="5">
        <v>181.2</v>
      </c>
      <c r="E648">
        <v>2.0270270270270174E-2</v>
      </c>
      <c r="F648">
        <f t="shared" si="20"/>
        <v>11.725365889516038</v>
      </c>
      <c r="G648">
        <f t="shared" si="21"/>
        <v>1.1438799740120921E-2</v>
      </c>
    </row>
    <row r="649" spans="1:7" x14ac:dyDescent="0.2">
      <c r="A649" s="1">
        <v>37561</v>
      </c>
      <c r="B649">
        <v>960468600000</v>
      </c>
      <c r="C649">
        <v>4.3499999999999996</v>
      </c>
      <c r="D649" s="5">
        <v>181.5</v>
      </c>
      <c r="E649">
        <v>2.2535211267605604E-2</v>
      </c>
      <c r="F649">
        <f t="shared" si="20"/>
        <v>11.723606541939439</v>
      </c>
      <c r="G649">
        <f t="shared" si="21"/>
        <v>8.8141814204544186E-3</v>
      </c>
    </row>
    <row r="650" spans="1:7" x14ac:dyDescent="0.2">
      <c r="A650" s="1">
        <v>37591</v>
      </c>
      <c r="B650">
        <v>957811300000</v>
      </c>
      <c r="C650">
        <v>4.25</v>
      </c>
      <c r="D650" s="5">
        <v>181.8</v>
      </c>
      <c r="E650">
        <v>2.4802705749718212E-2</v>
      </c>
      <c r="F650">
        <f t="shared" si="20"/>
        <v>11.721686077540307</v>
      </c>
      <c r="G650">
        <f t="shared" si="21"/>
        <v>7.4358002555540374E-3</v>
      </c>
    </row>
    <row r="651" spans="1:7" x14ac:dyDescent="0.2">
      <c r="A651" s="1">
        <v>37622</v>
      </c>
      <c r="B651">
        <v>950441600000</v>
      </c>
      <c r="C651">
        <v>4.25</v>
      </c>
      <c r="D651" s="5">
        <v>182.6</v>
      </c>
      <c r="E651">
        <v>2.7574563871693991E-2</v>
      </c>
      <c r="F651">
        <f t="shared" si="20"/>
        <v>11.716424663545594</v>
      </c>
      <c r="G651">
        <f t="shared" si="21"/>
        <v>6.2627182528164488E-3</v>
      </c>
    </row>
    <row r="652" spans="1:7" x14ac:dyDescent="0.2">
      <c r="A652" s="1">
        <v>37653</v>
      </c>
      <c r="B652">
        <v>941670000000</v>
      </c>
      <c r="C652">
        <v>4.25</v>
      </c>
      <c r="D652" s="5">
        <v>183.6</v>
      </c>
      <c r="E652">
        <v>3.1460674157303359E-2</v>
      </c>
      <c r="F652">
        <f t="shared" si="20"/>
        <v>11.710026057893449</v>
      </c>
      <c r="G652">
        <f t="shared" si="21"/>
        <v>4.6233890894654597E-3</v>
      </c>
    </row>
    <row r="653" spans="1:7" x14ac:dyDescent="0.2">
      <c r="A653" s="1">
        <v>37681</v>
      </c>
      <c r="B653">
        <v>937562100000</v>
      </c>
      <c r="C653">
        <v>4.25</v>
      </c>
      <c r="D653" s="5">
        <v>183.9</v>
      </c>
      <c r="E653">
        <v>3.0252100840336249E-2</v>
      </c>
      <c r="F653">
        <f t="shared" si="20"/>
        <v>11.707418313875417</v>
      </c>
      <c r="G653">
        <f t="shared" si="21"/>
        <v>5.1325548559295903E-3</v>
      </c>
    </row>
    <row r="654" spans="1:7" x14ac:dyDescent="0.2">
      <c r="A654" s="1">
        <v>37712</v>
      </c>
      <c r="B654">
        <v>935077700000</v>
      </c>
      <c r="C654">
        <v>4.25</v>
      </c>
      <c r="D654" s="5">
        <v>183.2</v>
      </c>
      <c r="E654">
        <v>2.175125488008911E-2</v>
      </c>
      <c r="F654">
        <f t="shared" si="20"/>
        <v>11.707922230609352</v>
      </c>
      <c r="G654">
        <f t="shared" si="21"/>
        <v>8.7308838761464072E-3</v>
      </c>
    </row>
    <row r="655" spans="1:7" x14ac:dyDescent="0.2">
      <c r="A655" s="1">
        <v>37742</v>
      </c>
      <c r="B655">
        <v>924145500000</v>
      </c>
      <c r="C655">
        <v>4.25</v>
      </c>
      <c r="D655" s="5">
        <v>182.9</v>
      </c>
      <c r="E655">
        <v>1.8941504178273005E-2</v>
      </c>
      <c r="F655">
        <f t="shared" si="20"/>
        <v>11.703526647640297</v>
      </c>
      <c r="G655">
        <f t="shared" si="21"/>
        <v>9.9268110837161631E-3</v>
      </c>
    </row>
    <row r="656" spans="1:7" x14ac:dyDescent="0.2">
      <c r="A656" s="1">
        <v>37773</v>
      </c>
      <c r="B656">
        <v>917454100000</v>
      </c>
      <c r="C656">
        <v>4.22</v>
      </c>
      <c r="D656" s="5">
        <v>183.1</v>
      </c>
      <c r="E656">
        <v>1.9487750556792971E-2</v>
      </c>
      <c r="F656">
        <f t="shared" si="20"/>
        <v>11.699896001521219</v>
      </c>
      <c r="G656">
        <f t="shared" si="21"/>
        <v>9.5690568603313264E-3</v>
      </c>
    </row>
    <row r="657" spans="1:7" x14ac:dyDescent="0.2">
      <c r="A657" s="1">
        <v>37803</v>
      </c>
      <c r="B657">
        <v>921483200000</v>
      </c>
      <c r="C657">
        <v>4</v>
      </c>
      <c r="D657" s="5">
        <v>183.7</v>
      </c>
      <c r="E657">
        <v>2.0555555555555438E-2</v>
      </c>
      <c r="F657">
        <f t="shared" si="20"/>
        <v>11.700378265491493</v>
      </c>
      <c r="G657">
        <f t="shared" si="21"/>
        <v>8.1966880962782065E-3</v>
      </c>
    </row>
    <row r="658" spans="1:7" x14ac:dyDescent="0.2">
      <c r="A658" s="1">
        <v>37834</v>
      </c>
      <c r="B658">
        <v>909655000000</v>
      </c>
      <c r="C658">
        <v>4</v>
      </c>
      <c r="D658" s="5">
        <v>184.5</v>
      </c>
      <c r="E658">
        <v>2.2160664819944609E-2</v>
      </c>
      <c r="F658">
        <f t="shared" si="20"/>
        <v>11.692880340501201</v>
      </c>
      <c r="G658">
        <f t="shared" si="21"/>
        <v>7.5141750453778947E-3</v>
      </c>
    </row>
    <row r="659" spans="1:7" x14ac:dyDescent="0.2">
      <c r="A659" s="1">
        <v>37865</v>
      </c>
      <c r="B659">
        <v>899851100000</v>
      </c>
      <c r="C659">
        <v>4</v>
      </c>
      <c r="D659" s="5">
        <v>185.1</v>
      </c>
      <c r="E659">
        <v>2.3783185840707821E-2</v>
      </c>
      <c r="F659">
        <f t="shared" si="20"/>
        <v>11.686764233132756</v>
      </c>
      <c r="G659">
        <f t="shared" si="21"/>
        <v>6.825346685220844E-3</v>
      </c>
    </row>
    <row r="660" spans="1:7" x14ac:dyDescent="0.2">
      <c r="A660" s="1">
        <v>37895</v>
      </c>
      <c r="B660">
        <v>886915900000</v>
      </c>
      <c r="C660">
        <v>4</v>
      </c>
      <c r="D660" s="5">
        <v>184.9</v>
      </c>
      <c r="E660">
        <v>2.0419426048565281E-2</v>
      </c>
      <c r="F660">
        <f t="shared" si="20"/>
        <v>11.680945529532149</v>
      </c>
      <c r="G660">
        <f t="shared" si="21"/>
        <v>8.2546214804015607E-3</v>
      </c>
    </row>
    <row r="661" spans="1:7" x14ac:dyDescent="0.2">
      <c r="A661" s="1">
        <v>37926</v>
      </c>
      <c r="B661">
        <v>881723300000</v>
      </c>
      <c r="C661">
        <v>4</v>
      </c>
      <c r="D661" s="5">
        <v>185</v>
      </c>
      <c r="E661">
        <v>1.9283746556473913E-2</v>
      </c>
      <c r="F661">
        <f t="shared" si="20"/>
        <v>11.678160589000044</v>
      </c>
      <c r="G661">
        <f t="shared" si="21"/>
        <v>8.7382402678978649E-3</v>
      </c>
    </row>
    <row r="662" spans="1:7" x14ac:dyDescent="0.2">
      <c r="A662" s="1">
        <v>37956</v>
      </c>
      <c r="B662">
        <v>883570200000</v>
      </c>
      <c r="C662">
        <v>4</v>
      </c>
      <c r="D662" s="5">
        <v>185.5</v>
      </c>
      <c r="E662">
        <v>2.0352035203520247E-2</v>
      </c>
      <c r="F662">
        <f t="shared" si="20"/>
        <v>11.677897146129949</v>
      </c>
      <c r="G662">
        <f t="shared" si="21"/>
        <v>8.2833042336643604E-3</v>
      </c>
    </row>
    <row r="663" spans="1:7" x14ac:dyDescent="0.2">
      <c r="A663" s="1">
        <v>37987</v>
      </c>
      <c r="B663">
        <v>876472200000</v>
      </c>
      <c r="C663">
        <v>4</v>
      </c>
      <c r="D663" s="5">
        <v>186.3</v>
      </c>
      <c r="E663">
        <v>2.0262869660460092E-2</v>
      </c>
      <c r="F663">
        <f t="shared" si="20"/>
        <v>11.672525290772514</v>
      </c>
      <c r="G663">
        <f t="shared" si="21"/>
        <v>8.3212576008178767E-3</v>
      </c>
    </row>
    <row r="664" spans="1:7" x14ac:dyDescent="0.2">
      <c r="A664" s="1">
        <v>38018</v>
      </c>
      <c r="B664">
        <v>874601400000</v>
      </c>
      <c r="C664">
        <v>4</v>
      </c>
      <c r="D664" s="5">
        <v>186.7</v>
      </c>
      <c r="E664">
        <v>1.6884531590413809E-2</v>
      </c>
      <c r="F664">
        <f t="shared" si="20"/>
        <v>11.670665850248175</v>
      </c>
      <c r="G664">
        <f t="shared" si="21"/>
        <v>9.7616982149257691E-3</v>
      </c>
    </row>
    <row r="665" spans="1:7" x14ac:dyDescent="0.2">
      <c r="A665" s="1">
        <v>38047</v>
      </c>
      <c r="B665">
        <v>869420200000</v>
      </c>
      <c r="C665">
        <v>4</v>
      </c>
      <c r="D665" s="5">
        <v>187.1</v>
      </c>
      <c r="E665">
        <v>1.7400761283306032E-2</v>
      </c>
      <c r="F665">
        <f t="shared" si="20"/>
        <v>11.667155938815609</v>
      </c>
      <c r="G665">
        <f t="shared" si="21"/>
        <v>9.5412810368479643E-3</v>
      </c>
    </row>
    <row r="666" spans="1:7" x14ac:dyDescent="0.2">
      <c r="A666" s="1">
        <v>38078</v>
      </c>
      <c r="B666">
        <v>864500100000</v>
      </c>
      <c r="C666">
        <v>4</v>
      </c>
      <c r="D666" s="5">
        <v>187.4</v>
      </c>
      <c r="E666">
        <v>2.2925764192139875E-2</v>
      </c>
      <c r="F666">
        <f t="shared" si="20"/>
        <v>11.663995461294672</v>
      </c>
      <c r="G666">
        <f t="shared" si="21"/>
        <v>7.1892220788524518E-3</v>
      </c>
    </row>
    <row r="667" spans="1:7" x14ac:dyDescent="0.2">
      <c r="A667" s="1">
        <v>38108</v>
      </c>
      <c r="B667">
        <v>862933700000</v>
      </c>
      <c r="C667">
        <v>4</v>
      </c>
      <c r="D667" s="5">
        <v>188.2</v>
      </c>
      <c r="E667">
        <v>2.8977583378895444E-2</v>
      </c>
      <c r="F667">
        <f t="shared" si="20"/>
        <v>11.661357810656131</v>
      </c>
      <c r="G667">
        <f t="shared" si="21"/>
        <v>4.6274256839591646E-3</v>
      </c>
    </row>
    <row r="668" spans="1:7" x14ac:dyDescent="0.2">
      <c r="A668" s="1">
        <v>38139</v>
      </c>
      <c r="B668">
        <v>869232800000</v>
      </c>
      <c r="C668">
        <v>4.01</v>
      </c>
      <c r="D668" s="5">
        <v>188.9</v>
      </c>
      <c r="E668">
        <v>3.1676679410158393E-2</v>
      </c>
      <c r="F668">
        <f t="shared" si="20"/>
        <v>11.66290414788846</v>
      </c>
      <c r="G668">
        <f t="shared" si="21"/>
        <v>3.5314827559220605E-3</v>
      </c>
    </row>
    <row r="669" spans="1:7" x14ac:dyDescent="0.2">
      <c r="A669" s="1">
        <v>38169</v>
      </c>
      <c r="B669">
        <v>878074000000</v>
      </c>
      <c r="C669">
        <v>4.25</v>
      </c>
      <c r="D669" s="5">
        <v>189.1</v>
      </c>
      <c r="E669">
        <v>2.9395753946652281E-2</v>
      </c>
      <c r="F669">
        <f t="shared" si="20"/>
        <v>11.666839588925995</v>
      </c>
      <c r="G669">
        <f t="shared" si="21"/>
        <v>5.4936911065637034E-3</v>
      </c>
    </row>
    <row r="670" spans="1:7" x14ac:dyDescent="0.2">
      <c r="A670" s="1">
        <v>38200</v>
      </c>
      <c r="B670">
        <v>882991000000</v>
      </c>
      <c r="C670">
        <v>4.43</v>
      </c>
      <c r="D670" s="5">
        <v>189.2</v>
      </c>
      <c r="E670">
        <v>2.5474254742547275E-2</v>
      </c>
      <c r="F670">
        <f t="shared" si="20"/>
        <v>11.669035144931662</v>
      </c>
      <c r="G670">
        <f t="shared" si="21"/>
        <v>7.9005164332561339E-3</v>
      </c>
    </row>
    <row r="671" spans="1:7" x14ac:dyDescent="0.2">
      <c r="A671" s="1">
        <v>38231</v>
      </c>
      <c r="B671">
        <v>886799800000</v>
      </c>
      <c r="C671">
        <v>4.58</v>
      </c>
      <c r="D671" s="5">
        <v>189.8</v>
      </c>
      <c r="E671">
        <v>2.5391680172879516E-2</v>
      </c>
      <c r="F671">
        <f t="shared" si="20"/>
        <v>11.669529378404732</v>
      </c>
      <c r="G671">
        <f t="shared" si="21"/>
        <v>8.5588481552670986E-3</v>
      </c>
    </row>
    <row r="672" spans="1:7" x14ac:dyDescent="0.2">
      <c r="A672" s="1">
        <v>38261</v>
      </c>
      <c r="B672">
        <v>889270400000</v>
      </c>
      <c r="C672">
        <v>4.75</v>
      </c>
      <c r="D672" s="5">
        <v>190.8</v>
      </c>
      <c r="E672">
        <v>3.1909140075716547E-2</v>
      </c>
      <c r="F672">
        <f t="shared" si="20"/>
        <v>11.668455466386352</v>
      </c>
      <c r="G672">
        <f t="shared" si="21"/>
        <v>6.5125724294296805E-3</v>
      </c>
    </row>
    <row r="673" spans="1:7" x14ac:dyDescent="0.2">
      <c r="A673" s="1">
        <v>38292</v>
      </c>
      <c r="B673">
        <v>897558000000</v>
      </c>
      <c r="C673">
        <v>4.93</v>
      </c>
      <c r="D673" s="5">
        <v>191.7</v>
      </c>
      <c r="E673">
        <v>3.6216216216216068E-2</v>
      </c>
      <c r="F673">
        <f t="shared" si="20"/>
        <v>11.670440409292713</v>
      </c>
      <c r="G673">
        <f t="shared" si="21"/>
        <v>5.4492883874875222E-3</v>
      </c>
    </row>
    <row r="674" spans="1:7" x14ac:dyDescent="0.2">
      <c r="A674" s="1">
        <v>38322</v>
      </c>
      <c r="B674">
        <v>906369300000</v>
      </c>
      <c r="C674">
        <v>5.15</v>
      </c>
      <c r="D674" s="5">
        <v>191.7</v>
      </c>
      <c r="E674">
        <v>3.3423180592991875E-2</v>
      </c>
      <c r="F674">
        <f t="shared" si="20"/>
        <v>11.6746830740629</v>
      </c>
      <c r="G674">
        <f t="shared" si="21"/>
        <v>7.5310780953420121E-3</v>
      </c>
    </row>
    <row r="675" spans="1:7" x14ac:dyDescent="0.2">
      <c r="A675" s="1">
        <v>38353</v>
      </c>
      <c r="B675">
        <v>921521700000</v>
      </c>
      <c r="C675">
        <v>5.25</v>
      </c>
      <c r="D675" s="5">
        <v>191.6</v>
      </c>
      <c r="E675">
        <v>2.8448738593666034E-2</v>
      </c>
      <c r="F675">
        <f t="shared" si="20"/>
        <v>11.682110061702742</v>
      </c>
      <c r="G675">
        <f t="shared" si="21"/>
        <v>1.0039454661423006E-2</v>
      </c>
    </row>
    <row r="676" spans="1:7" x14ac:dyDescent="0.2">
      <c r="A676" s="1">
        <v>38384</v>
      </c>
      <c r="B676">
        <v>931898300000</v>
      </c>
      <c r="C676">
        <v>5.49</v>
      </c>
      <c r="D676" s="5">
        <v>192.4</v>
      </c>
      <c r="E676">
        <v>3.0530262453133394E-2</v>
      </c>
      <c r="F676">
        <f t="shared" si="20"/>
        <v>11.685163451777958</v>
      </c>
      <c r="G676">
        <f t="shared" si="21"/>
        <v>1.0150542576172714E-2</v>
      </c>
    </row>
    <row r="677" spans="1:7" x14ac:dyDescent="0.2">
      <c r="A677" s="1">
        <v>38412</v>
      </c>
      <c r="B677">
        <v>945892600000</v>
      </c>
      <c r="C677">
        <v>5.58</v>
      </c>
      <c r="D677" s="5">
        <v>193.1</v>
      </c>
      <c r="E677">
        <v>3.2068412613575736E-2</v>
      </c>
      <c r="F677">
        <f t="shared" si="20"/>
        <v>11.690059554086167</v>
      </c>
      <c r="G677">
        <f t="shared" si="21"/>
        <v>9.8731713855548485E-3</v>
      </c>
    </row>
    <row r="678" spans="1:7" x14ac:dyDescent="0.2">
      <c r="A678" s="1">
        <v>38443</v>
      </c>
      <c r="B678">
        <v>958563900000</v>
      </c>
      <c r="C678">
        <v>5.75</v>
      </c>
      <c r="D678" s="5">
        <v>193.7</v>
      </c>
      <c r="E678">
        <v>3.3617929562433257E-2</v>
      </c>
      <c r="F678">
        <f t="shared" si="20"/>
        <v>11.694491448495375</v>
      </c>
      <c r="G678">
        <f t="shared" si="21"/>
        <v>9.9203418797286381E-3</v>
      </c>
    </row>
    <row r="679" spans="1:7" x14ac:dyDescent="0.2">
      <c r="A679" s="1">
        <v>38473</v>
      </c>
      <c r="B679">
        <v>968737200000</v>
      </c>
      <c r="C679">
        <v>5.98</v>
      </c>
      <c r="D679" s="5">
        <v>193.6</v>
      </c>
      <c r="E679">
        <v>2.8692879914984148E-2</v>
      </c>
      <c r="F679">
        <f t="shared" si="20"/>
        <v>11.699300624213121</v>
      </c>
      <c r="G679">
        <f t="shared" si="21"/>
        <v>1.2938181297174046E-2</v>
      </c>
    </row>
    <row r="680" spans="1:7" x14ac:dyDescent="0.2">
      <c r="A680" s="1">
        <v>38504</v>
      </c>
      <c r="B680">
        <v>975152200000</v>
      </c>
      <c r="C680">
        <v>6.01</v>
      </c>
      <c r="D680" s="5">
        <v>193.7</v>
      </c>
      <c r="E680">
        <v>2.541026998411855E-2</v>
      </c>
      <c r="F680">
        <f t="shared" si="20"/>
        <v>11.701942784170731</v>
      </c>
      <c r="G680">
        <f t="shared" si="21"/>
        <v>1.444917171254988E-2</v>
      </c>
    </row>
    <row r="681" spans="1:7" x14ac:dyDescent="0.2">
      <c r="A681" s="1">
        <v>38534</v>
      </c>
      <c r="B681">
        <v>989571200000</v>
      </c>
      <c r="C681">
        <v>6.25</v>
      </c>
      <c r="D681" s="5">
        <v>194.9</v>
      </c>
      <c r="E681">
        <v>3.0671602326811209E-2</v>
      </c>
      <c r="F681">
        <f t="shared" si="20"/>
        <v>11.705635208191513</v>
      </c>
      <c r="G681">
        <f t="shared" si="21"/>
        <v>1.3208628449767432E-2</v>
      </c>
    </row>
    <row r="682" spans="1:7" x14ac:dyDescent="0.2">
      <c r="A682" s="1">
        <v>38565</v>
      </c>
      <c r="B682">
        <v>995836900000</v>
      </c>
      <c r="C682">
        <v>6.44</v>
      </c>
      <c r="D682" s="5">
        <v>196.1</v>
      </c>
      <c r="E682">
        <v>3.6469344608879517E-2</v>
      </c>
      <c r="F682">
        <f t="shared" si="20"/>
        <v>11.705710621030718</v>
      </c>
      <c r="G682">
        <f t="shared" si="21"/>
        <v>1.1548404277341157E-2</v>
      </c>
    </row>
    <row r="683" spans="1:7" x14ac:dyDescent="0.2">
      <c r="A683" s="1">
        <v>38596</v>
      </c>
      <c r="B683">
        <v>1000940700000</v>
      </c>
      <c r="C683">
        <v>6.59</v>
      </c>
      <c r="D683" s="5">
        <v>198.8</v>
      </c>
      <c r="E683">
        <v>4.7418335089568053E-2</v>
      </c>
      <c r="F683">
        <f t="shared" si="20"/>
        <v>11.701991968721082</v>
      </c>
      <c r="G683">
        <f t="shared" si="21"/>
        <v>7.5962902389696881E-3</v>
      </c>
    </row>
    <row r="684" spans="1:7" x14ac:dyDescent="0.2">
      <c r="A684" s="1">
        <v>38626</v>
      </c>
      <c r="B684">
        <v>1014438700000</v>
      </c>
      <c r="C684">
        <v>6.75</v>
      </c>
      <c r="D684" s="5">
        <v>199.1</v>
      </c>
      <c r="E684">
        <v>4.3501048218029359E-2</v>
      </c>
      <c r="F684">
        <f t="shared" si="20"/>
        <v>11.707154548802691</v>
      </c>
      <c r="G684">
        <f t="shared" si="21"/>
        <v>9.8749940377281711E-3</v>
      </c>
    </row>
    <row r="685" spans="1:7" x14ac:dyDescent="0.2">
      <c r="A685" s="1">
        <v>38657</v>
      </c>
      <c r="B685">
        <v>1022526500000</v>
      </c>
      <c r="C685">
        <v>7</v>
      </c>
      <c r="D685" s="5">
        <v>198.1</v>
      </c>
      <c r="E685">
        <v>3.3385498174230532E-2</v>
      </c>
      <c r="F685">
        <f t="shared" si="20"/>
        <v>11.71279009654879</v>
      </c>
      <c r="G685">
        <f t="shared" si="21"/>
        <v>1.5121415024725238E-2</v>
      </c>
    </row>
    <row r="686" spans="1:7" x14ac:dyDescent="0.2">
      <c r="A686" s="1">
        <v>38687</v>
      </c>
      <c r="B686">
        <v>1036105800000</v>
      </c>
      <c r="C686">
        <v>7.15</v>
      </c>
      <c r="D686" s="5">
        <v>198.1</v>
      </c>
      <c r="E686">
        <v>3.3385498174230532E-2</v>
      </c>
      <c r="F686">
        <f t="shared" si="20"/>
        <v>11.718519629301305</v>
      </c>
      <c r="G686">
        <f t="shared" si="21"/>
        <v>1.5729812717363022E-2</v>
      </c>
    </row>
    <row r="687" spans="1:7" x14ac:dyDescent="0.2">
      <c r="A687" s="1">
        <v>38718</v>
      </c>
      <c r="B687">
        <v>1048889100000.0001</v>
      </c>
      <c r="C687">
        <v>7.26</v>
      </c>
      <c r="D687" s="5">
        <v>199.3</v>
      </c>
      <c r="E687">
        <v>4.0187891440501167E-2</v>
      </c>
      <c r="F687">
        <f t="shared" si="20"/>
        <v>11.721222273569213</v>
      </c>
      <c r="G687">
        <f t="shared" si="21"/>
        <v>1.3325998669087277E-2</v>
      </c>
    </row>
    <row r="688" spans="1:7" x14ac:dyDescent="0.2">
      <c r="A688" s="1">
        <v>38749</v>
      </c>
      <c r="B688">
        <v>1058545800000.0001</v>
      </c>
      <c r="C688">
        <v>7.5</v>
      </c>
      <c r="D688" s="5">
        <v>199.4</v>
      </c>
      <c r="E688">
        <v>3.6382536382536301E-2</v>
      </c>
      <c r="F688">
        <f t="shared" si="20"/>
        <v>11.724984499364169</v>
      </c>
      <c r="G688">
        <f t="shared" si="21"/>
        <v>1.5888377977781361E-2</v>
      </c>
    </row>
    <row r="689" spans="1:7" x14ac:dyDescent="0.2">
      <c r="A689" s="1">
        <v>38777</v>
      </c>
      <c r="B689">
        <v>1068765400000</v>
      </c>
      <c r="C689">
        <v>7.53</v>
      </c>
      <c r="D689" s="5">
        <v>199.7</v>
      </c>
      <c r="E689">
        <v>3.4179181771103018E-2</v>
      </c>
      <c r="F689">
        <f t="shared" si="20"/>
        <v>11.728504320724554</v>
      </c>
      <c r="G689">
        <f t="shared" si="21"/>
        <v>1.6933854712114879E-2</v>
      </c>
    </row>
    <row r="690" spans="1:7" x14ac:dyDescent="0.2">
      <c r="A690" s="1">
        <v>38808</v>
      </c>
      <c r="B690">
        <v>1084967400000</v>
      </c>
      <c r="C690">
        <v>7.75</v>
      </c>
      <c r="D690" s="5">
        <v>200.7</v>
      </c>
      <c r="E690">
        <v>3.6138358286009309E-2</v>
      </c>
      <c r="F690">
        <f t="shared" si="20"/>
        <v>11.732869316652998</v>
      </c>
      <c r="G690">
        <f t="shared" si="21"/>
        <v>1.6999527064394469E-2</v>
      </c>
    </row>
    <row r="691" spans="1:7" x14ac:dyDescent="0.2">
      <c r="A691" s="1">
        <v>38838</v>
      </c>
      <c r="B691">
        <v>1103268200000</v>
      </c>
      <c r="C691">
        <v>7.93</v>
      </c>
      <c r="D691" s="5">
        <v>201.3</v>
      </c>
      <c r="E691">
        <v>3.9772727272727293E-2</v>
      </c>
      <c r="F691">
        <f t="shared" si="20"/>
        <v>11.738837325603452</v>
      </c>
      <c r="G691">
        <f t="shared" si="21"/>
        <v>1.6203755144345015E-2</v>
      </c>
    </row>
    <row r="692" spans="1:7" x14ac:dyDescent="0.2">
      <c r="A692" s="1">
        <v>38869</v>
      </c>
      <c r="B692">
        <v>1118878000000</v>
      </c>
      <c r="C692">
        <v>8.02</v>
      </c>
      <c r="D692" s="5">
        <v>201.8</v>
      </c>
      <c r="E692">
        <v>4.1817243159525175E-2</v>
      </c>
      <c r="F692">
        <f t="shared" si="20"/>
        <v>11.743861572692415</v>
      </c>
      <c r="G692">
        <f t="shared" si="21"/>
        <v>1.5712631763393745E-2</v>
      </c>
    </row>
    <row r="693" spans="1:7" x14ac:dyDescent="0.2">
      <c r="A693" s="1">
        <v>38899</v>
      </c>
      <c r="B693">
        <v>1130561400000</v>
      </c>
      <c r="C693">
        <v>8.25</v>
      </c>
      <c r="D693" s="5">
        <v>202.9</v>
      </c>
      <c r="E693">
        <v>4.1046690610569536E-2</v>
      </c>
      <c r="F693">
        <f t="shared" si="20"/>
        <v>11.746012106518513</v>
      </c>
      <c r="G693">
        <f t="shared" si="21"/>
        <v>1.695769710967852E-2</v>
      </c>
    </row>
    <row r="694" spans="1:7" x14ac:dyDescent="0.2">
      <c r="A694" s="1">
        <v>38930</v>
      </c>
      <c r="B694">
        <v>1152266200000</v>
      </c>
      <c r="C694">
        <v>8.25</v>
      </c>
      <c r="D694" s="5">
        <v>203.8</v>
      </c>
      <c r="E694">
        <v>3.9265680775114831E-2</v>
      </c>
      <c r="F694">
        <f t="shared" si="20"/>
        <v>11.752348643024305</v>
      </c>
      <c r="G694">
        <f t="shared" si="21"/>
        <v>1.7701319022779469E-2</v>
      </c>
    </row>
    <row r="695" spans="1:7" x14ac:dyDescent="0.2">
      <c r="A695" s="1">
        <v>38961</v>
      </c>
      <c r="B695">
        <v>1151229500000</v>
      </c>
      <c r="C695">
        <v>8.25</v>
      </c>
      <c r="D695" s="5">
        <v>202.8</v>
      </c>
      <c r="E695">
        <v>2.0120724346076369E-2</v>
      </c>
      <c r="F695">
        <f t="shared" si="20"/>
        <v>11.754093959109387</v>
      </c>
      <c r="G695">
        <f t="shared" si="21"/>
        <v>2.5776334425399203E-2</v>
      </c>
    </row>
    <row r="696" spans="1:7" x14ac:dyDescent="0.2">
      <c r="A696" s="1">
        <v>38991</v>
      </c>
      <c r="B696">
        <v>1161271000000</v>
      </c>
      <c r="C696">
        <v>8.25</v>
      </c>
      <c r="D696" s="5">
        <v>201.9</v>
      </c>
      <c r="E696">
        <v>1.4063284781516971E-2</v>
      </c>
      <c r="F696">
        <f t="shared" si="20"/>
        <v>11.759797261751627</v>
      </c>
      <c r="G696">
        <f t="shared" si="21"/>
        <v>2.8362846109173275E-2</v>
      </c>
    </row>
    <row r="697" spans="1:7" x14ac:dyDescent="0.2">
      <c r="A697" s="1">
        <v>39022</v>
      </c>
      <c r="B697">
        <v>1169872200000</v>
      </c>
      <c r="C697">
        <v>8.25</v>
      </c>
      <c r="D697" s="5">
        <v>202</v>
      </c>
      <c r="E697">
        <v>1.9687026754164672E-2</v>
      </c>
      <c r="F697">
        <f t="shared" si="20"/>
        <v>11.762787051388155</v>
      </c>
      <c r="G697">
        <f t="shared" si="21"/>
        <v>2.5961011117326297E-2</v>
      </c>
    </row>
    <row r="698" spans="1:7" x14ac:dyDescent="0.2">
      <c r="A698" s="1">
        <v>39052</v>
      </c>
      <c r="B698">
        <v>1182517100000</v>
      </c>
      <c r="C698">
        <v>8.25</v>
      </c>
      <c r="D698" s="5">
        <v>203.1</v>
      </c>
      <c r="E698">
        <v>2.5239777889954462E-2</v>
      </c>
      <c r="F698">
        <f t="shared" si="20"/>
        <v>11.765097506243473</v>
      </c>
      <c r="G698">
        <f t="shared" si="21"/>
        <v>2.3602457159143424E-2</v>
      </c>
    </row>
    <row r="699" spans="1:7" x14ac:dyDescent="0.2">
      <c r="A699" s="1">
        <v>39083</v>
      </c>
      <c r="B699">
        <v>1192525600000</v>
      </c>
      <c r="C699">
        <v>8.25</v>
      </c>
      <c r="D699" s="5">
        <v>203.43700000000001</v>
      </c>
      <c r="E699">
        <v>2.0757651781234232E-2</v>
      </c>
      <c r="F699">
        <f t="shared" si="20"/>
        <v>11.768037767974604</v>
      </c>
      <c r="G699">
        <f t="shared" si="21"/>
        <v>2.5505260869348095E-2</v>
      </c>
    </row>
    <row r="700" spans="1:7" x14ac:dyDescent="0.2">
      <c r="A700" s="1">
        <v>39114</v>
      </c>
      <c r="B700">
        <v>1205150800000</v>
      </c>
      <c r="C700">
        <v>8.25</v>
      </c>
      <c r="D700" s="5">
        <v>204.226</v>
      </c>
      <c r="E700">
        <v>2.4202607823470279E-2</v>
      </c>
      <c r="F700">
        <f t="shared" si="20"/>
        <v>11.770930362116889</v>
      </c>
      <c r="G700">
        <f t="shared" si="21"/>
        <v>2.4042027725521206E-2</v>
      </c>
    </row>
    <row r="701" spans="1:7" x14ac:dyDescent="0.2">
      <c r="A701" s="1">
        <v>39142</v>
      </c>
      <c r="B701">
        <v>1215870800000</v>
      </c>
      <c r="C701">
        <v>8.25</v>
      </c>
      <c r="D701" s="5">
        <v>205.28800000000001</v>
      </c>
      <c r="E701">
        <v>2.7981972959439272E-2</v>
      </c>
      <c r="F701">
        <f t="shared" si="20"/>
        <v>11.772523865035058</v>
      </c>
      <c r="G701">
        <f t="shared" si="21"/>
        <v>2.2442406234712831E-2</v>
      </c>
    </row>
    <row r="702" spans="1:7" x14ac:dyDescent="0.2">
      <c r="A702" s="1">
        <v>39173</v>
      </c>
      <c r="B702">
        <v>1226428000000</v>
      </c>
      <c r="C702">
        <v>8.25</v>
      </c>
      <c r="D702" s="5">
        <v>205.904</v>
      </c>
      <c r="E702">
        <v>2.5929247633283525E-2</v>
      </c>
      <c r="F702">
        <f t="shared" si="20"/>
        <v>11.77497727359799</v>
      </c>
      <c r="G702">
        <f t="shared" si="21"/>
        <v>2.3310493978617161E-2</v>
      </c>
    </row>
    <row r="703" spans="1:7" x14ac:dyDescent="0.2">
      <c r="A703" s="1">
        <v>39203</v>
      </c>
      <c r="B703">
        <v>1244509400000</v>
      </c>
      <c r="C703">
        <v>8.25</v>
      </c>
      <c r="D703" s="5">
        <v>206.755</v>
      </c>
      <c r="E703">
        <v>2.7098857426726131E-2</v>
      </c>
      <c r="F703">
        <f t="shared" si="20"/>
        <v>11.779542160273058</v>
      </c>
      <c r="G703">
        <f t="shared" si="21"/>
        <v>2.2815658926945065E-2</v>
      </c>
    </row>
    <row r="704" spans="1:7" x14ac:dyDescent="0.2">
      <c r="A704" s="1">
        <v>39234</v>
      </c>
      <c r="B704">
        <v>1263956900000</v>
      </c>
      <c r="C704">
        <v>8.25</v>
      </c>
      <c r="D704" s="5">
        <v>207.23400000000001</v>
      </c>
      <c r="E704">
        <v>2.692765113974227E-2</v>
      </c>
      <c r="F704">
        <f t="shared" si="20"/>
        <v>11.785271255311287</v>
      </c>
      <c r="G704">
        <f t="shared" si="21"/>
        <v>2.2888057160917595E-2</v>
      </c>
    </row>
    <row r="705" spans="1:7" x14ac:dyDescent="0.2">
      <c r="A705" s="1">
        <v>39264</v>
      </c>
      <c r="B705">
        <v>1281706100000</v>
      </c>
      <c r="C705">
        <v>8.25</v>
      </c>
      <c r="D705" s="5">
        <v>207.60300000000001</v>
      </c>
      <c r="E705">
        <v>2.3178905864958077E-2</v>
      </c>
      <c r="F705">
        <f t="shared" si="20"/>
        <v>11.790554826187627</v>
      </c>
      <c r="G705">
        <f t="shared" si="21"/>
        <v>2.4476326995855311E-2</v>
      </c>
    </row>
    <row r="706" spans="1:7" x14ac:dyDescent="0.2">
      <c r="A706" s="1">
        <v>39295</v>
      </c>
      <c r="B706">
        <v>1307661300000</v>
      </c>
      <c r="C706">
        <v>8.25</v>
      </c>
      <c r="D706" s="5">
        <v>207.667</v>
      </c>
      <c r="E706">
        <v>1.8974484789008761E-2</v>
      </c>
      <c r="F706">
        <f t="shared" si="20"/>
        <v>11.799127782019932</v>
      </c>
      <c r="G706">
        <f t="shared" si="21"/>
        <v>2.6264595654965816E-2</v>
      </c>
    </row>
    <row r="707" spans="1:7" x14ac:dyDescent="0.2">
      <c r="A707" s="1">
        <v>39326</v>
      </c>
      <c r="B707">
        <v>1350097400000</v>
      </c>
      <c r="C707">
        <v>8.0299999999999994</v>
      </c>
      <c r="D707" s="5">
        <v>208.547</v>
      </c>
      <c r="E707">
        <v>2.8338264299802685E-2</v>
      </c>
      <c r="F707">
        <f t="shared" si="20"/>
        <v>11.811161154113739</v>
      </c>
      <c r="G707">
        <f t="shared" si="21"/>
        <v>2.1408379958632973E-2</v>
      </c>
    </row>
    <row r="708" spans="1:7" x14ac:dyDescent="0.2">
      <c r="A708" s="1">
        <v>39356</v>
      </c>
      <c r="B708">
        <v>1374713600000</v>
      </c>
      <c r="C708">
        <v>7.74</v>
      </c>
      <c r="D708" s="5">
        <v>209.19</v>
      </c>
      <c r="E708">
        <v>3.610698365527476E-2</v>
      </c>
      <c r="F708">
        <f t="shared" ref="F708:F771" si="22">LOG(B708/D708*100)</f>
        <v>11.817671309226988</v>
      </c>
      <c r="G708">
        <f t="shared" ref="G708:G771" si="23">LOG((1+C708/100)/(1+E708))</f>
        <v>1.6972370228994661E-2</v>
      </c>
    </row>
    <row r="709" spans="1:7" x14ac:dyDescent="0.2">
      <c r="A709" s="1">
        <v>39387</v>
      </c>
      <c r="B709">
        <v>1393576200000</v>
      </c>
      <c r="C709">
        <v>7.5</v>
      </c>
      <c r="D709" s="5">
        <v>210.834</v>
      </c>
      <c r="E709">
        <v>4.373267326732666E-2</v>
      </c>
      <c r="F709">
        <f t="shared" si="22"/>
        <v>11.820190072298972</v>
      </c>
      <c r="G709">
        <f t="shared" si="23"/>
        <v>1.2819185309042127E-2</v>
      </c>
    </row>
    <row r="710" spans="1:7" x14ac:dyDescent="0.2">
      <c r="A710" s="1">
        <v>39417</v>
      </c>
      <c r="B710">
        <v>1417601600000</v>
      </c>
      <c r="C710">
        <v>7.33</v>
      </c>
      <c r="D710" s="5">
        <v>211.44499999999999</v>
      </c>
      <c r="E710">
        <v>4.1088133924175319E-2</v>
      </c>
      <c r="F710">
        <f t="shared" si="22"/>
        <v>11.826356774792348</v>
      </c>
      <c r="G710">
        <f t="shared" si="23"/>
        <v>1.3233632840559614E-2</v>
      </c>
    </row>
    <row r="711" spans="1:7" x14ac:dyDescent="0.2">
      <c r="A711" s="1">
        <v>39448</v>
      </c>
      <c r="B711">
        <v>1441076500000</v>
      </c>
      <c r="C711">
        <v>6.98</v>
      </c>
      <c r="D711" s="5">
        <v>212.17400000000001</v>
      </c>
      <c r="E711">
        <v>4.294695655165981E-2</v>
      </c>
      <c r="F711">
        <f t="shared" si="22"/>
        <v>11.831994872110712</v>
      </c>
      <c r="G711">
        <f t="shared" si="23"/>
        <v>1.1040372440917745E-2</v>
      </c>
    </row>
    <row r="712" spans="1:7" x14ac:dyDescent="0.2">
      <c r="A712" s="1">
        <v>39479</v>
      </c>
      <c r="B712">
        <v>1449241900000</v>
      </c>
      <c r="C712">
        <v>6</v>
      </c>
      <c r="D712" s="5">
        <v>212.68700000000001</v>
      </c>
      <c r="E712">
        <v>4.1429592706119678E-2</v>
      </c>
      <c r="F712">
        <f t="shared" si="22"/>
        <v>11.833399936251519</v>
      </c>
      <c r="G712">
        <f t="shared" si="23"/>
        <v>7.6759510701191738E-3</v>
      </c>
    </row>
    <row r="713" spans="1:7" x14ac:dyDescent="0.2">
      <c r="A713" s="1">
        <v>39508</v>
      </c>
      <c r="B713">
        <v>1470842200000</v>
      </c>
      <c r="C713">
        <v>5.66</v>
      </c>
      <c r="D713" s="5">
        <v>213.44800000000001</v>
      </c>
      <c r="E713">
        <v>3.9749035501344343E-2</v>
      </c>
      <c r="F713">
        <f t="shared" si="22"/>
        <v>11.838273991902653</v>
      </c>
      <c r="G713">
        <f t="shared" si="23"/>
        <v>6.9820801767896149E-3</v>
      </c>
    </row>
    <row r="714" spans="1:7" x14ac:dyDescent="0.2">
      <c r="A714" s="1">
        <v>39539</v>
      </c>
      <c r="B714">
        <v>1489996500000</v>
      </c>
      <c r="C714">
        <v>5.24</v>
      </c>
      <c r="D714" s="5">
        <v>213.94200000000001</v>
      </c>
      <c r="E714">
        <v>3.9037609759888126E-2</v>
      </c>
      <c r="F714">
        <f t="shared" si="22"/>
        <v>11.842889196841831</v>
      </c>
      <c r="G714">
        <f t="shared" si="23"/>
        <v>5.5495715335157096E-3</v>
      </c>
    </row>
    <row r="715" spans="1:7" x14ac:dyDescent="0.2">
      <c r="A715" s="1">
        <v>39569</v>
      </c>
      <c r="B715">
        <v>1491213700000</v>
      </c>
      <c r="C715">
        <v>5</v>
      </c>
      <c r="D715" s="5">
        <v>215.208</v>
      </c>
      <c r="E715">
        <v>4.088413823123993E-2</v>
      </c>
      <c r="F715">
        <f t="shared" si="22"/>
        <v>11.840681473485086</v>
      </c>
      <c r="G715">
        <f t="shared" si="23"/>
        <v>3.7869085865014432E-3</v>
      </c>
    </row>
    <row r="716" spans="1:7" x14ac:dyDescent="0.2">
      <c r="A716" s="1">
        <v>39600</v>
      </c>
      <c r="B716">
        <v>1498320400000</v>
      </c>
      <c r="C716">
        <v>5</v>
      </c>
      <c r="D716" s="5">
        <v>217.46299999999999</v>
      </c>
      <c r="E716">
        <v>4.9359661059478643E-2</v>
      </c>
      <c r="F716">
        <f t="shared" si="22"/>
        <v>11.838219317559528</v>
      </c>
      <c r="G716">
        <f t="shared" si="23"/>
        <v>2.649338102458573E-4</v>
      </c>
    </row>
    <row r="717" spans="1:7" x14ac:dyDescent="0.2">
      <c r="A717" s="1">
        <v>39630</v>
      </c>
      <c r="B717">
        <v>1512103600000</v>
      </c>
      <c r="C717">
        <v>5</v>
      </c>
      <c r="D717" s="5">
        <v>219.01599999999999</v>
      </c>
      <c r="E717">
        <v>5.4975120783418374E-2</v>
      </c>
      <c r="F717">
        <f t="shared" si="22"/>
        <v>11.839105704401945</v>
      </c>
      <c r="G717">
        <f t="shared" si="23"/>
        <v>-2.0529188254992501E-3</v>
      </c>
    </row>
    <row r="718" spans="1:7" x14ac:dyDescent="0.2">
      <c r="A718" s="1">
        <v>39661</v>
      </c>
      <c r="B718">
        <v>1513761900000</v>
      </c>
      <c r="C718">
        <v>5</v>
      </c>
      <c r="D718" s="5">
        <v>218.69</v>
      </c>
      <c r="E718">
        <v>5.3080171620912386E-2</v>
      </c>
      <c r="F718">
        <f t="shared" si="22"/>
        <v>11.840228645661979</v>
      </c>
      <c r="G718">
        <f t="shared" si="23"/>
        <v>-1.2721364718378519E-3</v>
      </c>
    </row>
    <row r="719" spans="1:7" x14ac:dyDescent="0.2">
      <c r="A719" s="1">
        <v>39692</v>
      </c>
      <c r="B719">
        <v>1531026100000</v>
      </c>
      <c r="C719">
        <v>5</v>
      </c>
      <c r="D719" s="5">
        <v>218.87700000000001</v>
      </c>
      <c r="E719">
        <v>4.9533198751360752E-2</v>
      </c>
      <c r="F719">
        <f t="shared" si="22"/>
        <v>11.844782466850946</v>
      </c>
      <c r="G719">
        <f t="shared" si="23"/>
        <v>1.9311836544489103E-4</v>
      </c>
    </row>
    <row r="720" spans="1:7" x14ac:dyDescent="0.2">
      <c r="A720" s="1">
        <v>39722</v>
      </c>
      <c r="B720">
        <v>1586423300000</v>
      </c>
      <c r="C720">
        <v>4.5599999999999996</v>
      </c>
      <c r="D720" s="5">
        <v>216.995</v>
      </c>
      <c r="E720">
        <v>3.7310578899565128E-2</v>
      </c>
      <c r="F720">
        <f t="shared" si="22"/>
        <v>11.863969352834221</v>
      </c>
      <c r="G720">
        <f t="shared" si="23"/>
        <v>3.4567675491237351E-3</v>
      </c>
    </row>
    <row r="721" spans="1:7" x14ac:dyDescent="0.2">
      <c r="A721" s="1">
        <v>39753</v>
      </c>
      <c r="B721">
        <v>1575381500000</v>
      </c>
      <c r="C721">
        <v>4</v>
      </c>
      <c r="D721" s="5">
        <v>213.15299999999999</v>
      </c>
      <c r="E721">
        <v>1.0999174706166848E-2</v>
      </c>
      <c r="F721">
        <f t="shared" si="22"/>
        <v>11.868694291702571</v>
      </c>
      <c r="G721">
        <f t="shared" si="23"/>
        <v>1.2282538228752624E-2</v>
      </c>
    </row>
    <row r="722" spans="1:7" x14ac:dyDescent="0.2">
      <c r="A722" s="1">
        <v>39783</v>
      </c>
      <c r="B722">
        <v>1558687500000</v>
      </c>
      <c r="C722">
        <v>3.61</v>
      </c>
      <c r="D722" s="5">
        <v>211.398</v>
      </c>
      <c r="E722">
        <v>-2.2228002553859039E-4</v>
      </c>
      <c r="F722">
        <f t="shared" si="22"/>
        <v>11.867658178359941</v>
      </c>
      <c r="G722">
        <f t="shared" si="23"/>
        <v>1.5498219421967819E-2</v>
      </c>
    </row>
    <row r="723" spans="1:7" x14ac:dyDescent="0.2">
      <c r="A723" s="1">
        <v>39814</v>
      </c>
      <c r="B723">
        <v>1544892500000</v>
      </c>
      <c r="C723">
        <v>3.25</v>
      </c>
      <c r="D723" s="5">
        <v>211.93299999999999</v>
      </c>
      <c r="E723">
        <v>-1.1358601902212717E-3</v>
      </c>
      <c r="F723">
        <f t="shared" si="22"/>
        <v>11.862699679017895</v>
      </c>
      <c r="G723">
        <f t="shared" si="23"/>
        <v>1.4383638512267372E-2</v>
      </c>
    </row>
    <row r="724" spans="1:7" x14ac:dyDescent="0.2">
      <c r="A724" s="1">
        <v>39845</v>
      </c>
      <c r="B724">
        <v>1532816100000</v>
      </c>
      <c r="C724">
        <v>3.25</v>
      </c>
      <c r="D724" s="5">
        <v>212.70500000000001</v>
      </c>
      <c r="E724">
        <v>8.4631406715107715E-5</v>
      </c>
      <c r="F724">
        <f t="shared" si="22"/>
        <v>11.857712354521365</v>
      </c>
      <c r="G724">
        <f t="shared" si="23"/>
        <v>1.3853306930730433E-2</v>
      </c>
    </row>
    <row r="725" spans="1:7" x14ac:dyDescent="0.2">
      <c r="A725" s="1">
        <v>39873</v>
      </c>
      <c r="B725">
        <v>1511375700000</v>
      </c>
      <c r="C725">
        <v>3.25</v>
      </c>
      <c r="D725" s="5">
        <v>212.495</v>
      </c>
      <c r="E725">
        <v>-4.4647876766238381E-3</v>
      </c>
      <c r="F725">
        <f t="shared" si="22"/>
        <v>11.852023719749628</v>
      </c>
      <c r="G725">
        <f t="shared" si="23"/>
        <v>1.5833434591545632E-2</v>
      </c>
    </row>
    <row r="726" spans="1:7" x14ac:dyDescent="0.2">
      <c r="A726" s="1">
        <v>39904</v>
      </c>
      <c r="B726">
        <v>1491510500000</v>
      </c>
      <c r="C726">
        <v>3.25</v>
      </c>
      <c r="D726" s="5">
        <v>212.709</v>
      </c>
      <c r="E726">
        <v>-5.7632442437670628E-3</v>
      </c>
      <c r="F726">
        <f t="shared" si="22"/>
        <v>11.845840449206669</v>
      </c>
      <c r="G726">
        <f t="shared" si="23"/>
        <v>1.6400245875646129E-2</v>
      </c>
    </row>
    <row r="727" spans="1:7" x14ac:dyDescent="0.2">
      <c r="A727" s="1">
        <v>39934</v>
      </c>
      <c r="B727">
        <v>1469404600000</v>
      </c>
      <c r="C727">
        <v>3.25</v>
      </c>
      <c r="D727" s="5">
        <v>213.02199999999999</v>
      </c>
      <c r="E727">
        <v>-1.0157614958551719E-2</v>
      </c>
      <c r="F727">
        <f t="shared" si="22"/>
        <v>11.838716937248499</v>
      </c>
      <c r="G727">
        <f t="shared" si="23"/>
        <v>1.8324013969583032E-2</v>
      </c>
    </row>
    <row r="728" spans="1:7" x14ac:dyDescent="0.2">
      <c r="A728" s="1">
        <v>39965</v>
      </c>
      <c r="B728">
        <v>1436391500000</v>
      </c>
      <c r="C728">
        <v>3.25</v>
      </c>
      <c r="D728" s="5">
        <v>214.79</v>
      </c>
      <c r="E728">
        <v>-1.2291746182109153E-2</v>
      </c>
      <c r="F728">
        <f t="shared" si="22"/>
        <v>11.825258768472125</v>
      </c>
      <c r="G728">
        <f t="shared" si="23"/>
        <v>1.9261377347940475E-2</v>
      </c>
    </row>
    <row r="729" spans="1:7" x14ac:dyDescent="0.2">
      <c r="A729" s="1">
        <v>39995</v>
      </c>
      <c r="B729">
        <v>1395397700000</v>
      </c>
      <c r="C729">
        <v>3.25</v>
      </c>
      <c r="D729" s="5">
        <v>214.726</v>
      </c>
      <c r="E729">
        <v>-1.9587610037622771E-2</v>
      </c>
      <c r="F729">
        <f t="shared" si="22"/>
        <v>11.812813368836791</v>
      </c>
      <c r="G729">
        <f t="shared" si="23"/>
        <v>2.2481269316849219E-2</v>
      </c>
    </row>
    <row r="730" spans="1:7" x14ac:dyDescent="0.2">
      <c r="A730" s="1">
        <v>40026</v>
      </c>
      <c r="B730">
        <v>1363590600000</v>
      </c>
      <c r="C730">
        <v>3.25</v>
      </c>
      <c r="D730" s="5">
        <v>215.44499999999999</v>
      </c>
      <c r="E730">
        <v>-1.4838355663267633E-2</v>
      </c>
      <c r="F730">
        <f t="shared" si="22"/>
        <v>11.801347579199195</v>
      </c>
      <c r="G730">
        <f t="shared" si="23"/>
        <v>2.038256538018338E-2</v>
      </c>
    </row>
    <row r="731" spans="1:7" x14ac:dyDescent="0.2">
      <c r="A731" s="1">
        <v>40057</v>
      </c>
      <c r="B731">
        <v>1337791600000</v>
      </c>
      <c r="C731">
        <v>3.25</v>
      </c>
      <c r="D731" s="5">
        <v>215.86099999999999</v>
      </c>
      <c r="E731">
        <v>-1.3779428628864721E-2</v>
      </c>
      <c r="F731">
        <f t="shared" si="22"/>
        <v>11.792214280041426</v>
      </c>
      <c r="G731">
        <f t="shared" si="23"/>
        <v>1.9916003179971511E-2</v>
      </c>
    </row>
    <row r="732" spans="1:7" x14ac:dyDescent="0.2">
      <c r="A732" s="1">
        <v>40087</v>
      </c>
      <c r="B732">
        <v>1307743900000</v>
      </c>
      <c r="C732">
        <v>3.25</v>
      </c>
      <c r="D732" s="5">
        <v>216.50899999999999</v>
      </c>
      <c r="E732">
        <v>-2.2396829420033848E-3</v>
      </c>
      <c r="F732">
        <f t="shared" si="22"/>
        <v>11.781046748801774</v>
      </c>
      <c r="G732">
        <f t="shared" si="23"/>
        <v>1.4863833150060624E-2</v>
      </c>
    </row>
    <row r="733" spans="1:7" x14ac:dyDescent="0.2">
      <c r="A733" s="1">
        <v>40118</v>
      </c>
      <c r="B733">
        <v>1289979400000</v>
      </c>
      <c r="C733">
        <v>3.25</v>
      </c>
      <c r="D733" s="5">
        <v>217.23400000000001</v>
      </c>
      <c r="E733">
        <v>1.9145871744709275E-2</v>
      </c>
      <c r="F733">
        <f t="shared" si="22"/>
        <v>11.77365497591985</v>
      </c>
      <c r="G733">
        <f t="shared" si="23"/>
        <v>5.6537107088642322E-3</v>
      </c>
    </row>
    <row r="734" spans="1:7" x14ac:dyDescent="0.2">
      <c r="A734" s="1">
        <v>40148</v>
      </c>
      <c r="B734">
        <v>1265163000000</v>
      </c>
      <c r="C734">
        <v>3.25</v>
      </c>
      <c r="D734" s="5">
        <v>217.34700000000001</v>
      </c>
      <c r="E734">
        <v>2.8141231232083674E-2</v>
      </c>
      <c r="F734">
        <f t="shared" si="22"/>
        <v>11.764992832298832</v>
      </c>
      <c r="G734">
        <f t="shared" si="23"/>
        <v>1.8372844514296426E-3</v>
      </c>
    </row>
    <row r="735" spans="1:7" x14ac:dyDescent="0.2">
      <c r="A735" s="1">
        <v>40179</v>
      </c>
      <c r="B735">
        <v>1238737200000</v>
      </c>
      <c r="C735">
        <v>3.25</v>
      </c>
      <c r="D735" s="5">
        <v>217.488</v>
      </c>
      <c r="E735">
        <v>2.6211113889767157E-2</v>
      </c>
      <c r="F735">
        <f t="shared" si="22"/>
        <v>11.755543880351807</v>
      </c>
      <c r="G735">
        <f t="shared" si="23"/>
        <v>2.6533465644598682E-3</v>
      </c>
    </row>
    <row r="736" spans="1:7" x14ac:dyDescent="0.2">
      <c r="A736" s="1">
        <v>40210</v>
      </c>
      <c r="B736">
        <v>1223659300000</v>
      </c>
      <c r="C736">
        <v>3.25</v>
      </c>
      <c r="D736" s="5">
        <v>217.28100000000001</v>
      </c>
      <c r="E736">
        <v>2.151336357866529E-2</v>
      </c>
      <c r="F736">
        <f t="shared" si="22"/>
        <v>11.750638763881257</v>
      </c>
      <c r="G736">
        <f t="shared" si="23"/>
        <v>4.6460078225174627E-3</v>
      </c>
    </row>
    <row r="737" spans="1:7" x14ac:dyDescent="0.2">
      <c r="A737" s="1">
        <v>40238</v>
      </c>
      <c r="B737">
        <v>1210135400000</v>
      </c>
      <c r="C737">
        <v>3.25</v>
      </c>
      <c r="D737" s="5">
        <v>217.35300000000001</v>
      </c>
      <c r="E737">
        <v>2.2861714393279886E-2</v>
      </c>
      <c r="F737">
        <f t="shared" si="22"/>
        <v>11.745668326620752</v>
      </c>
      <c r="G737">
        <f t="shared" si="23"/>
        <v>4.0731370125815167E-3</v>
      </c>
    </row>
    <row r="738" spans="1:7" x14ac:dyDescent="0.2">
      <c r="A738" s="1">
        <v>40269</v>
      </c>
      <c r="B738">
        <v>1207424900000</v>
      </c>
      <c r="C738">
        <v>3.25</v>
      </c>
      <c r="D738" s="5">
        <v>217.40299999999999</v>
      </c>
      <c r="E738">
        <v>2.2067707525304403E-2</v>
      </c>
      <c r="F738">
        <f t="shared" si="22"/>
        <v>11.74459459507154</v>
      </c>
      <c r="G738">
        <f t="shared" si="23"/>
        <v>4.4103934625970296E-3</v>
      </c>
    </row>
    <row r="739" spans="1:7" x14ac:dyDescent="0.2">
      <c r="A739" s="1">
        <v>40299</v>
      </c>
      <c r="B739">
        <v>1196725900000</v>
      </c>
      <c r="C739">
        <v>3.25</v>
      </c>
      <c r="D739" s="5">
        <v>217.29</v>
      </c>
      <c r="E739">
        <v>2.0035489292185682E-2</v>
      </c>
      <c r="F739">
        <f t="shared" si="22"/>
        <v>11.740954950378248</v>
      </c>
      <c r="G739">
        <f t="shared" si="23"/>
        <v>5.2747782374652028E-3</v>
      </c>
    </row>
    <row r="740" spans="1:7" x14ac:dyDescent="0.2">
      <c r="A740" s="1">
        <v>40330</v>
      </c>
      <c r="B740">
        <v>1190170100000</v>
      </c>
      <c r="C740">
        <v>3.25</v>
      </c>
      <c r="D740" s="5">
        <v>217.19900000000001</v>
      </c>
      <c r="E740">
        <v>1.1215605940686268E-2</v>
      </c>
      <c r="F740">
        <f t="shared" si="22"/>
        <v>11.738751214122322</v>
      </c>
      <c r="G740">
        <f t="shared" si="23"/>
        <v>9.04629693598916E-3</v>
      </c>
    </row>
    <row r="741" spans="1:7" x14ac:dyDescent="0.2">
      <c r="A741" s="1">
        <v>40360</v>
      </c>
      <c r="B741">
        <v>1188996500000</v>
      </c>
      <c r="C741">
        <v>3.25</v>
      </c>
      <c r="D741" s="5">
        <v>217.60499999999999</v>
      </c>
      <c r="E741">
        <v>1.3407784804821077E-2</v>
      </c>
      <c r="F741">
        <f t="shared" si="22"/>
        <v>11.737511706101252</v>
      </c>
      <c r="G741">
        <f t="shared" si="23"/>
        <v>8.1058241938073202E-3</v>
      </c>
    </row>
    <row r="742" spans="1:7" x14ac:dyDescent="0.2">
      <c r="A742" s="1">
        <v>40391</v>
      </c>
      <c r="B742">
        <v>1187900800000</v>
      </c>
      <c r="C742">
        <v>3.25</v>
      </c>
      <c r="D742" s="5">
        <v>217.923</v>
      </c>
      <c r="E742">
        <v>1.1501775395112546E-2</v>
      </c>
      <c r="F742">
        <f t="shared" si="22"/>
        <v>11.736477105895517</v>
      </c>
      <c r="G742">
        <f t="shared" si="23"/>
        <v>8.9234109441816614E-3</v>
      </c>
    </row>
    <row r="743" spans="1:7" x14ac:dyDescent="0.2">
      <c r="A743" s="1">
        <v>40422</v>
      </c>
      <c r="B743">
        <v>1186026600000</v>
      </c>
      <c r="C743">
        <v>3.25</v>
      </c>
      <c r="D743" s="5">
        <v>218.27500000000001</v>
      </c>
      <c r="E743">
        <v>1.1183122472331775E-2</v>
      </c>
      <c r="F743">
        <f t="shared" si="22"/>
        <v>11.735090432527258</v>
      </c>
      <c r="G743">
        <f t="shared" si="23"/>
        <v>9.0602480830725349E-3</v>
      </c>
    </row>
    <row r="744" spans="1:7" x14ac:dyDescent="0.2">
      <c r="A744" s="1">
        <v>40452</v>
      </c>
      <c r="B744">
        <v>1184828300000</v>
      </c>
      <c r="C744">
        <v>3.25</v>
      </c>
      <c r="D744" s="5">
        <v>219.035</v>
      </c>
      <c r="E744">
        <v>1.1666951489314625E-2</v>
      </c>
      <c r="F744">
        <f t="shared" si="22"/>
        <v>11.733141901810244</v>
      </c>
      <c r="G744">
        <f t="shared" si="23"/>
        <v>8.8524973664257569E-3</v>
      </c>
    </row>
    <row r="745" spans="1:7" x14ac:dyDescent="0.2">
      <c r="A745" s="1">
        <v>40483</v>
      </c>
      <c r="B745">
        <v>1186984100000</v>
      </c>
      <c r="C745">
        <v>3.25</v>
      </c>
      <c r="D745" s="5">
        <v>219.59</v>
      </c>
      <c r="E745">
        <v>1.084544776600338E-2</v>
      </c>
      <c r="F745">
        <f t="shared" si="22"/>
        <v>11.732832342779648</v>
      </c>
      <c r="G745">
        <f t="shared" si="23"/>
        <v>9.2053006952448092E-3</v>
      </c>
    </row>
    <row r="746" spans="1:7" x14ac:dyDescent="0.2">
      <c r="A746" s="1">
        <v>40513</v>
      </c>
      <c r="B746">
        <v>1192366200000</v>
      </c>
      <c r="C746">
        <v>3.25</v>
      </c>
      <c r="D746" s="5">
        <v>220.47200000000001</v>
      </c>
      <c r="E746">
        <v>1.4377930222179369E-2</v>
      </c>
      <c r="F746">
        <f t="shared" si="22"/>
        <v>11.733056214794672</v>
      </c>
      <c r="G746">
        <f t="shared" si="23"/>
        <v>7.6902686147079964E-3</v>
      </c>
    </row>
    <row r="747" spans="1:7" x14ac:dyDescent="0.2">
      <c r="A747" s="1">
        <v>40544</v>
      </c>
      <c r="B747">
        <v>1196077900000</v>
      </c>
      <c r="C747">
        <v>3.25</v>
      </c>
      <c r="D747" s="5">
        <v>221.18700000000001</v>
      </c>
      <c r="E747">
        <v>1.7007834915029774E-2</v>
      </c>
      <c r="F747">
        <f t="shared" si="22"/>
        <v>11.732999867725427</v>
      </c>
      <c r="G747">
        <f t="shared" si="23"/>
        <v>6.5657616365133471E-3</v>
      </c>
    </row>
    <row r="748" spans="1:7" x14ac:dyDescent="0.2">
      <c r="A748" s="1">
        <v>40575</v>
      </c>
      <c r="B748">
        <v>1199816300000</v>
      </c>
      <c r="C748">
        <v>3.25</v>
      </c>
      <c r="D748" s="5">
        <v>221.898</v>
      </c>
      <c r="E748">
        <v>2.1248981733331451E-2</v>
      </c>
      <c r="F748">
        <f t="shared" si="22"/>
        <v>11.732961369823171</v>
      </c>
      <c r="G748">
        <f t="shared" si="23"/>
        <v>4.7584238139796705E-3</v>
      </c>
    </row>
    <row r="749" spans="1:7" x14ac:dyDescent="0.2">
      <c r="A749" s="1">
        <v>40603</v>
      </c>
      <c r="B749">
        <v>1206919100000</v>
      </c>
      <c r="C749">
        <v>3.25</v>
      </c>
      <c r="D749" s="5">
        <v>223.04599999999999</v>
      </c>
      <c r="E749">
        <v>2.6192415103541089E-2</v>
      </c>
      <c r="F749">
        <f t="shared" si="22"/>
        <v>11.733283721018786</v>
      </c>
      <c r="G749">
        <f t="shared" si="23"/>
        <v>2.6612599982089005E-3</v>
      </c>
    </row>
    <row r="750" spans="1:7" x14ac:dyDescent="0.2">
      <c r="A750" s="1">
        <v>40634</v>
      </c>
      <c r="B750">
        <v>1214783600000</v>
      </c>
      <c r="C750">
        <v>3.25</v>
      </c>
      <c r="D750" s="5">
        <v>224.09299999999999</v>
      </c>
      <c r="E750">
        <v>3.0772344447868694E-2</v>
      </c>
      <c r="F750">
        <f t="shared" si="22"/>
        <v>11.734070629482924</v>
      </c>
      <c r="G750">
        <f t="shared" si="23"/>
        <v>7.273023847729728E-4</v>
      </c>
    </row>
    <row r="751" spans="1:7" x14ac:dyDescent="0.2">
      <c r="A751" s="1">
        <v>40664</v>
      </c>
      <c r="B751">
        <v>1228896100000</v>
      </c>
      <c r="C751">
        <v>3.25</v>
      </c>
      <c r="D751" s="5">
        <v>224.80600000000001</v>
      </c>
      <c r="E751">
        <v>3.4589718808964998E-2</v>
      </c>
      <c r="F751">
        <f t="shared" si="22"/>
        <v>11.737707267726689</v>
      </c>
      <c r="G751">
        <f t="shared" si="23"/>
        <v>-8.7809798324925122E-4</v>
      </c>
    </row>
    <row r="752" spans="1:7" x14ac:dyDescent="0.2">
      <c r="A752" s="1">
        <v>40695</v>
      </c>
      <c r="B752">
        <v>1233649900000</v>
      </c>
      <c r="C752">
        <v>3.25</v>
      </c>
      <c r="D752" s="5">
        <v>224.80600000000001</v>
      </c>
      <c r="E752">
        <v>3.5023181506360412E-2</v>
      </c>
      <c r="F752">
        <f t="shared" si="22"/>
        <v>11.739384029641117</v>
      </c>
      <c r="G752">
        <f t="shared" si="23"/>
        <v>-1.0600165056102175E-3</v>
      </c>
    </row>
    <row r="753" spans="1:7" x14ac:dyDescent="0.2">
      <c r="A753" s="1">
        <v>40725</v>
      </c>
      <c r="B753">
        <v>1244302500000</v>
      </c>
      <c r="C753">
        <v>3.25</v>
      </c>
      <c r="D753" s="5">
        <v>225.39500000000001</v>
      </c>
      <c r="E753">
        <v>3.5798809769996165E-2</v>
      </c>
      <c r="F753">
        <f t="shared" si="22"/>
        <v>11.741981695949548</v>
      </c>
      <c r="G753">
        <f t="shared" si="23"/>
        <v>-1.3853473086211708E-3</v>
      </c>
    </row>
    <row r="754" spans="1:7" x14ac:dyDescent="0.2">
      <c r="A754" s="1">
        <v>40756</v>
      </c>
      <c r="B754">
        <v>1263385300000</v>
      </c>
      <c r="C754">
        <v>3.25</v>
      </c>
      <c r="D754" s="5">
        <v>226.10599999999999</v>
      </c>
      <c r="E754">
        <v>3.7549960307080799E-2</v>
      </c>
      <c r="F754">
        <f t="shared" si="22"/>
        <v>11.747223732360482</v>
      </c>
      <c r="G754">
        <f t="shared" si="23"/>
        <v>-2.1189577913834769E-3</v>
      </c>
    </row>
    <row r="755" spans="1:7" x14ac:dyDescent="0.2">
      <c r="A755" s="1">
        <v>40787</v>
      </c>
      <c r="B755">
        <v>1269780600000</v>
      </c>
      <c r="C755">
        <v>3.25</v>
      </c>
      <c r="D755" s="5">
        <v>226.59700000000001</v>
      </c>
      <c r="E755">
        <v>3.8126216928186851E-2</v>
      </c>
      <c r="F755">
        <f t="shared" si="22"/>
        <v>11.748474531755031</v>
      </c>
      <c r="G755">
        <f t="shared" si="23"/>
        <v>-2.3600985626473399E-3</v>
      </c>
    </row>
    <row r="756" spans="1:7" x14ac:dyDescent="0.2">
      <c r="A756" s="1">
        <v>40817</v>
      </c>
      <c r="B756">
        <v>1280053600000</v>
      </c>
      <c r="C756">
        <v>3.25</v>
      </c>
      <c r="D756" s="5">
        <v>226.75</v>
      </c>
      <c r="E756">
        <v>3.5222681306640524E-2</v>
      </c>
      <c r="F756">
        <f t="shared" si="22"/>
        <v>11.751680859616405</v>
      </c>
      <c r="G756">
        <f t="shared" si="23"/>
        <v>-1.1437183153584652E-3</v>
      </c>
    </row>
    <row r="757" spans="1:7" x14ac:dyDescent="0.2">
      <c r="A757" s="1">
        <v>40848</v>
      </c>
      <c r="B757">
        <v>1292808000000</v>
      </c>
      <c r="C757">
        <v>3.25</v>
      </c>
      <c r="D757" s="5">
        <v>227.16900000000001</v>
      </c>
      <c r="E757">
        <v>3.4514322145817289E-2</v>
      </c>
      <c r="F757">
        <f t="shared" si="22"/>
        <v>11.755184964621524</v>
      </c>
      <c r="G757">
        <f t="shared" si="23"/>
        <v>-8.4644722608541651E-4</v>
      </c>
    </row>
    <row r="758" spans="1:7" x14ac:dyDescent="0.2">
      <c r="A758" s="1">
        <v>40878</v>
      </c>
      <c r="B758">
        <v>1303767000000</v>
      </c>
      <c r="C758">
        <v>3.25</v>
      </c>
      <c r="D758" s="5">
        <v>227.22300000000001</v>
      </c>
      <c r="E758">
        <v>3.0620668384193861E-2</v>
      </c>
      <c r="F758">
        <f t="shared" si="22"/>
        <v>11.75874769481384</v>
      </c>
      <c r="G758">
        <f t="shared" si="23"/>
        <v>7.9121264079853122E-4</v>
      </c>
    </row>
    <row r="759" spans="1:7" x14ac:dyDescent="0.2">
      <c r="A759" s="1">
        <v>40909</v>
      </c>
      <c r="B759">
        <v>1321418400000</v>
      </c>
      <c r="C759">
        <v>3.25</v>
      </c>
      <c r="D759" s="5">
        <v>227.84200000000001</v>
      </c>
      <c r="E759">
        <v>3.0087663379855023E-2</v>
      </c>
      <c r="F759">
        <f t="shared" si="22"/>
        <v>11.763406565602137</v>
      </c>
      <c r="G759">
        <f t="shared" si="23"/>
        <v>1.0158743591068534E-3</v>
      </c>
    </row>
    <row r="760" spans="1:7" x14ac:dyDescent="0.2">
      <c r="A760" s="1">
        <v>40940</v>
      </c>
      <c r="B760">
        <v>1344506000000</v>
      </c>
      <c r="C760">
        <v>3.25</v>
      </c>
      <c r="D760" s="5">
        <v>228.32900000000001</v>
      </c>
      <c r="E760">
        <v>2.8981784423473878E-2</v>
      </c>
      <c r="F760">
        <f t="shared" si="22"/>
        <v>11.770001670039136</v>
      </c>
      <c r="G760">
        <f t="shared" si="23"/>
        <v>1.482373607202191E-3</v>
      </c>
    </row>
    <row r="761" spans="1:7" x14ac:dyDescent="0.2">
      <c r="A761" s="1">
        <v>40969</v>
      </c>
      <c r="B761">
        <v>1351014700000</v>
      </c>
      <c r="C761">
        <v>3.25</v>
      </c>
      <c r="D761" s="5">
        <v>228.80699999999999</v>
      </c>
      <c r="E761">
        <v>2.5828752813320977E-2</v>
      </c>
      <c r="F761">
        <f t="shared" si="22"/>
        <v>11.771190767581059</v>
      </c>
      <c r="G761">
        <f t="shared" si="23"/>
        <v>2.8151926476782862E-3</v>
      </c>
    </row>
    <row r="762" spans="1:7" x14ac:dyDescent="0.2">
      <c r="A762" s="1">
        <v>41000</v>
      </c>
      <c r="B762">
        <v>1368455900000</v>
      </c>
      <c r="C762">
        <v>3.25</v>
      </c>
      <c r="D762" s="5">
        <v>229.18700000000001</v>
      </c>
      <c r="E762">
        <v>2.2731633741348567E-2</v>
      </c>
      <c r="F762">
        <f t="shared" si="22"/>
        <v>11.776040826515011</v>
      </c>
      <c r="G762">
        <f t="shared" si="23"/>
        <v>4.1283711669786701E-3</v>
      </c>
    </row>
    <row r="763" spans="1:7" x14ac:dyDescent="0.2">
      <c r="A763" s="1">
        <v>41030</v>
      </c>
      <c r="B763">
        <v>1378876300000</v>
      </c>
      <c r="C763">
        <v>3.25</v>
      </c>
      <c r="D763" s="5">
        <v>228.71299999999999</v>
      </c>
      <c r="E763">
        <v>1.7379429374660749E-2</v>
      </c>
      <c r="F763">
        <f t="shared" si="22"/>
        <v>11.780234456530588</v>
      </c>
      <c r="G763">
        <f t="shared" si="23"/>
        <v>6.4071080429217451E-3</v>
      </c>
    </row>
    <row r="764" spans="1:7" x14ac:dyDescent="0.2">
      <c r="A764" s="1">
        <v>41061</v>
      </c>
      <c r="B764">
        <v>1397966500000</v>
      </c>
      <c r="C764">
        <v>3.25</v>
      </c>
      <c r="D764" s="5">
        <v>228.524</v>
      </c>
      <c r="E764">
        <v>1.6538704482976341E-2</v>
      </c>
      <c r="F764">
        <f t="shared" si="22"/>
        <v>11.786564947185587</v>
      </c>
      <c r="G764">
        <f t="shared" si="23"/>
        <v>6.766141374671129E-3</v>
      </c>
    </row>
    <row r="765" spans="1:7" x14ac:dyDescent="0.2">
      <c r="A765" s="1">
        <v>41091</v>
      </c>
      <c r="B765">
        <v>1413657300000</v>
      </c>
      <c r="C765">
        <v>3.25</v>
      </c>
      <c r="D765" s="5">
        <v>228.59</v>
      </c>
      <c r="E765">
        <v>1.4175114798464783E-2</v>
      </c>
      <c r="F765">
        <f t="shared" si="22"/>
        <v>11.791286912549069</v>
      </c>
      <c r="G765">
        <f t="shared" si="23"/>
        <v>7.7771104351610654E-3</v>
      </c>
    </row>
    <row r="766" spans="1:7" x14ac:dyDescent="0.2">
      <c r="A766" s="1">
        <v>41122</v>
      </c>
      <c r="B766">
        <v>1425888300000</v>
      </c>
      <c r="C766">
        <v>3.25</v>
      </c>
      <c r="D766" s="5">
        <v>229.91800000000001</v>
      </c>
      <c r="E766">
        <v>1.6859349154821235E-2</v>
      </c>
      <c r="F766">
        <f t="shared" si="22"/>
        <v>11.792512532478233</v>
      </c>
      <c r="G766">
        <f t="shared" si="23"/>
        <v>6.6291743774430254E-3</v>
      </c>
    </row>
    <row r="767" spans="1:7" x14ac:dyDescent="0.2">
      <c r="A767" s="1">
        <v>41153</v>
      </c>
      <c r="B767">
        <v>1434439200000</v>
      </c>
      <c r="C767">
        <v>3.25</v>
      </c>
      <c r="D767" s="5">
        <v>231.01499999999999</v>
      </c>
      <c r="E767">
        <v>1.9497168982819613E-2</v>
      </c>
      <c r="F767">
        <f t="shared" si="22"/>
        <v>11.793041965091628</v>
      </c>
      <c r="G767">
        <f t="shared" si="23"/>
        <v>5.5040361945119963E-3</v>
      </c>
    </row>
    <row r="768" spans="1:7" x14ac:dyDescent="0.2">
      <c r="A768" s="1">
        <v>41183</v>
      </c>
      <c r="B768">
        <v>1449293200000</v>
      </c>
      <c r="C768">
        <v>3.25</v>
      </c>
      <c r="D768" s="5">
        <v>231.63800000000001</v>
      </c>
      <c r="E768">
        <v>2.1556780595369363E-2</v>
      </c>
      <c r="F768">
        <f t="shared" si="22"/>
        <v>11.796346448017689</v>
      </c>
      <c r="G768">
        <f t="shared" si="23"/>
        <v>4.6275495519270942E-3</v>
      </c>
    </row>
    <row r="769" spans="1:7" x14ac:dyDescent="0.2">
      <c r="A769" s="1">
        <v>41214</v>
      </c>
      <c r="B769">
        <v>1457239800000</v>
      </c>
      <c r="C769">
        <v>3.25</v>
      </c>
      <c r="D769" s="5">
        <v>231.249</v>
      </c>
      <c r="E769">
        <v>1.7960197033926262E-2</v>
      </c>
      <c r="F769">
        <f t="shared" si="22"/>
        <v>11.79945116076617</v>
      </c>
      <c r="G769">
        <f t="shared" si="23"/>
        <v>6.1592632181468997E-3</v>
      </c>
    </row>
    <row r="770" spans="1:7" x14ac:dyDescent="0.2">
      <c r="A770" s="1">
        <v>41244</v>
      </c>
      <c r="B770">
        <v>1474458800000</v>
      </c>
      <c r="C770">
        <v>3.25</v>
      </c>
      <c r="D770" s="5">
        <v>231.221</v>
      </c>
      <c r="E770">
        <v>1.7595049796895523E-2</v>
      </c>
      <c r="F770">
        <f t="shared" si="22"/>
        <v>11.804605366682702</v>
      </c>
      <c r="G770">
        <f t="shared" si="23"/>
        <v>6.3150746922620042E-3</v>
      </c>
    </row>
    <row r="771" spans="1:7" x14ac:dyDescent="0.2">
      <c r="A771" s="1">
        <v>41275</v>
      </c>
      <c r="B771">
        <v>1485096300000</v>
      </c>
      <c r="C771">
        <v>3.25</v>
      </c>
      <c r="D771" s="5">
        <v>231.679</v>
      </c>
      <c r="E771">
        <v>1.6840617620982989E-2</v>
      </c>
      <c r="F771">
        <f t="shared" si="22"/>
        <v>11.806867946110771</v>
      </c>
      <c r="G771">
        <f t="shared" si="23"/>
        <v>6.6371745760137602E-3</v>
      </c>
    </row>
    <row r="772" spans="1:7" x14ac:dyDescent="0.2">
      <c r="A772" s="1">
        <v>41306</v>
      </c>
      <c r="B772">
        <v>1491563100000</v>
      </c>
      <c r="C772">
        <v>3.25</v>
      </c>
      <c r="D772" s="5">
        <v>232.93700000000001</v>
      </c>
      <c r="E772">
        <v>2.0181404902574807E-2</v>
      </c>
      <c r="F772">
        <f t="shared" ref="F772:F835" si="24">LOG(B772/D772*100)</f>
        <v>11.806403152862336</v>
      </c>
      <c r="G772">
        <f t="shared" ref="G772:G835" si="25">LOG((1+C772/100)/(1+E772))</f>
        <v>5.212657053483268E-3</v>
      </c>
    </row>
    <row r="773" spans="1:7" x14ac:dyDescent="0.2">
      <c r="A773" s="1">
        <v>41334</v>
      </c>
      <c r="B773">
        <v>1499821900000</v>
      </c>
      <c r="C773">
        <v>3.25</v>
      </c>
      <c r="D773" s="5">
        <v>232.28200000000001</v>
      </c>
      <c r="E773">
        <v>1.5187472411246183E-2</v>
      </c>
      <c r="F773">
        <f t="shared" si="24"/>
        <v>11.810024134012638</v>
      </c>
      <c r="G773">
        <f t="shared" si="25"/>
        <v>7.3438104776418723E-3</v>
      </c>
    </row>
    <row r="774" spans="1:7" x14ac:dyDescent="0.2">
      <c r="A774" s="1">
        <v>41365</v>
      </c>
      <c r="B774">
        <v>1507239500000</v>
      </c>
      <c r="C774">
        <v>3.25</v>
      </c>
      <c r="D774" s="5">
        <v>231.797</v>
      </c>
      <c r="E774">
        <v>1.1388080475768669E-2</v>
      </c>
      <c r="F774">
        <f t="shared" si="24"/>
        <v>11.813074456219598</v>
      </c>
      <c r="G774">
        <f t="shared" si="25"/>
        <v>8.972229297786273E-3</v>
      </c>
    </row>
    <row r="775" spans="1:7" x14ac:dyDescent="0.2">
      <c r="A775" s="1">
        <v>41395</v>
      </c>
      <c r="B775">
        <v>1510247600000</v>
      </c>
      <c r="C775">
        <v>3.25</v>
      </c>
      <c r="D775" s="5">
        <v>231.893</v>
      </c>
      <c r="E775">
        <v>1.3903888279197085E-2</v>
      </c>
      <c r="F775">
        <f t="shared" si="24"/>
        <v>11.81376051516912</v>
      </c>
      <c r="G775">
        <f t="shared" si="25"/>
        <v>7.8932717692978115E-3</v>
      </c>
    </row>
    <row r="776" spans="1:7" x14ac:dyDescent="0.2">
      <c r="A776" s="1">
        <v>41426</v>
      </c>
      <c r="B776">
        <v>1521714800000</v>
      </c>
      <c r="C776">
        <v>3.25</v>
      </c>
      <c r="D776" s="5">
        <v>232.44499999999999</v>
      </c>
      <c r="E776">
        <v>1.7157935271568725E-2</v>
      </c>
      <c r="F776">
        <f t="shared" si="24"/>
        <v>11.816013055785433</v>
      </c>
      <c r="G776">
        <f t="shared" si="25"/>
        <v>6.5016687708774118E-3</v>
      </c>
    </row>
    <row r="777" spans="1:7" x14ac:dyDescent="0.2">
      <c r="A777" s="1">
        <v>41456</v>
      </c>
      <c r="B777">
        <v>1531738900000</v>
      </c>
      <c r="C777">
        <v>3.25</v>
      </c>
      <c r="D777" s="5">
        <v>232.9</v>
      </c>
      <c r="E777">
        <v>1.8854718054158059E-2</v>
      </c>
      <c r="F777">
        <f t="shared" si="24"/>
        <v>11.818015253293717</v>
      </c>
      <c r="G777">
        <f t="shared" si="25"/>
        <v>5.7777994286471041E-3</v>
      </c>
    </row>
    <row r="778" spans="1:7" x14ac:dyDescent="0.2">
      <c r="A778" s="1">
        <v>41487</v>
      </c>
      <c r="B778">
        <v>1533318500000</v>
      </c>
      <c r="C778">
        <v>3.25</v>
      </c>
      <c r="D778" s="5">
        <v>233.45599999999999</v>
      </c>
      <c r="E778">
        <v>1.538809488600279E-2</v>
      </c>
      <c r="F778">
        <f t="shared" si="24"/>
        <v>11.817427335499753</v>
      </c>
      <c r="G778">
        <f t="shared" si="25"/>
        <v>7.2579931996057095E-3</v>
      </c>
    </row>
    <row r="779" spans="1:7" x14ac:dyDescent="0.2">
      <c r="A779" s="1">
        <v>41518</v>
      </c>
      <c r="B779">
        <v>1540026200000</v>
      </c>
      <c r="C779">
        <v>3.25</v>
      </c>
      <c r="D779" s="5">
        <v>233.54400000000001</v>
      </c>
      <c r="E779">
        <v>1.0947341081747997E-2</v>
      </c>
      <c r="F779">
        <f t="shared" si="24"/>
        <v>11.819159395151633</v>
      </c>
      <c r="G779">
        <f t="shared" si="25"/>
        <v>9.1615259770320596E-3</v>
      </c>
    </row>
    <row r="780" spans="1:7" x14ac:dyDescent="0.2">
      <c r="A780" s="1">
        <v>41548</v>
      </c>
      <c r="B780">
        <v>1549421000000</v>
      </c>
      <c r="C780">
        <v>3.25</v>
      </c>
      <c r="D780" s="5">
        <v>233.66900000000001</v>
      </c>
      <c r="E780">
        <v>8.7679914349114707E-3</v>
      </c>
      <c r="F780">
        <f t="shared" si="24"/>
        <v>11.821568337884319</v>
      </c>
      <c r="G780">
        <f t="shared" si="25"/>
        <v>1.0098766862276766E-2</v>
      </c>
    </row>
    <row r="781" spans="1:7" x14ac:dyDescent="0.2">
      <c r="A781" s="1">
        <v>41579</v>
      </c>
      <c r="B781">
        <v>1558597500000</v>
      </c>
      <c r="C781">
        <v>3.25</v>
      </c>
      <c r="D781" s="5">
        <v>234.1</v>
      </c>
      <c r="E781">
        <v>1.2328701961954458E-2</v>
      </c>
      <c r="F781">
        <f t="shared" si="24"/>
        <v>11.823332561596072</v>
      </c>
      <c r="G781">
        <f t="shared" si="25"/>
        <v>8.5685100086318206E-3</v>
      </c>
    </row>
    <row r="782" spans="1:7" x14ac:dyDescent="0.2">
      <c r="A782" s="1">
        <v>41609</v>
      </c>
      <c r="B782">
        <v>1574334800000</v>
      </c>
      <c r="C782">
        <v>3.25</v>
      </c>
      <c r="D782" s="5">
        <v>234.71899999999999</v>
      </c>
      <c r="E782">
        <v>1.5128383667573297E-2</v>
      </c>
      <c r="F782">
        <f t="shared" si="24"/>
        <v>11.826548849221412</v>
      </c>
      <c r="G782">
        <f t="shared" si="25"/>
        <v>7.3690892196170178E-3</v>
      </c>
    </row>
    <row r="783" spans="1:7" x14ac:dyDescent="0.2">
      <c r="A783" s="1">
        <v>41640</v>
      </c>
      <c r="B783">
        <v>1586730800000</v>
      </c>
      <c r="C783">
        <v>3.25</v>
      </c>
      <c r="D783" s="5">
        <v>235.28800000000001</v>
      </c>
      <c r="E783">
        <v>1.557758795574915E-2</v>
      </c>
      <c r="F783">
        <f t="shared" si="24"/>
        <v>11.828903473755652</v>
      </c>
      <c r="G783">
        <f t="shared" si="25"/>
        <v>7.1769521505286047E-3</v>
      </c>
    </row>
    <row r="784" spans="1:7" x14ac:dyDescent="0.2">
      <c r="A784" s="1">
        <v>41671</v>
      </c>
      <c r="B784">
        <v>1619903200000</v>
      </c>
      <c r="C784">
        <v>3.25</v>
      </c>
      <c r="D784" s="5">
        <v>235.547</v>
      </c>
      <c r="E784">
        <v>1.1204746347724948E-2</v>
      </c>
      <c r="F784">
        <f t="shared" si="24"/>
        <v>11.837411486031975</v>
      </c>
      <c r="G784">
        <f t="shared" si="25"/>
        <v>9.0509609132810535E-3</v>
      </c>
    </row>
    <row r="785" spans="1:7" x14ac:dyDescent="0.2">
      <c r="A785" s="1">
        <v>41699</v>
      </c>
      <c r="B785">
        <v>1634193900000</v>
      </c>
      <c r="C785">
        <v>3.25</v>
      </c>
      <c r="D785" s="5">
        <v>236.02799999999999</v>
      </c>
      <c r="E785">
        <v>1.6126949139408042E-2</v>
      </c>
      <c r="F785">
        <f t="shared" si="24"/>
        <v>11.840340058685351</v>
      </c>
      <c r="G785">
        <f t="shared" si="25"/>
        <v>6.9420907008509508E-3</v>
      </c>
    </row>
    <row r="786" spans="1:7" x14ac:dyDescent="0.2">
      <c r="A786" s="1">
        <v>41730</v>
      </c>
      <c r="B786">
        <v>1650867300000</v>
      </c>
      <c r="C786">
        <v>3.25</v>
      </c>
      <c r="D786" s="5">
        <v>236.46799999999999</v>
      </c>
      <c r="E786">
        <v>2.0151253036061689E-2</v>
      </c>
      <c r="F786">
        <f t="shared" si="24"/>
        <v>11.843939787002506</v>
      </c>
      <c r="G786">
        <f t="shared" si="25"/>
        <v>5.2254929890310602E-3</v>
      </c>
    </row>
    <row r="787" spans="1:7" x14ac:dyDescent="0.2">
      <c r="A787" s="1">
        <v>41760</v>
      </c>
      <c r="B787">
        <v>1663465400000</v>
      </c>
      <c r="C787">
        <v>3.25</v>
      </c>
      <c r="D787" s="5">
        <v>236.91800000000001</v>
      </c>
      <c r="E787">
        <v>2.1669476870798121E-2</v>
      </c>
      <c r="F787">
        <f t="shared" si="24"/>
        <v>11.846415714210963</v>
      </c>
      <c r="G787">
        <f t="shared" si="25"/>
        <v>4.5796416215933772E-3</v>
      </c>
    </row>
    <row r="788" spans="1:7" x14ac:dyDescent="0.2">
      <c r="A788" s="1">
        <v>41791</v>
      </c>
      <c r="B788">
        <v>1676709100000</v>
      </c>
      <c r="C788">
        <v>3.25</v>
      </c>
      <c r="D788" s="5">
        <v>237.23099999999999</v>
      </c>
      <c r="E788">
        <v>2.0589816945944195E-2</v>
      </c>
      <c r="F788">
        <f t="shared" si="24"/>
        <v>11.849286281850224</v>
      </c>
      <c r="G788">
        <f t="shared" si="25"/>
        <v>5.0388295345069603E-3</v>
      </c>
    </row>
    <row r="789" spans="1:7" x14ac:dyDescent="0.2">
      <c r="A789" s="1">
        <v>41821</v>
      </c>
      <c r="B789">
        <v>1694736400000</v>
      </c>
      <c r="C789">
        <v>3.25</v>
      </c>
      <c r="D789" s="5">
        <v>237.49799999999999</v>
      </c>
      <c r="E789">
        <v>1.9742378703305974E-2</v>
      </c>
      <c r="F789">
        <f t="shared" si="24"/>
        <v>11.853442200719979</v>
      </c>
      <c r="G789">
        <f t="shared" si="25"/>
        <v>5.3995921343226059E-3</v>
      </c>
    </row>
    <row r="790" spans="1:7" x14ac:dyDescent="0.2">
      <c r="A790" s="1">
        <v>41852</v>
      </c>
      <c r="B790">
        <v>1711916900000</v>
      </c>
      <c r="C790">
        <v>3.25</v>
      </c>
      <c r="D790" s="5">
        <v>237.46</v>
      </c>
      <c r="E790">
        <v>1.7150983482969062E-2</v>
      </c>
      <c r="F790">
        <f t="shared" si="24"/>
        <v>11.857892215830233</v>
      </c>
      <c r="G790">
        <f t="shared" si="25"/>
        <v>6.5046369763454926E-3</v>
      </c>
    </row>
    <row r="791" spans="1:7" x14ac:dyDescent="0.2">
      <c r="A791" s="1">
        <v>41883</v>
      </c>
      <c r="B791">
        <v>1725709500000</v>
      </c>
      <c r="C791">
        <v>3.25</v>
      </c>
      <c r="D791" s="5">
        <v>237.477</v>
      </c>
      <c r="E791">
        <v>1.6840509711232077E-2</v>
      </c>
      <c r="F791">
        <f t="shared" si="24"/>
        <v>11.861346135960602</v>
      </c>
      <c r="G791">
        <f t="shared" si="25"/>
        <v>6.6372206644675609E-3</v>
      </c>
    </row>
    <row r="792" spans="1:7" x14ac:dyDescent="0.2">
      <c r="A792" s="1">
        <v>41913</v>
      </c>
      <c r="B792">
        <v>1730654000000</v>
      </c>
      <c r="C792">
        <v>3.25</v>
      </c>
      <c r="D792" s="5">
        <v>237.43</v>
      </c>
      <c r="E792">
        <v>1.6095417021513292E-2</v>
      </c>
      <c r="F792">
        <f t="shared" si="24"/>
        <v>11.862674657970951</v>
      </c>
      <c r="G792">
        <f t="shared" si="25"/>
        <v>6.9555677937453968E-3</v>
      </c>
    </row>
    <row r="793" spans="1:7" x14ac:dyDescent="0.2">
      <c r="A793" s="1">
        <v>41944</v>
      </c>
      <c r="B793">
        <v>1751464900000</v>
      </c>
      <c r="C793">
        <v>3.25</v>
      </c>
      <c r="D793" s="5">
        <v>236.983</v>
      </c>
      <c r="E793">
        <v>1.231524989320798E-2</v>
      </c>
      <c r="F793">
        <f t="shared" si="24"/>
        <v>11.868684245352039</v>
      </c>
      <c r="G793">
        <f t="shared" si="25"/>
        <v>8.5742810571379797E-3</v>
      </c>
    </row>
    <row r="794" spans="1:7" x14ac:dyDescent="0.2">
      <c r="A794" s="1">
        <v>41974</v>
      </c>
      <c r="B794">
        <v>1773328900000</v>
      </c>
      <c r="C794">
        <v>3.25</v>
      </c>
      <c r="D794" s="5">
        <v>236.25200000000001</v>
      </c>
      <c r="E794">
        <v>6.5312139196231911E-3</v>
      </c>
      <c r="F794">
        <f t="shared" si="24"/>
        <v>11.875413798105043</v>
      </c>
      <c r="G794">
        <f t="shared" si="25"/>
        <v>1.106281282472594E-2</v>
      </c>
    </row>
    <row r="795" spans="1:7" x14ac:dyDescent="0.2">
      <c r="A795" s="1">
        <v>42005</v>
      </c>
      <c r="B795">
        <v>1791464900000</v>
      </c>
      <c r="C795">
        <v>3.25</v>
      </c>
      <c r="D795" s="5">
        <v>234.74700000000001</v>
      </c>
      <c r="E795">
        <v>-2.2993097820542818E-3</v>
      </c>
      <c r="F795">
        <f t="shared" si="24"/>
        <v>11.882608252681889</v>
      </c>
      <c r="G795">
        <f t="shared" si="25"/>
        <v>1.4889787661344661E-2</v>
      </c>
    </row>
    <row r="796" spans="1:7" x14ac:dyDescent="0.2">
      <c r="A796" s="1">
        <v>42036</v>
      </c>
      <c r="B796">
        <v>1807969000000</v>
      </c>
      <c r="C796">
        <v>3.25</v>
      </c>
      <c r="D796" s="5">
        <v>235.34200000000001</v>
      </c>
      <c r="E796">
        <v>-8.7031462935205361E-4</v>
      </c>
      <c r="F796">
        <f t="shared" si="24"/>
        <v>11.885491539769212</v>
      </c>
      <c r="G796">
        <f t="shared" si="25"/>
        <v>1.4268197742626287E-2</v>
      </c>
    </row>
    <row r="797" spans="1:7" x14ac:dyDescent="0.2">
      <c r="A797" s="1">
        <v>42064</v>
      </c>
      <c r="B797">
        <v>1834657400000</v>
      </c>
      <c r="C797">
        <v>3.25</v>
      </c>
      <c r="D797" s="5">
        <v>235.976</v>
      </c>
      <c r="E797">
        <v>-2.2031284423873476E-4</v>
      </c>
      <c r="F797">
        <f t="shared" si="24"/>
        <v>11.890687141752657</v>
      </c>
      <c r="G797">
        <f t="shared" si="25"/>
        <v>1.3985751522370521E-2</v>
      </c>
    </row>
    <row r="798" spans="1:7" x14ac:dyDescent="0.2">
      <c r="A798" s="1">
        <v>42095</v>
      </c>
      <c r="B798">
        <v>1847464700000</v>
      </c>
      <c r="C798">
        <v>3.25</v>
      </c>
      <c r="D798" s="5">
        <v>236.22200000000001</v>
      </c>
      <c r="E798">
        <v>-1.0403098939391064E-3</v>
      </c>
      <c r="F798">
        <f t="shared" si="24"/>
        <v>11.893255806773547</v>
      </c>
      <c r="G798">
        <f t="shared" si="25"/>
        <v>1.4342096344404663E-2</v>
      </c>
    </row>
    <row r="799" spans="1:7" x14ac:dyDescent="0.2">
      <c r="A799" s="1">
        <v>42125</v>
      </c>
      <c r="B799">
        <v>1863215500000</v>
      </c>
      <c r="C799">
        <v>3.25</v>
      </c>
      <c r="D799" s="5">
        <v>237.001</v>
      </c>
      <c r="E799">
        <v>3.5033218244295838E-4</v>
      </c>
      <c r="F799">
        <f t="shared" si="24"/>
        <v>11.895512909944122</v>
      </c>
      <c r="G799">
        <f t="shared" si="25"/>
        <v>1.373793963960139E-2</v>
      </c>
    </row>
    <row r="800" spans="1:7" x14ac:dyDescent="0.2">
      <c r="A800" s="1">
        <v>42156</v>
      </c>
      <c r="B800">
        <v>1880010600000</v>
      </c>
      <c r="C800">
        <v>3.25</v>
      </c>
      <c r="D800" s="5">
        <v>237.65700000000001</v>
      </c>
      <c r="E800">
        <v>1.7957180975505249E-3</v>
      </c>
      <c r="F800">
        <f t="shared" si="24"/>
        <v>11.898209687316903</v>
      </c>
      <c r="G800">
        <f t="shared" si="25"/>
        <v>1.3110889244238384E-2</v>
      </c>
    </row>
    <row r="801" spans="1:7" x14ac:dyDescent="0.2">
      <c r="A801" s="1">
        <v>42186</v>
      </c>
      <c r="B801">
        <v>1889397100000</v>
      </c>
      <c r="C801">
        <v>3.25</v>
      </c>
      <c r="D801" s="5">
        <v>238.03399999999999</v>
      </c>
      <c r="E801">
        <v>2.2568611104094582E-3</v>
      </c>
      <c r="F801">
        <f t="shared" si="24"/>
        <v>11.899684249736083</v>
      </c>
      <c r="G801">
        <f t="shared" si="25"/>
        <v>1.2911022363034381E-2</v>
      </c>
    </row>
    <row r="802" spans="1:7" x14ac:dyDescent="0.2">
      <c r="A802" s="1">
        <v>42217</v>
      </c>
      <c r="B802">
        <v>1903497000000</v>
      </c>
      <c r="C802">
        <v>3.25</v>
      </c>
      <c r="D802" s="5">
        <v>238.03299999999999</v>
      </c>
      <c r="E802">
        <v>2.413037985344868E-3</v>
      </c>
      <c r="F802">
        <f t="shared" si="24"/>
        <v>11.902915026498297</v>
      </c>
      <c r="G802">
        <f t="shared" si="25"/>
        <v>1.2843353611033694E-2</v>
      </c>
    </row>
    <row r="803" spans="1:7" x14ac:dyDescent="0.2">
      <c r="A803" s="1">
        <v>42248</v>
      </c>
      <c r="B803">
        <v>1915333500000</v>
      </c>
      <c r="C803">
        <v>3.25</v>
      </c>
      <c r="D803" s="5">
        <v>237.49799999999999</v>
      </c>
      <c r="E803">
        <v>8.8429616341700878E-5</v>
      </c>
      <c r="F803">
        <f t="shared" si="24"/>
        <v>11.906584447998494</v>
      </c>
      <c r="G803">
        <f t="shared" si="25"/>
        <v>1.3851657531971864E-2</v>
      </c>
    </row>
    <row r="804" spans="1:7" x14ac:dyDescent="0.2">
      <c r="A804" s="1">
        <v>42278</v>
      </c>
      <c r="B804">
        <v>1929990900000</v>
      </c>
      <c r="C804">
        <v>3.25</v>
      </c>
      <c r="D804" s="5">
        <v>237.733</v>
      </c>
      <c r="E804">
        <v>1.2761656067050708E-3</v>
      </c>
      <c r="F804">
        <f t="shared" si="24"/>
        <v>11.909465790447845</v>
      </c>
      <c r="G804">
        <f t="shared" si="25"/>
        <v>1.3336181992570651E-2</v>
      </c>
    </row>
    <row r="805" spans="1:7" x14ac:dyDescent="0.2">
      <c r="A805" s="1">
        <v>42309</v>
      </c>
      <c r="B805">
        <v>1946139800000</v>
      </c>
      <c r="C805">
        <v>3.25</v>
      </c>
      <c r="D805" s="5">
        <v>238.017</v>
      </c>
      <c r="E805">
        <v>4.3631821691851869E-3</v>
      </c>
      <c r="F805">
        <f>LOG(B805/D805*100)</f>
        <v>11.91256605740136</v>
      </c>
      <c r="G805">
        <f t="shared" si="25"/>
        <v>1.1999276313271382E-2</v>
      </c>
    </row>
    <row r="806" spans="1:7" x14ac:dyDescent="0.2">
      <c r="A806" s="1">
        <v>42339</v>
      </c>
      <c r="B806">
        <v>1953028000000</v>
      </c>
      <c r="C806">
        <v>3.37</v>
      </c>
      <c r="D806" s="5">
        <v>237.761</v>
      </c>
      <c r="E806">
        <v>6.3872475153647912E-3</v>
      </c>
      <c r="F806">
        <f t="shared" si="24"/>
        <v>11.914567851002078</v>
      </c>
      <c r="G806">
        <f t="shared" si="25"/>
        <v>1.1629391320987116E-2</v>
      </c>
    </row>
    <row r="807" spans="1:7" x14ac:dyDescent="0.2">
      <c r="A807" s="1">
        <v>42370</v>
      </c>
      <c r="B807">
        <v>1963861400000</v>
      </c>
      <c r="C807">
        <v>3.5</v>
      </c>
      <c r="D807" s="5">
        <v>237.65199999999999</v>
      </c>
      <c r="E807">
        <v>1.2375025026943876E-2</v>
      </c>
      <c r="F807">
        <f t="shared" si="24"/>
        <v>11.917169360569153</v>
      </c>
      <c r="G807">
        <f t="shared" si="25"/>
        <v>9.5989270826707333E-3</v>
      </c>
    </row>
    <row r="808" spans="1:7" x14ac:dyDescent="0.2">
      <c r="A808" s="1">
        <v>42401</v>
      </c>
      <c r="B808">
        <v>1987096500000</v>
      </c>
      <c r="C808">
        <v>3.5</v>
      </c>
      <c r="D808" s="5">
        <v>237.33600000000001</v>
      </c>
      <c r="E808">
        <v>8.4727757901266187E-3</v>
      </c>
      <c r="F808">
        <f t="shared" si="24"/>
        <v>11.92285533980009</v>
      </c>
      <c r="G808">
        <f t="shared" si="25"/>
        <v>1.1276171075296462E-2</v>
      </c>
    </row>
    <row r="809" spans="1:7" x14ac:dyDescent="0.2">
      <c r="A809" s="1">
        <v>42430</v>
      </c>
      <c r="B809">
        <v>2019064400000</v>
      </c>
      <c r="C809">
        <v>3.5</v>
      </c>
      <c r="D809" s="5">
        <v>238.08</v>
      </c>
      <c r="E809">
        <v>8.9161609655219465E-3</v>
      </c>
      <c r="F809">
        <f t="shared" si="24"/>
        <v>11.92842725753877</v>
      </c>
      <c r="G809">
        <f t="shared" si="25"/>
        <v>1.1085271110868147E-2</v>
      </c>
    </row>
    <row r="810" spans="1:7" x14ac:dyDescent="0.2">
      <c r="A810" s="1">
        <v>42461</v>
      </c>
      <c r="B810">
        <v>2032870500000</v>
      </c>
      <c r="C810">
        <v>3.5</v>
      </c>
      <c r="D810" s="5">
        <v>238.99199999999999</v>
      </c>
      <c r="E810">
        <v>1.1726257503534843E-2</v>
      </c>
      <c r="F810">
        <f t="shared" si="24"/>
        <v>11.929726349995978</v>
      </c>
      <c r="G810">
        <f t="shared" si="25"/>
        <v>9.8773283341643935E-3</v>
      </c>
    </row>
    <row r="811" spans="1:7" x14ac:dyDescent="0.2">
      <c r="A811" s="1">
        <v>42491</v>
      </c>
      <c r="B811">
        <v>2047680700000</v>
      </c>
      <c r="C811">
        <v>3.5</v>
      </c>
      <c r="D811" s="5">
        <v>239.55699999999999</v>
      </c>
      <c r="E811">
        <v>1.0784764621246223E-2</v>
      </c>
      <c r="F811">
        <f t="shared" si="24"/>
        <v>11.931853371226435</v>
      </c>
      <c r="G811">
        <f t="shared" si="25"/>
        <v>1.0281662539111574E-2</v>
      </c>
    </row>
    <row r="812" spans="1:7" x14ac:dyDescent="0.2">
      <c r="A812" s="1">
        <v>42522</v>
      </c>
      <c r="B812">
        <v>2050602300000</v>
      </c>
      <c r="C812">
        <v>3.5</v>
      </c>
      <c r="D812" s="5">
        <v>240.22200000000001</v>
      </c>
      <c r="E812">
        <v>1.0792865347959424E-2</v>
      </c>
      <c r="F812">
        <f t="shared" si="24"/>
        <v>11.93126866172703</v>
      </c>
      <c r="G812">
        <f t="shared" si="25"/>
        <v>1.0278181989209496E-2</v>
      </c>
    </row>
    <row r="813" spans="1:7" x14ac:dyDescent="0.2">
      <c r="A813" s="1">
        <v>42552</v>
      </c>
      <c r="B813">
        <v>2057739600000</v>
      </c>
      <c r="C813">
        <v>3.5</v>
      </c>
      <c r="D813" s="5">
        <v>240.101</v>
      </c>
      <c r="E813">
        <v>8.6836334305182561E-3</v>
      </c>
      <c r="F813">
        <f t="shared" si="24"/>
        <v>11.932996446542973</v>
      </c>
      <c r="G813">
        <f t="shared" si="25"/>
        <v>1.1185375627205093E-2</v>
      </c>
    </row>
    <row r="814" spans="1:7" x14ac:dyDescent="0.2">
      <c r="A814" s="1">
        <v>42583</v>
      </c>
      <c r="B814">
        <v>2051359000000</v>
      </c>
      <c r="C814">
        <v>3.5</v>
      </c>
      <c r="D814" s="5">
        <v>240.54499999999999</v>
      </c>
      <c r="E814">
        <v>1.0553158595656864E-2</v>
      </c>
      <c r="F814">
        <f t="shared" si="24"/>
        <v>11.930845337101442</v>
      </c>
      <c r="G814">
        <f t="shared" si="25"/>
        <v>1.0381185947022637E-2</v>
      </c>
    </row>
    <row r="815" spans="1:7" x14ac:dyDescent="0.2">
      <c r="A815" s="1">
        <v>42614</v>
      </c>
      <c r="B815">
        <v>2070334800000</v>
      </c>
      <c r="C815">
        <v>3.5</v>
      </c>
      <c r="D815" s="5">
        <v>241.17599999999999</v>
      </c>
      <c r="E815">
        <v>1.5486446201652182E-2</v>
      </c>
      <c r="F815">
        <f t="shared" si="24"/>
        <v>11.933706494252144</v>
      </c>
      <c r="G815">
        <f t="shared" si="25"/>
        <v>8.2662185849656251E-3</v>
      </c>
    </row>
    <row r="816" spans="1:7" x14ac:dyDescent="0.2">
      <c r="A816" s="1">
        <v>42644</v>
      </c>
      <c r="B816">
        <v>2086044300000</v>
      </c>
      <c r="C816">
        <v>3.5</v>
      </c>
      <c r="D816" s="5">
        <v>241.74100000000001</v>
      </c>
      <c r="E816">
        <v>1.685924966243646E-2</v>
      </c>
      <c r="F816">
        <f t="shared" si="24"/>
        <v>11.935973212721196</v>
      </c>
      <c r="G816">
        <f t="shared" si="25"/>
        <v>7.6795063345391967E-3</v>
      </c>
    </row>
    <row r="817" spans="1:7" x14ac:dyDescent="0.2">
      <c r="A817" s="1">
        <v>42675</v>
      </c>
      <c r="B817">
        <v>2089240600000</v>
      </c>
      <c r="C817">
        <v>3.5</v>
      </c>
      <c r="D817" s="5">
        <v>242.02600000000001</v>
      </c>
      <c r="E817">
        <v>1.6843334719788938E-2</v>
      </c>
      <c r="F817">
        <f t="shared" si="24"/>
        <v>11.936126433635616</v>
      </c>
      <c r="G817">
        <f t="shared" si="25"/>
        <v>7.6863035642077476E-3</v>
      </c>
    </row>
    <row r="818" spans="1:7" x14ac:dyDescent="0.2">
      <c r="A818" s="1">
        <v>42705</v>
      </c>
      <c r="B818">
        <v>2083858000000.0002</v>
      </c>
      <c r="C818">
        <v>3.64</v>
      </c>
      <c r="D818" s="5">
        <v>242.637</v>
      </c>
      <c r="E818">
        <v>2.0507989115119862E-2</v>
      </c>
      <c r="F818">
        <f t="shared" si="24"/>
        <v>11.933911093922678</v>
      </c>
      <c r="G818">
        <f t="shared" si="25"/>
        <v>6.7109953449603155E-3</v>
      </c>
    </row>
    <row r="819" spans="1:7" x14ac:dyDescent="0.2">
      <c r="A819" s="1">
        <v>42736</v>
      </c>
      <c r="B819">
        <v>2082420500000.0002</v>
      </c>
      <c r="C819">
        <v>3.75</v>
      </c>
      <c r="D819" s="5">
        <v>243.61799999999999</v>
      </c>
      <c r="E819">
        <v>2.5103933482571117E-2</v>
      </c>
      <c r="F819">
        <f t="shared" si="24"/>
        <v>11.931859056952662</v>
      </c>
      <c r="G819">
        <f t="shared" si="25"/>
        <v>5.2202054073129216E-3</v>
      </c>
    </row>
    <row r="820" spans="1:7" x14ac:dyDescent="0.2">
      <c r="A820" s="1">
        <v>42767</v>
      </c>
      <c r="B820">
        <v>2082446199999.9998</v>
      </c>
      <c r="C820">
        <v>3.75</v>
      </c>
      <c r="D820" s="5">
        <v>244.006</v>
      </c>
      <c r="E820">
        <v>2.8103616813294208E-2</v>
      </c>
      <c r="F820">
        <f t="shared" si="24"/>
        <v>11.931173284645379</v>
      </c>
      <c r="G820">
        <f t="shared" si="25"/>
        <v>3.9512184072565603E-3</v>
      </c>
    </row>
    <row r="821" spans="1:7" x14ac:dyDescent="0.2">
      <c r="A821" s="1">
        <v>42795</v>
      </c>
      <c r="B821">
        <v>2066181900000</v>
      </c>
      <c r="C821">
        <v>3.88</v>
      </c>
      <c r="D821" s="5">
        <v>243.892</v>
      </c>
      <c r="E821">
        <v>2.44119623655914E-2</v>
      </c>
      <c r="F821">
        <f t="shared" si="24"/>
        <v>11.927970997675516</v>
      </c>
      <c r="G821">
        <f t="shared" si="25"/>
        <v>6.0572997444010351E-3</v>
      </c>
    </row>
    <row r="822" spans="1:7" x14ac:dyDescent="0.2">
      <c r="A822" s="1">
        <v>42826</v>
      </c>
      <c r="B822">
        <v>2066787500000</v>
      </c>
      <c r="C822">
        <v>4</v>
      </c>
      <c r="D822" s="5">
        <v>244.19300000000001</v>
      </c>
      <c r="E822">
        <v>2.176223471915395E-2</v>
      </c>
      <c r="F822">
        <f t="shared" si="24"/>
        <v>11.927562615887338</v>
      </c>
      <c r="G822">
        <f t="shared" si="25"/>
        <v>7.6834925831659922E-3</v>
      </c>
    </row>
    <row r="823" spans="1:7" x14ac:dyDescent="0.2">
      <c r="A823" s="1">
        <v>42856</v>
      </c>
      <c r="B823">
        <v>2071200200000.0002</v>
      </c>
      <c r="C823">
        <v>4</v>
      </c>
      <c r="D823" s="5">
        <v>244.00399999999999</v>
      </c>
      <c r="E823">
        <v>1.8563431667619756E-2</v>
      </c>
      <c r="F823">
        <f t="shared" si="24"/>
        <v>11.928825133501279</v>
      </c>
      <c r="G823">
        <f t="shared" si="25"/>
        <v>9.0452591629683072E-3</v>
      </c>
    </row>
    <row r="824" spans="1:7" x14ac:dyDescent="0.2">
      <c r="A824" s="1">
        <v>42887</v>
      </c>
      <c r="B824">
        <v>2072764700000.0002</v>
      </c>
      <c r="C824">
        <v>4.13</v>
      </c>
      <c r="D824" s="5">
        <v>244.16300000000001</v>
      </c>
      <c r="E824">
        <v>1.6405658099591269E-2</v>
      </c>
      <c r="F824">
        <f t="shared" si="24"/>
        <v>11.928870151405389</v>
      </c>
      <c r="G824">
        <f t="shared" si="25"/>
        <v>1.0508794387210434E-2</v>
      </c>
    </row>
    <row r="825" spans="1:7" x14ac:dyDescent="0.2">
      <c r="A825" s="1">
        <v>42917</v>
      </c>
      <c r="B825">
        <v>2076204200000.0002</v>
      </c>
      <c r="C825">
        <v>4.25</v>
      </c>
      <c r="D825" s="5">
        <v>244.24299999999999</v>
      </c>
      <c r="E825">
        <v>1.7251073506566073E-2</v>
      </c>
      <c r="F825">
        <f t="shared" si="24"/>
        <v>11.929447939554441</v>
      </c>
      <c r="G825">
        <f t="shared" si="25"/>
        <v>1.0647906808619821E-2</v>
      </c>
    </row>
    <row r="826" spans="1:7" x14ac:dyDescent="0.2">
      <c r="A826" s="1">
        <v>42948</v>
      </c>
      <c r="B826">
        <v>2084091300000</v>
      </c>
      <c r="C826">
        <v>4.25</v>
      </c>
      <c r="D826" s="5">
        <v>245.18299999999999</v>
      </c>
      <c r="E826">
        <v>1.9281215572969801E-2</v>
      </c>
      <c r="F826">
        <f t="shared" si="24"/>
        <v>11.929426385980545</v>
      </c>
      <c r="G826">
        <f t="shared" si="25"/>
        <v>9.7820430128936261E-3</v>
      </c>
    </row>
    <row r="827" spans="1:7" x14ac:dyDescent="0.2">
      <c r="A827" s="1">
        <v>42979</v>
      </c>
      <c r="B827">
        <v>2103009700000</v>
      </c>
      <c r="C827">
        <v>4.25</v>
      </c>
      <c r="D827" s="5">
        <v>246.435</v>
      </c>
      <c r="E827">
        <v>2.1805652303711787E-2</v>
      </c>
      <c r="F827">
        <f t="shared" si="24"/>
        <v>11.931138887178399</v>
      </c>
      <c r="G827">
        <f t="shared" si="25"/>
        <v>8.7077629140321824E-3</v>
      </c>
    </row>
    <row r="828" spans="1:7" x14ac:dyDescent="0.2">
      <c r="A828" s="1">
        <v>43009</v>
      </c>
      <c r="B828">
        <v>2112353200000</v>
      </c>
      <c r="C828">
        <v>4.25</v>
      </c>
      <c r="D828" s="5">
        <v>246.626</v>
      </c>
      <c r="E828">
        <v>2.020757753132485E-2</v>
      </c>
      <c r="F828">
        <f t="shared" si="24"/>
        <v>11.932727677753826</v>
      </c>
      <c r="G828">
        <f t="shared" si="25"/>
        <v>9.3875187421194294E-3</v>
      </c>
    </row>
    <row r="829" spans="1:7" x14ac:dyDescent="0.2">
      <c r="A829" s="1">
        <v>43040</v>
      </c>
      <c r="B829">
        <v>2104825100000</v>
      </c>
      <c r="C829">
        <v>4.25</v>
      </c>
      <c r="D829" s="5">
        <v>247.28399999999999</v>
      </c>
      <c r="E829">
        <v>2.172493864295566E-2</v>
      </c>
      <c r="F829">
        <f t="shared" si="24"/>
        <v>11.930019996918389</v>
      </c>
      <c r="G829">
        <f t="shared" si="25"/>
        <v>8.7420697138952588E-3</v>
      </c>
    </row>
    <row r="830" spans="1:7" x14ac:dyDescent="0.2">
      <c r="A830" s="1">
        <v>43070</v>
      </c>
      <c r="B830">
        <v>2103386700000</v>
      </c>
      <c r="C830">
        <v>4.4000000000000004</v>
      </c>
      <c r="D830" s="5">
        <v>247.80500000000001</v>
      </c>
      <c r="E830">
        <v>2.1299307195522532E-2</v>
      </c>
      <c r="F830">
        <f t="shared" si="24"/>
        <v>11.928809058533021</v>
      </c>
      <c r="G830">
        <f t="shared" si="25"/>
        <v>9.5474613646875702E-3</v>
      </c>
    </row>
    <row r="831" spans="1:7" x14ac:dyDescent="0.2">
      <c r="A831" s="1">
        <v>43101</v>
      </c>
      <c r="B831">
        <v>2107418700000.0002</v>
      </c>
      <c r="C831">
        <v>4.5</v>
      </c>
      <c r="D831" s="5">
        <v>248.85900000000001</v>
      </c>
      <c r="E831">
        <v>2.151318868063945E-2</v>
      </c>
      <c r="F831">
        <f t="shared" si="24"/>
        <v>11.927797477758244</v>
      </c>
      <c r="G831">
        <f t="shared" si="25"/>
        <v>9.8723122987241403E-3</v>
      </c>
    </row>
    <row r="832" spans="1:7" x14ac:dyDescent="0.2">
      <c r="A832" s="1">
        <v>43132</v>
      </c>
      <c r="B832">
        <v>2108897000000</v>
      </c>
      <c r="C832">
        <v>4.5</v>
      </c>
      <c r="D832" s="5">
        <v>249.529</v>
      </c>
      <c r="E832">
        <v>2.263468931091861E-2</v>
      </c>
      <c r="F832">
        <f t="shared" si="24"/>
        <v>11.926934342868012</v>
      </c>
      <c r="G832">
        <f t="shared" si="25"/>
        <v>9.3957698828895375E-3</v>
      </c>
    </row>
    <row r="833" spans="1:9" x14ac:dyDescent="0.2">
      <c r="A833" s="1">
        <v>43160</v>
      </c>
      <c r="B833">
        <v>2121121900000</v>
      </c>
      <c r="C833">
        <v>4.58</v>
      </c>
      <c r="D833" s="5">
        <v>249.577</v>
      </c>
      <c r="E833">
        <v>2.3309497646499366E-2</v>
      </c>
      <c r="F833">
        <f t="shared" si="24"/>
        <v>11.929361067914861</v>
      </c>
      <c r="G833">
        <f t="shared" si="25"/>
        <v>9.4416325287739761E-3</v>
      </c>
    </row>
    <row r="834" spans="1:9" x14ac:dyDescent="0.2">
      <c r="A834" s="1">
        <v>43191</v>
      </c>
      <c r="B834">
        <v>2163284700000.0002</v>
      </c>
      <c r="C834">
        <v>4.75</v>
      </c>
      <c r="D834" s="5">
        <v>250.227</v>
      </c>
      <c r="E834">
        <v>2.4709963021052994E-2</v>
      </c>
      <c r="F834">
        <f t="shared" si="24"/>
        <v>11.936779509569984</v>
      </c>
      <c r="G834">
        <f t="shared" si="25"/>
        <v>9.5530728651719837E-3</v>
      </c>
    </row>
    <row r="835" spans="1:9" x14ac:dyDescent="0.2">
      <c r="A835" s="1">
        <v>43221</v>
      </c>
      <c r="B835">
        <v>2169920700000.0002</v>
      </c>
      <c r="C835">
        <v>4.75</v>
      </c>
      <c r="D835" s="5">
        <v>250.792</v>
      </c>
      <c r="E835">
        <v>2.7819216078424969E-2</v>
      </c>
      <c r="F835">
        <f t="shared" si="24"/>
        <v>11.937130183952842</v>
      </c>
      <c r="G835">
        <f t="shared" si="25"/>
        <v>8.2372986561663492E-3</v>
      </c>
    </row>
    <row r="836" spans="1:9" x14ac:dyDescent="0.2">
      <c r="A836" s="1">
        <v>43252</v>
      </c>
      <c r="B836">
        <v>2187910700000</v>
      </c>
      <c r="C836">
        <v>4.8899999999999997</v>
      </c>
      <c r="D836" s="5">
        <v>251.018</v>
      </c>
      <c r="E836">
        <v>2.8075506935940187E-2</v>
      </c>
      <c r="F836">
        <f t="shared" ref="F836:F841" si="26">LOG(B836/D836*100)</f>
        <v>11.940324727220975</v>
      </c>
      <c r="G836">
        <f t="shared" ref="G836:G841" si="27">LOG((1+C836/100)/(1+E836))</f>
        <v>8.7090728520809787E-3</v>
      </c>
    </row>
    <row r="837" spans="1:9" x14ac:dyDescent="0.2">
      <c r="A837" s="1">
        <v>43282</v>
      </c>
      <c r="B837">
        <v>2201552000000</v>
      </c>
      <c r="C837">
        <v>5</v>
      </c>
      <c r="D837" s="5">
        <v>251.214</v>
      </c>
      <c r="E837">
        <v>2.8541247855619289E-2</v>
      </c>
      <c r="F837">
        <f t="shared" si="26"/>
        <v>11.942685109121506</v>
      </c>
      <c r="G837">
        <f t="shared" si="27"/>
        <v>8.9675860660481267E-3</v>
      </c>
    </row>
    <row r="838" spans="1:9" x14ac:dyDescent="0.2">
      <c r="A838" s="1">
        <v>43313</v>
      </c>
      <c r="B838">
        <v>2206647800000</v>
      </c>
      <c r="C838">
        <v>5</v>
      </c>
      <c r="D838" s="5">
        <v>251.66300000000001</v>
      </c>
      <c r="E838">
        <v>2.6429238568742575E-2</v>
      </c>
      <c r="F838">
        <f t="shared" si="26"/>
        <v>11.942913652157788</v>
      </c>
      <c r="G838">
        <f t="shared" si="27"/>
        <v>9.8602843388765904E-3</v>
      </c>
    </row>
    <row r="839" spans="1:9" x14ac:dyDescent="0.2">
      <c r="A839" s="1">
        <v>43344</v>
      </c>
      <c r="B839">
        <v>2223137600000</v>
      </c>
      <c r="C839">
        <v>5.03</v>
      </c>
      <c r="D839" s="5">
        <v>252.18199999999999</v>
      </c>
      <c r="E839">
        <v>2.3320551058088279E-2</v>
      </c>
      <c r="F839">
        <f t="shared" si="26"/>
        <v>11.945252259275833</v>
      </c>
      <c r="G839">
        <f t="shared" si="27"/>
        <v>1.1301669456430274E-2</v>
      </c>
    </row>
    <row r="840" spans="1:9" x14ac:dyDescent="0.2">
      <c r="A840" s="1">
        <v>43374</v>
      </c>
      <c r="B840">
        <v>2248189100000</v>
      </c>
      <c r="C840">
        <v>5.25</v>
      </c>
      <c r="D840" s="5">
        <v>252.77199999999999</v>
      </c>
      <c r="E840">
        <v>2.492032470218053E-2</v>
      </c>
      <c r="F840">
        <f t="shared" si="26"/>
        <v>11.949103873163025</v>
      </c>
      <c r="G840">
        <f t="shared" si="27"/>
        <v>1.1531999005805094E-2</v>
      </c>
    </row>
    <row r="841" spans="1:9" x14ac:dyDescent="0.2">
      <c r="A841" s="1">
        <v>43405</v>
      </c>
      <c r="B841">
        <v>2272147500000</v>
      </c>
      <c r="C841">
        <v>5.25</v>
      </c>
      <c r="D841" s="5">
        <v>252.59399999999999</v>
      </c>
      <c r="E841">
        <v>2.1473285776677731E-2</v>
      </c>
      <c r="F841">
        <f t="shared" si="26"/>
        <v>11.954013490544623</v>
      </c>
      <c r="G841">
        <f t="shared" si="27"/>
        <v>1.2995091338050309E-2</v>
      </c>
    </row>
    <row r="842" spans="1:9" x14ac:dyDescent="0.2">
      <c r="A842" s="1">
        <f>EDATE(A841,1)</f>
        <v>43435</v>
      </c>
      <c r="B842">
        <v>2301444700000</v>
      </c>
      <c r="C842" s="11">
        <v>5.35</v>
      </c>
      <c r="D842" s="5">
        <v>252.767</v>
      </c>
      <c r="E842">
        <v>2.0023809043401064E-2</v>
      </c>
      <c r="F842">
        <f t="shared" ref="F842:F900" si="28">LOG(B842/D842*100)</f>
        <v>11.959280169972502</v>
      </c>
      <c r="G842">
        <f t="shared" ref="G842:G900" si="29">LOG((1+C842/100)/(1+E842))</f>
        <v>1.4024230912113658E-2</v>
      </c>
      <c r="I842" s="10"/>
    </row>
    <row r="843" spans="1:9" x14ac:dyDescent="0.2">
      <c r="A843" s="1">
        <f t="shared" ref="A843:A900" si="30">EDATE(A842,1)</f>
        <v>43466</v>
      </c>
      <c r="B843">
        <v>2322445000000</v>
      </c>
      <c r="C843" s="11">
        <v>5.5</v>
      </c>
      <c r="D843" s="5">
        <v>252.71799999999999</v>
      </c>
      <c r="E843">
        <v>1.5506772911568323E-2</v>
      </c>
      <c r="F843">
        <f t="shared" si="28"/>
        <v>11.963309261930405</v>
      </c>
      <c r="G843">
        <f t="shared" si="29"/>
        <v>1.6569635360821271E-2</v>
      </c>
      <c r="I843" s="10"/>
    </row>
    <row r="844" spans="1:9" x14ac:dyDescent="0.2">
      <c r="A844" s="1">
        <f t="shared" si="30"/>
        <v>43497</v>
      </c>
      <c r="B844">
        <v>2328149300000</v>
      </c>
      <c r="C844" s="11">
        <v>5.5</v>
      </c>
      <c r="D844" s="5">
        <v>253.322</v>
      </c>
      <c r="E844">
        <v>1.5200638001995781E-2</v>
      </c>
      <c r="F844">
        <f t="shared" si="28"/>
        <v>11.963337919226962</v>
      </c>
      <c r="G844">
        <f t="shared" si="29"/>
        <v>1.6700577614971686E-2</v>
      </c>
      <c r="I844" s="10"/>
    </row>
    <row r="845" spans="1:9" x14ac:dyDescent="0.2">
      <c r="A845" s="1">
        <f t="shared" si="30"/>
        <v>43525</v>
      </c>
      <c r="B845">
        <v>2334987300000</v>
      </c>
      <c r="C845" s="11">
        <v>5.5</v>
      </c>
      <c r="D845" s="5">
        <v>254.202</v>
      </c>
      <c r="E845">
        <v>1.8531355052749277E-2</v>
      </c>
      <c r="F845">
        <f t="shared" si="28"/>
        <v>11.963105559624486</v>
      </c>
      <c r="G845">
        <f t="shared" si="29"/>
        <v>1.5278056521598341E-2</v>
      </c>
      <c r="I845" s="10"/>
    </row>
    <row r="846" spans="1:9" x14ac:dyDescent="0.2">
      <c r="A846" s="1">
        <f t="shared" si="30"/>
        <v>43556</v>
      </c>
      <c r="B846">
        <v>2326003000000</v>
      </c>
      <c r="C846" s="11">
        <v>5.5</v>
      </c>
      <c r="D846" s="5">
        <v>255.21100000000001</v>
      </c>
      <c r="E846">
        <v>1.9917914533603476E-2</v>
      </c>
      <c r="F846">
        <f t="shared" si="28"/>
        <v>11.95971088129569</v>
      </c>
      <c r="G846">
        <f t="shared" si="29"/>
        <v>1.4687239538099427E-2</v>
      </c>
      <c r="I846" s="10"/>
    </row>
    <row r="847" spans="1:9" x14ac:dyDescent="0.2">
      <c r="A847" s="1">
        <f t="shared" si="30"/>
        <v>43586</v>
      </c>
      <c r="B847">
        <v>2330164800000</v>
      </c>
      <c r="C847" s="11">
        <v>5.5</v>
      </c>
      <c r="D847" s="5">
        <v>255.29</v>
      </c>
      <c r="E847">
        <v>1.793518134549732E-2</v>
      </c>
      <c r="F847">
        <f t="shared" si="28"/>
        <v>11.960352834092665</v>
      </c>
      <c r="G847">
        <f t="shared" si="29"/>
        <v>1.5532335149883352E-2</v>
      </c>
      <c r="I847" s="10"/>
    </row>
    <row r="848" spans="1:9" x14ac:dyDescent="0.2">
      <c r="A848" s="1">
        <f t="shared" si="30"/>
        <v>43617</v>
      </c>
      <c r="B848">
        <v>2335983600000</v>
      </c>
      <c r="C848" s="11">
        <v>5.5</v>
      </c>
      <c r="D848" s="5">
        <v>255.15899999999999</v>
      </c>
      <c r="E848">
        <v>1.6496824928889486E-2</v>
      </c>
      <c r="F848">
        <f t="shared" si="28"/>
        <v>11.961658898017003</v>
      </c>
      <c r="G848">
        <f t="shared" si="29"/>
        <v>1.6146433194839951E-2</v>
      </c>
      <c r="I848" s="10"/>
    </row>
    <row r="849" spans="1:9" x14ac:dyDescent="0.2">
      <c r="A849" s="1">
        <f t="shared" si="30"/>
        <v>43647</v>
      </c>
      <c r="B849">
        <v>2343755400000</v>
      </c>
      <c r="C849" s="11">
        <v>5.5</v>
      </c>
      <c r="D849" s="5">
        <v>255.685</v>
      </c>
      <c r="E849">
        <v>1.7797574975916941E-2</v>
      </c>
      <c r="F849">
        <f t="shared" si="28"/>
        <v>11.96220703520401</v>
      </c>
      <c r="G849">
        <f t="shared" si="29"/>
        <v>1.559104785359061E-2</v>
      </c>
      <c r="I849" s="10"/>
    </row>
    <row r="850" spans="1:9" x14ac:dyDescent="0.2">
      <c r="A850" s="1">
        <f t="shared" si="30"/>
        <v>43678</v>
      </c>
      <c r="B850">
        <v>2362587600000</v>
      </c>
      <c r="C850" s="11">
        <v>5.25</v>
      </c>
      <c r="D850" s="5">
        <v>256.05900000000003</v>
      </c>
      <c r="E850">
        <v>1.7467804166683365E-2</v>
      </c>
      <c r="F850">
        <f t="shared" si="28"/>
        <v>11.965047875160364</v>
      </c>
      <c r="G850">
        <f t="shared" si="29"/>
        <v>1.4701428815825847E-2</v>
      </c>
      <c r="I850" s="10"/>
    </row>
    <row r="851" spans="1:9" x14ac:dyDescent="0.2">
      <c r="A851" s="1">
        <f t="shared" si="30"/>
        <v>43709</v>
      </c>
      <c r="B851">
        <v>2369877900000</v>
      </c>
      <c r="C851" s="11">
        <v>5.15</v>
      </c>
      <c r="D851" s="5">
        <v>256.51100000000002</v>
      </c>
      <c r="E851">
        <v>1.7166173636500748E-2</v>
      </c>
      <c r="F851">
        <f t="shared" si="28"/>
        <v>11.965619977258704</v>
      </c>
      <c r="G851">
        <f t="shared" si="29"/>
        <v>1.4417367956025596E-2</v>
      </c>
      <c r="I851" s="10"/>
    </row>
    <row r="852" spans="1:9" x14ac:dyDescent="0.2">
      <c r="A852" s="1">
        <f t="shared" si="30"/>
        <v>43739</v>
      </c>
      <c r="B852">
        <v>2369663400000</v>
      </c>
      <c r="C852" s="11">
        <v>4.99</v>
      </c>
      <c r="D852" s="5">
        <v>257.24400000000003</v>
      </c>
      <c r="E852">
        <v>1.769183295618193E-2</v>
      </c>
      <c r="F852">
        <f t="shared" si="28"/>
        <v>11.964341406819363</v>
      </c>
      <c r="G852">
        <f t="shared" si="29"/>
        <v>1.3531646431355616E-2</v>
      </c>
      <c r="I852" s="10"/>
    </row>
    <row r="853" spans="1:9" x14ac:dyDescent="0.2">
      <c r="A853" s="1">
        <f t="shared" si="30"/>
        <v>43770</v>
      </c>
      <c r="B853">
        <v>2367251800000</v>
      </c>
      <c r="C853" s="11">
        <v>4.75</v>
      </c>
      <c r="D853" s="5">
        <v>257.803</v>
      </c>
      <c r="E853">
        <v>2.0622025859679871E-2</v>
      </c>
      <c r="F853">
        <f t="shared" si="28"/>
        <v>11.962956488609469</v>
      </c>
      <c r="G853">
        <f t="shared" si="29"/>
        <v>1.1289095110178785E-2</v>
      </c>
      <c r="I853" s="10"/>
    </row>
    <row r="854" spans="1:9" x14ac:dyDescent="0.2">
      <c r="A854" s="1">
        <f t="shared" si="30"/>
        <v>43800</v>
      </c>
      <c r="B854">
        <v>2355038200000</v>
      </c>
      <c r="C854" s="11">
        <v>4.75</v>
      </c>
      <c r="D854" s="5">
        <v>258.61599999999999</v>
      </c>
      <c r="E854">
        <v>2.3139887722685382E-2</v>
      </c>
      <c r="F854">
        <f t="shared" si="28"/>
        <v>11.959342565799927</v>
      </c>
      <c r="G854">
        <f t="shared" si="29"/>
        <v>1.0219015411314043E-2</v>
      </c>
      <c r="I854" s="10"/>
    </row>
    <row r="855" spans="1:9" x14ac:dyDescent="0.2">
      <c r="A855" s="1">
        <f t="shared" si="30"/>
        <v>43831</v>
      </c>
      <c r="B855">
        <v>2351337300000</v>
      </c>
      <c r="C855" s="11">
        <v>4.75</v>
      </c>
      <c r="D855" s="5">
        <v>259.03699999999998</v>
      </c>
      <c r="E855">
        <v>2.500415482870233E-2</v>
      </c>
      <c r="F855">
        <f t="shared" si="28"/>
        <v>11.957953131541007</v>
      </c>
      <c r="G855">
        <f t="shared" si="29"/>
        <v>9.4284058411729099E-3</v>
      </c>
      <c r="I855" s="10"/>
    </row>
    <row r="856" spans="1:9" x14ac:dyDescent="0.2">
      <c r="A856" s="1">
        <f t="shared" si="30"/>
        <v>43862</v>
      </c>
      <c r="B856">
        <v>2347115500000</v>
      </c>
      <c r="C856" s="11">
        <v>4.75</v>
      </c>
      <c r="D856" s="5">
        <v>259.24799999999999</v>
      </c>
      <c r="E856">
        <v>2.3393151798896117E-2</v>
      </c>
      <c r="F856">
        <f t="shared" si="28"/>
        <v>11.956819046811622</v>
      </c>
      <c r="G856">
        <f t="shared" si="29"/>
        <v>1.0111525144408894E-2</v>
      </c>
      <c r="I856" s="10"/>
    </row>
    <row r="857" spans="1:9" x14ac:dyDescent="0.2">
      <c r="A857" s="1">
        <f t="shared" si="30"/>
        <v>43891</v>
      </c>
      <c r="B857">
        <v>2561550700000</v>
      </c>
      <c r="C857" s="11">
        <v>3.78</v>
      </c>
      <c r="D857" s="5">
        <v>258.12400000000002</v>
      </c>
      <c r="E857">
        <v>1.5428674833400269E-2</v>
      </c>
      <c r="F857">
        <f t="shared" si="28"/>
        <v>11.996674569656616</v>
      </c>
      <c r="G857">
        <f t="shared" si="29"/>
        <v>9.4642430140980428E-3</v>
      </c>
      <c r="I857" s="10"/>
    </row>
    <row r="858" spans="1:9" x14ac:dyDescent="0.2">
      <c r="A858" s="1">
        <f t="shared" si="30"/>
        <v>43922</v>
      </c>
      <c r="B858">
        <v>2919513600000</v>
      </c>
      <c r="C858" s="11">
        <v>3.25</v>
      </c>
      <c r="D858" s="5">
        <v>256.09199999999998</v>
      </c>
      <c r="E858">
        <v>3.4520455622992774E-3</v>
      </c>
      <c r="F858">
        <f t="shared" si="28"/>
        <v>12.056914490817086</v>
      </c>
      <c r="G858">
        <f t="shared" si="29"/>
        <v>1.2393437710522957E-2</v>
      </c>
      <c r="I858" s="10"/>
    </row>
    <row r="859" spans="1:9" x14ac:dyDescent="0.2">
      <c r="A859" s="1">
        <f t="shared" si="30"/>
        <v>43952</v>
      </c>
      <c r="B859">
        <v>3034059100000</v>
      </c>
      <c r="C859" s="11">
        <v>3.25</v>
      </c>
      <c r="D859" s="5">
        <v>255.86799999999999</v>
      </c>
      <c r="E859">
        <v>2.2640918171490387E-3</v>
      </c>
      <c r="F859">
        <f t="shared" si="28"/>
        <v>12.074008061625721</v>
      </c>
      <c r="G859">
        <f t="shared" si="29"/>
        <v>1.2907889189462221E-2</v>
      </c>
      <c r="I859" s="10"/>
    </row>
    <row r="860" spans="1:9" x14ac:dyDescent="0.2">
      <c r="A860" s="1">
        <f t="shared" si="30"/>
        <v>43983</v>
      </c>
      <c r="B860">
        <v>2925853200000</v>
      </c>
      <c r="C860" s="11">
        <v>3.25</v>
      </c>
      <c r="D860" s="5">
        <v>256.98599999999999</v>
      </c>
      <c r="E860">
        <v>7.1602412613311905E-3</v>
      </c>
      <c r="F860">
        <f t="shared" si="28"/>
        <v>12.056343067683866</v>
      </c>
      <c r="G860">
        <f t="shared" si="29"/>
        <v>1.0791487134136345E-2</v>
      </c>
      <c r="I860" s="10"/>
    </row>
    <row r="861" spans="1:9" x14ac:dyDescent="0.2">
      <c r="A861" s="1">
        <f t="shared" si="30"/>
        <v>44013</v>
      </c>
      <c r="B861">
        <v>2857593200000</v>
      </c>
      <c r="C861" s="11">
        <v>3.25</v>
      </c>
      <c r="D861" s="5">
        <v>258.27800000000002</v>
      </c>
      <c r="E861">
        <v>1.014138490721006E-2</v>
      </c>
      <c r="F861">
        <f t="shared" si="28"/>
        <v>12.043912989005079</v>
      </c>
      <c r="G861">
        <f t="shared" si="29"/>
        <v>9.5078960629271306E-3</v>
      </c>
      <c r="I861" s="10"/>
    </row>
    <row r="862" spans="1:9" x14ac:dyDescent="0.2">
      <c r="A862" s="1">
        <f t="shared" si="30"/>
        <v>44044</v>
      </c>
      <c r="B862">
        <v>2815893800000</v>
      </c>
      <c r="C862" s="11">
        <v>3.25</v>
      </c>
      <c r="D862" s="5">
        <v>259.411</v>
      </c>
      <c r="E862">
        <v>1.3090732995129972E-2</v>
      </c>
      <c r="F862">
        <f t="shared" si="28"/>
        <v>12.035627883729306</v>
      </c>
      <c r="G862">
        <f t="shared" si="29"/>
        <v>8.241717559966024E-3</v>
      </c>
      <c r="I862" s="10"/>
    </row>
    <row r="863" spans="1:9" x14ac:dyDescent="0.2">
      <c r="A863" s="1">
        <f t="shared" si="30"/>
        <v>44075</v>
      </c>
      <c r="B863">
        <v>2760561700000</v>
      </c>
      <c r="C863" s="11">
        <v>3.25</v>
      </c>
      <c r="D863" s="5">
        <v>260.029</v>
      </c>
      <c r="E863">
        <v>1.3714811450580955E-2</v>
      </c>
      <c r="F863">
        <f t="shared" si="28"/>
        <v>12.025975672485897</v>
      </c>
      <c r="G863">
        <f t="shared" si="29"/>
        <v>7.974268283654903E-3</v>
      </c>
      <c r="I863" s="10"/>
    </row>
    <row r="864" spans="1:9" x14ac:dyDescent="0.2">
      <c r="A864" s="1">
        <f t="shared" si="30"/>
        <v>44105</v>
      </c>
      <c r="B864">
        <v>2697511000000</v>
      </c>
      <c r="C864" s="11">
        <v>3.25</v>
      </c>
      <c r="D864" s="5">
        <v>260.286</v>
      </c>
      <c r="E864">
        <v>1.1825348696179461E-2</v>
      </c>
      <c r="F864">
        <f t="shared" si="28"/>
        <v>12.015512414993756</v>
      </c>
      <c r="G864">
        <f t="shared" si="29"/>
        <v>8.7845049821458857E-3</v>
      </c>
      <c r="I864" s="10"/>
    </row>
    <row r="865" spans="1:9" x14ac:dyDescent="0.2">
      <c r="A865" s="1">
        <f t="shared" si="30"/>
        <v>44136</v>
      </c>
      <c r="B865">
        <v>2637073400000</v>
      </c>
      <c r="C865" s="11">
        <v>3.25</v>
      </c>
      <c r="D865" s="5">
        <v>260.81299999999999</v>
      </c>
      <c r="E865">
        <v>1.1675581742648378E-2</v>
      </c>
      <c r="F865">
        <f t="shared" si="28"/>
        <v>12.004792983429832</v>
      </c>
      <c r="G865">
        <f t="shared" si="29"/>
        <v>8.8487925350995891E-3</v>
      </c>
      <c r="I865" s="10"/>
    </row>
    <row r="866" spans="1:9" x14ac:dyDescent="0.2">
      <c r="A866" s="1">
        <f t="shared" si="30"/>
        <v>44166</v>
      </c>
      <c r="B866">
        <v>2590190700000</v>
      </c>
      <c r="C866" s="11">
        <v>3.25</v>
      </c>
      <c r="D866" s="5">
        <v>262.03500000000003</v>
      </c>
      <c r="E866">
        <v>1.3220373062765134E-2</v>
      </c>
      <c r="F866">
        <f t="shared" si="28"/>
        <v>11.994972435838369</v>
      </c>
      <c r="G866">
        <f t="shared" si="29"/>
        <v>8.1861466598055904E-3</v>
      </c>
      <c r="I866" s="10"/>
    </row>
    <row r="867" spans="1:9" x14ac:dyDescent="0.2">
      <c r="A867" s="1">
        <f t="shared" si="30"/>
        <v>44197</v>
      </c>
      <c r="B867">
        <v>2563513400000</v>
      </c>
      <c r="C867" s="11">
        <v>3.25</v>
      </c>
      <c r="D867" s="5">
        <v>262.64999999999998</v>
      </c>
      <c r="E867">
        <v>1.3947814404891901E-2</v>
      </c>
      <c r="F867">
        <f t="shared" si="28"/>
        <v>11.989458186787807</v>
      </c>
      <c r="G867">
        <f t="shared" si="29"/>
        <v>7.874456908252064E-3</v>
      </c>
      <c r="I867" s="10"/>
    </row>
    <row r="868" spans="1:9" x14ac:dyDescent="0.2">
      <c r="A868" s="1">
        <f t="shared" si="30"/>
        <v>44228</v>
      </c>
      <c r="B868">
        <v>2587368500000</v>
      </c>
      <c r="C868" s="11">
        <v>3.25</v>
      </c>
      <c r="D868" s="5">
        <v>263.63799999999998</v>
      </c>
      <c r="E868">
        <v>1.693359254459037E-2</v>
      </c>
      <c r="F868">
        <f t="shared" si="28"/>
        <v>11.99185027815976</v>
      </c>
      <c r="G868">
        <f t="shared" si="29"/>
        <v>6.5974666319319345E-3</v>
      </c>
      <c r="I868" s="10"/>
    </row>
    <row r="869" spans="1:9" x14ac:dyDescent="0.2">
      <c r="A869" s="1">
        <f t="shared" si="30"/>
        <v>44256</v>
      </c>
      <c r="B869">
        <v>2587017000000</v>
      </c>
      <c r="C869" s="11">
        <v>3.25</v>
      </c>
      <c r="D869" s="5">
        <v>264.91399999999999</v>
      </c>
      <c r="E869">
        <v>2.6305186654475898E-2</v>
      </c>
      <c r="F869">
        <f t="shared" si="28"/>
        <v>11.989694372382889</v>
      </c>
      <c r="G869">
        <f t="shared" si="29"/>
        <v>2.6135366173932572E-3</v>
      </c>
      <c r="I869" s="10"/>
    </row>
    <row r="870" spans="1:9" x14ac:dyDescent="0.2">
      <c r="A870" s="1">
        <f t="shared" si="30"/>
        <v>44287</v>
      </c>
      <c r="B870">
        <v>2555988300000</v>
      </c>
      <c r="C870" s="11">
        <v>3.25</v>
      </c>
      <c r="D870" s="5">
        <v>266.67</v>
      </c>
      <c r="E870">
        <v>4.1305468347312857E-2</v>
      </c>
      <c r="F870">
        <f t="shared" si="28"/>
        <v>11.981584700594738</v>
      </c>
      <c r="G870">
        <f t="shared" si="29"/>
        <v>-3.688088737587625E-3</v>
      </c>
      <c r="I870" s="10"/>
    </row>
    <row r="871" spans="1:9" x14ac:dyDescent="0.2">
      <c r="A871" s="1">
        <f t="shared" si="30"/>
        <v>44317</v>
      </c>
      <c r="B871">
        <v>2545016300000</v>
      </c>
      <c r="C871" s="11">
        <v>3.25</v>
      </c>
      <c r="D871" s="5">
        <v>268.44400000000002</v>
      </c>
      <c r="E871">
        <v>4.9150343145684561E-2</v>
      </c>
      <c r="F871">
        <f t="shared" si="28"/>
        <v>11.976836866717733</v>
      </c>
      <c r="G871">
        <f t="shared" si="29"/>
        <v>-6.9476666831217908E-3</v>
      </c>
      <c r="I871" s="10"/>
    </row>
    <row r="872" spans="1:9" x14ac:dyDescent="0.2">
      <c r="A872" s="1">
        <f t="shared" si="30"/>
        <v>44348</v>
      </c>
      <c r="B872">
        <v>2481261400000</v>
      </c>
      <c r="C872" s="11">
        <v>3.25</v>
      </c>
      <c r="D872" s="5">
        <v>270.55900000000003</v>
      </c>
      <c r="E872">
        <v>5.2816106713984512E-2</v>
      </c>
      <c r="F872">
        <f t="shared" si="28"/>
        <v>11.962410534368695</v>
      </c>
      <c r="G872">
        <f t="shared" si="29"/>
        <v>-8.4624601316935361E-3</v>
      </c>
      <c r="I872" s="10"/>
    </row>
    <row r="873" spans="1:9" x14ac:dyDescent="0.2">
      <c r="A873" s="1">
        <f t="shared" si="30"/>
        <v>44378</v>
      </c>
      <c r="B873">
        <v>2452903700000</v>
      </c>
      <c r="C873" s="11">
        <v>3.25</v>
      </c>
      <c r="D873" s="5">
        <v>271.76400000000001</v>
      </c>
      <c r="E873">
        <v>5.2215055095672147E-2</v>
      </c>
      <c r="F873">
        <f t="shared" si="28"/>
        <v>11.955488572177861</v>
      </c>
      <c r="G873">
        <f t="shared" si="29"/>
        <v>-8.2144510637028132E-3</v>
      </c>
      <c r="I873" s="10"/>
    </row>
    <row r="874" spans="1:9" x14ac:dyDescent="0.2">
      <c r="A874" s="1">
        <f t="shared" si="30"/>
        <v>44409</v>
      </c>
      <c r="B874">
        <v>2430198700000</v>
      </c>
      <c r="C874" s="11">
        <v>3.25</v>
      </c>
      <c r="D874" s="5">
        <v>272.87</v>
      </c>
      <c r="E874">
        <v>5.1882919382755466E-2</v>
      </c>
      <c r="F874">
        <f t="shared" si="28"/>
        <v>11.949685993320443</v>
      </c>
      <c r="G874">
        <f t="shared" si="29"/>
        <v>-8.0773427062875349E-3</v>
      </c>
      <c r="I874" s="10"/>
    </row>
    <row r="875" spans="1:9" x14ac:dyDescent="0.2">
      <c r="A875" s="1">
        <f t="shared" si="30"/>
        <v>44440</v>
      </c>
      <c r="B875">
        <v>2417748400000</v>
      </c>
      <c r="C875" s="11">
        <v>3.25</v>
      </c>
      <c r="D875" s="5">
        <v>274.02800000000002</v>
      </c>
      <c r="E875">
        <v>5.3836302873910391E-2</v>
      </c>
      <c r="F875">
        <f t="shared" si="28"/>
        <v>11.945616163546536</v>
      </c>
      <c r="G875">
        <f t="shared" si="29"/>
        <v>-8.8830948746005372E-3</v>
      </c>
      <c r="I875" s="10"/>
    </row>
    <row r="876" spans="1:9" x14ac:dyDescent="0.2">
      <c r="A876" s="1">
        <f t="shared" si="30"/>
        <v>44470</v>
      </c>
      <c r="B876">
        <v>2420877500000</v>
      </c>
      <c r="C876" s="11">
        <v>3.25</v>
      </c>
      <c r="D876" s="5">
        <v>276.52199999999999</v>
      </c>
      <c r="E876">
        <v>6.2377538553744616E-2</v>
      </c>
      <c r="F876">
        <f t="shared" si="28"/>
        <v>11.94224312470898</v>
      </c>
      <c r="G876">
        <f t="shared" si="29"/>
        <v>-1.2388819668691308E-2</v>
      </c>
      <c r="I876" s="10"/>
    </row>
    <row r="877" spans="1:9" x14ac:dyDescent="0.2">
      <c r="A877" s="1">
        <f t="shared" si="30"/>
        <v>44501</v>
      </c>
      <c r="B877">
        <v>2434322000000</v>
      </c>
      <c r="C877" s="11">
        <v>3.25</v>
      </c>
      <c r="D877" s="5">
        <v>278.71100000000001</v>
      </c>
      <c r="E877">
        <v>6.8623879944634814E-2</v>
      </c>
      <c r="F877">
        <f t="shared" si="28"/>
        <v>11.941223914478684</v>
      </c>
      <c r="G877">
        <f t="shared" si="29"/>
        <v>-1.4934814564588809E-2</v>
      </c>
      <c r="I877" s="10"/>
    </row>
    <row r="878" spans="1:9" x14ac:dyDescent="0.2">
      <c r="A878" s="1">
        <f t="shared" si="30"/>
        <v>44531</v>
      </c>
      <c r="B878">
        <v>2473057700000</v>
      </c>
      <c r="C878" s="11">
        <v>3.25</v>
      </c>
      <c r="D878" s="5">
        <v>280.887</v>
      </c>
      <c r="E878">
        <v>7.1944587555097472E-2</v>
      </c>
      <c r="F878">
        <f t="shared" si="28"/>
        <v>11.94470260952737</v>
      </c>
      <c r="G878">
        <f t="shared" si="29"/>
        <v>-1.628227545643935E-2</v>
      </c>
      <c r="I878" s="10"/>
    </row>
    <row r="879" spans="1:9" x14ac:dyDescent="0.2">
      <c r="A879" s="1">
        <f t="shared" si="30"/>
        <v>44562</v>
      </c>
      <c r="B879">
        <v>2485186200000</v>
      </c>
      <c r="C879" s="11">
        <v>3.25</v>
      </c>
      <c r="D879" s="5">
        <v>282.59899999999999</v>
      </c>
      <c r="E879">
        <v>7.595278888254331E-2</v>
      </c>
      <c r="F879">
        <f t="shared" si="28"/>
        <v>11.94418831262406</v>
      </c>
      <c r="G879">
        <f t="shared" si="29"/>
        <v>-1.7903155260648645E-2</v>
      </c>
      <c r="I879" s="10"/>
    </row>
    <row r="880" spans="1:9" x14ac:dyDescent="0.2">
      <c r="A880" s="1">
        <f t="shared" si="30"/>
        <v>44593</v>
      </c>
      <c r="B880">
        <v>2496046700000</v>
      </c>
      <c r="C880" s="11">
        <v>3.25</v>
      </c>
      <c r="D880" s="5">
        <v>284.61</v>
      </c>
      <c r="E880">
        <v>7.954847176810631E-2</v>
      </c>
      <c r="F880">
        <f t="shared" si="28"/>
        <v>11.943002551255944</v>
      </c>
      <c r="G880">
        <f t="shared" si="29"/>
        <v>-1.9352086618618522E-2</v>
      </c>
      <c r="I880" s="10"/>
    </row>
    <row r="881" spans="1:9" x14ac:dyDescent="0.2">
      <c r="A881" s="1">
        <f t="shared" si="30"/>
        <v>44621</v>
      </c>
      <c r="B881">
        <v>2533935800000</v>
      </c>
      <c r="C881" s="11">
        <v>3.37</v>
      </c>
      <c r="D881" s="5">
        <v>287.47199999999998</v>
      </c>
      <c r="E881">
        <v>8.5152162588613578E-2</v>
      </c>
      <c r="F881">
        <f t="shared" si="28"/>
        <v>11.945200056907302</v>
      </c>
      <c r="G881">
        <f t="shared" si="29"/>
        <v>-2.109612397478048E-2</v>
      </c>
      <c r="I881" s="10"/>
    </row>
    <row r="882" spans="1:9" x14ac:dyDescent="0.2">
      <c r="A882" s="1">
        <f t="shared" si="30"/>
        <v>44652</v>
      </c>
      <c r="B882">
        <v>2566021600000</v>
      </c>
      <c r="C882" s="11">
        <v>3.5</v>
      </c>
      <c r="D882" s="5">
        <v>288.61099999999999</v>
      </c>
      <c r="E882">
        <v>8.2277721528480896E-2</v>
      </c>
      <c r="F882">
        <f t="shared" si="28"/>
        <v>11.948947428222201</v>
      </c>
      <c r="G882">
        <f t="shared" si="29"/>
        <v>-1.9398368880439821E-2</v>
      </c>
      <c r="I882" s="10"/>
    </row>
    <row r="883" spans="1:9" x14ac:dyDescent="0.2">
      <c r="A883" s="1">
        <f t="shared" si="30"/>
        <v>44682</v>
      </c>
      <c r="B883">
        <v>2609436300000</v>
      </c>
      <c r="C883" s="11">
        <v>3.94</v>
      </c>
      <c r="D883" s="5">
        <v>291.26799999999997</v>
      </c>
      <c r="E883">
        <v>8.5023319575032286E-2</v>
      </c>
      <c r="F883">
        <f t="shared" si="28"/>
        <v>11.952253925861408</v>
      </c>
      <c r="G883">
        <f t="shared" si="29"/>
        <v>-1.8656359756623792E-2</v>
      </c>
      <c r="I883" s="10"/>
    </row>
    <row r="884" spans="1:9" x14ac:dyDescent="0.2">
      <c r="A884" s="1">
        <f t="shared" si="30"/>
        <v>44713</v>
      </c>
      <c r="B884">
        <v>2672262300000</v>
      </c>
      <c r="C884" s="11">
        <v>4.38</v>
      </c>
      <c r="D884" s="5">
        <v>294.72800000000001</v>
      </c>
      <c r="E884">
        <v>8.9329868901052878E-2</v>
      </c>
      <c r="F884">
        <f t="shared" si="28"/>
        <v>11.957457687712534</v>
      </c>
      <c r="G884">
        <f t="shared" si="29"/>
        <v>-1.8542119422178149E-2</v>
      </c>
      <c r="I884" s="10"/>
    </row>
    <row r="885" spans="1:9" x14ac:dyDescent="0.2">
      <c r="A885" s="1">
        <f t="shared" si="30"/>
        <v>44743</v>
      </c>
      <c r="B885">
        <v>2706246600000</v>
      </c>
      <c r="C885" s="11">
        <v>4.8499999999999996</v>
      </c>
      <c r="D885" s="5">
        <v>294.62799999999999</v>
      </c>
      <c r="E885">
        <v>8.4131820255810119E-2</v>
      </c>
      <c r="F885">
        <f t="shared" si="28"/>
        <v>11.963093350385446</v>
      </c>
      <c r="G885">
        <f t="shared" si="29"/>
        <v>-1.4513656745194866E-2</v>
      </c>
      <c r="I885" s="10"/>
    </row>
    <row r="886" spans="1:9" x14ac:dyDescent="0.2">
      <c r="A886" s="1">
        <f t="shared" si="30"/>
        <v>44774</v>
      </c>
      <c r="B886">
        <v>2729668400000</v>
      </c>
      <c r="C886" s="11">
        <v>5.5</v>
      </c>
      <c r="D886" s="5">
        <v>295.32</v>
      </c>
      <c r="E886">
        <v>8.2273610144024678E-2</v>
      </c>
      <c r="F886">
        <f t="shared" si="28"/>
        <v>11.965817032419583</v>
      </c>
      <c r="G886">
        <f t="shared" si="29"/>
        <v>-1.10846092274787E-2</v>
      </c>
      <c r="I886" s="10"/>
    </row>
    <row r="887" spans="1:9" x14ac:dyDescent="0.2">
      <c r="A887" s="1">
        <f t="shared" si="30"/>
        <v>44805</v>
      </c>
      <c r="B887">
        <v>2751528500000</v>
      </c>
      <c r="C887" s="11">
        <v>5.73</v>
      </c>
      <c r="D887" s="5">
        <v>296.53899999999999</v>
      </c>
      <c r="E887">
        <v>8.2148539565299661E-2</v>
      </c>
      <c r="F887">
        <f t="shared" si="28"/>
        <v>11.967492196858686</v>
      </c>
      <c r="G887">
        <f t="shared" si="29"/>
        <v>-1.0088645463794028E-2</v>
      </c>
      <c r="I887" s="10"/>
    </row>
    <row r="888" spans="1:9" x14ac:dyDescent="0.2">
      <c r="A888" s="1">
        <f t="shared" si="30"/>
        <v>44835</v>
      </c>
      <c r="B888">
        <v>2777366200000</v>
      </c>
      <c r="C888" s="11">
        <v>6.25</v>
      </c>
      <c r="D888" s="5">
        <v>297.98700000000002</v>
      </c>
      <c r="E888">
        <v>7.7624926768937064E-2</v>
      </c>
      <c r="F888">
        <f t="shared" si="28"/>
        <v>11.969435827989685</v>
      </c>
      <c r="G888">
        <f t="shared" si="29"/>
        <v>-6.1386898658130924E-3</v>
      </c>
      <c r="I888" s="10"/>
    </row>
    <row r="889" spans="1:9" x14ac:dyDescent="0.2">
      <c r="A889" s="1">
        <f t="shared" si="30"/>
        <v>44866</v>
      </c>
      <c r="B889">
        <v>2794902600000</v>
      </c>
      <c r="C889" s="11">
        <v>6.95</v>
      </c>
      <c r="D889" s="5">
        <v>298.59800000000001</v>
      </c>
      <c r="E889">
        <v>7.135348084575055E-2</v>
      </c>
      <c r="F889">
        <f t="shared" si="28"/>
        <v>11.971279783181506</v>
      </c>
      <c r="G889">
        <f t="shared" si="29"/>
        <v>-7.5199607254211359E-4</v>
      </c>
      <c r="I889" s="10"/>
    </row>
    <row r="890" spans="1:9" x14ac:dyDescent="0.2">
      <c r="A890" s="1">
        <f t="shared" si="30"/>
        <v>44896</v>
      </c>
      <c r="B890">
        <v>2806713100000</v>
      </c>
      <c r="C890" s="11">
        <v>7.27</v>
      </c>
      <c r="D890" s="5">
        <v>298.99</v>
      </c>
      <c r="E890">
        <v>6.444940492084017E-2</v>
      </c>
      <c r="F890">
        <f t="shared" si="28"/>
        <v>11.972541358481232</v>
      </c>
      <c r="G890">
        <f t="shared" si="29"/>
        <v>3.3532571081825394E-3</v>
      </c>
      <c r="I890" s="10"/>
    </row>
    <row r="891" spans="1:9" x14ac:dyDescent="0.2">
      <c r="A891" s="1">
        <f t="shared" si="30"/>
        <v>44927</v>
      </c>
      <c r="B891">
        <v>2814021700000</v>
      </c>
      <c r="C891" s="11">
        <v>7.5</v>
      </c>
      <c r="D891" s="5">
        <v>300.536</v>
      </c>
      <c r="E891">
        <v>6.3471562178210261E-2</v>
      </c>
      <c r="F891">
        <f t="shared" si="28"/>
        <v>11.971430940276923</v>
      </c>
      <c r="G891">
        <f t="shared" si="29"/>
        <v>4.6825831338986922E-3</v>
      </c>
      <c r="I891" s="10"/>
    </row>
    <row r="892" spans="1:9" x14ac:dyDescent="0.2">
      <c r="A892" s="1">
        <f t="shared" si="30"/>
        <v>44958</v>
      </c>
      <c r="B892">
        <v>2807175200000</v>
      </c>
      <c r="C892" s="11">
        <v>7.74</v>
      </c>
      <c r="D892" s="5">
        <v>301.64800000000002</v>
      </c>
      <c r="E892">
        <v>5.9864375812515469E-2</v>
      </c>
      <c r="F892">
        <f t="shared" si="28"/>
        <v>11.968769068264685</v>
      </c>
      <c r="G892">
        <f t="shared" si="29"/>
        <v>7.1266763269219272E-3</v>
      </c>
      <c r="I892" s="10"/>
    </row>
    <row r="893" spans="1:9" x14ac:dyDescent="0.2">
      <c r="A893" s="1">
        <f t="shared" si="30"/>
        <v>44986</v>
      </c>
      <c r="B893">
        <v>2795374000000</v>
      </c>
      <c r="C893" s="11">
        <v>7.82</v>
      </c>
      <c r="D893" s="5">
        <v>301.80799999999999</v>
      </c>
      <c r="E893">
        <v>4.9869204652974952E-2</v>
      </c>
      <c r="F893">
        <f t="shared" si="28"/>
        <v>11.966709174041998</v>
      </c>
      <c r="G893">
        <f t="shared" si="29"/>
        <v>1.1564130551915979E-2</v>
      </c>
      <c r="I893" s="10"/>
    </row>
    <row r="894" spans="1:9" x14ac:dyDescent="0.2">
      <c r="A894" s="1">
        <f t="shared" si="30"/>
        <v>45017</v>
      </c>
      <c r="B894">
        <v>2774908500000</v>
      </c>
      <c r="C894" s="11">
        <v>8</v>
      </c>
      <c r="D894" s="5">
        <v>302.91800000000001</v>
      </c>
      <c r="E894">
        <v>4.9571915138369782E-2</v>
      </c>
      <c r="F894">
        <f t="shared" si="28"/>
        <v>11.96192358648659</v>
      </c>
      <c r="G894">
        <f t="shared" si="29"/>
        <v>1.2411554323902245E-2</v>
      </c>
      <c r="I894" s="10"/>
    </row>
    <row r="895" spans="1:9" x14ac:dyDescent="0.2">
      <c r="A895" s="1">
        <f t="shared" si="30"/>
        <v>45047</v>
      </c>
      <c r="B895">
        <v>2769081400000</v>
      </c>
      <c r="C895" s="11">
        <v>8.23</v>
      </c>
      <c r="D895" s="5">
        <v>303.29399999999998</v>
      </c>
      <c r="E895">
        <v>4.1288435392834222E-2</v>
      </c>
      <c r="F895">
        <f t="shared" si="28"/>
        <v>11.96047190362558</v>
      </c>
      <c r="G895">
        <f t="shared" si="29"/>
        <v>1.6776613327613942E-2</v>
      </c>
      <c r="I895" s="10"/>
    </row>
    <row r="896" spans="1:9" x14ac:dyDescent="0.2">
      <c r="A896" s="1">
        <f t="shared" si="30"/>
        <v>45078</v>
      </c>
      <c r="B896">
        <v>2764140900000</v>
      </c>
      <c r="C896" s="11">
        <v>8.25</v>
      </c>
      <c r="D896" s="5">
        <v>303.84100000000001</v>
      </c>
      <c r="E896">
        <v>3.0920034743899372E-2</v>
      </c>
      <c r="F896">
        <f t="shared" si="28"/>
        <v>11.958913800357296</v>
      </c>
      <c r="G896">
        <f t="shared" si="29"/>
        <v>2.1202925305730588E-2</v>
      </c>
      <c r="I896" s="10"/>
    </row>
    <row r="897" spans="1:9" x14ac:dyDescent="0.2">
      <c r="A897" s="1">
        <f t="shared" si="30"/>
        <v>45108</v>
      </c>
      <c r="B897">
        <v>2762852700000</v>
      </c>
      <c r="C897" s="11">
        <v>8.2899999999999991</v>
      </c>
      <c r="D897" s="5">
        <v>304.34800000000001</v>
      </c>
      <c r="E897">
        <v>3.299075444289068E-2</v>
      </c>
      <c r="F897">
        <f t="shared" si="28"/>
        <v>11.957987279193025</v>
      </c>
      <c r="G897">
        <f t="shared" si="29"/>
        <v>2.0491919234084739E-2</v>
      </c>
      <c r="I897" s="10"/>
    </row>
    <row r="898" spans="1:9" x14ac:dyDescent="0.2">
      <c r="A898" s="1">
        <f t="shared" si="30"/>
        <v>45139</v>
      </c>
      <c r="B898">
        <v>2762628600000</v>
      </c>
      <c r="C898" s="11">
        <v>8.5</v>
      </c>
      <c r="D898" s="5">
        <v>306.26900000000001</v>
      </c>
      <c r="E898">
        <v>3.7075037247731313E-2</v>
      </c>
      <c r="F898">
        <f t="shared" si="28"/>
        <v>11.955219462994053</v>
      </c>
      <c r="G898">
        <f t="shared" si="29"/>
        <v>1.9619557413982174E-2</v>
      </c>
      <c r="I898" s="10"/>
    </row>
    <row r="899" spans="1:9" x14ac:dyDescent="0.2">
      <c r="A899" s="1">
        <f t="shared" si="30"/>
        <v>45170</v>
      </c>
      <c r="B899">
        <v>2763377100000</v>
      </c>
      <c r="C899" s="11">
        <v>8.5</v>
      </c>
      <c r="D899" s="5">
        <v>307.48099999999999</v>
      </c>
      <c r="E899">
        <v>3.6899025086076342E-2</v>
      </c>
      <c r="F899">
        <f t="shared" si="28"/>
        <v>11.953621869461683</v>
      </c>
      <c r="G899">
        <f t="shared" si="29"/>
        <v>1.9693272039566397E-2</v>
      </c>
      <c r="I899" s="10"/>
    </row>
    <row r="900" spans="1:9" x14ac:dyDescent="0.2">
      <c r="A900" s="1">
        <f t="shared" si="30"/>
        <v>45200</v>
      </c>
      <c r="B900">
        <v>2774958400000</v>
      </c>
      <c r="C900" s="11">
        <v>8.5</v>
      </c>
      <c r="D900" s="5">
        <v>307.61900000000003</v>
      </c>
      <c r="E900">
        <v>3.232355773909612E-2</v>
      </c>
      <c r="F900">
        <f t="shared" si="28"/>
        <v>11.955243320872318</v>
      </c>
      <c r="G900">
        <f t="shared" si="29"/>
        <v>2.1613900082201917E-2</v>
      </c>
      <c r="I900" s="1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7681-BEBB-D542-8210-FE84387ACA36}">
  <dimension ref="A1:B102"/>
  <sheetViews>
    <sheetView workbookViewId="0">
      <selection activeCell="B95" sqref="B95"/>
    </sheetView>
  </sheetViews>
  <sheetFormatPr baseColWidth="10" defaultRowHeight="16" x14ac:dyDescent="0.2"/>
  <cols>
    <col min="1" max="1" width="10.83203125" style="1"/>
  </cols>
  <sheetData>
    <row r="1" spans="1:2" x14ac:dyDescent="0.2">
      <c r="A1" s="1" t="s">
        <v>0</v>
      </c>
      <c r="B1" t="s">
        <v>37</v>
      </c>
    </row>
    <row r="2" spans="1:2" x14ac:dyDescent="0.2">
      <c r="A2" s="1">
        <v>7305</v>
      </c>
      <c r="B2">
        <v>0.27614787000000002</v>
      </c>
    </row>
    <row r="3" spans="1:2" x14ac:dyDescent="0.2">
      <c r="A3" s="1">
        <f>EDATE(A2,12)</f>
        <v>7671</v>
      </c>
      <c r="B3">
        <v>0.26706131300000002</v>
      </c>
    </row>
    <row r="4" spans="1:2" x14ac:dyDescent="0.2">
      <c r="A4" s="1">
        <f t="shared" ref="A4:A67" si="0">EDATE(A3,12)</f>
        <v>8036</v>
      </c>
      <c r="B4">
        <v>0.29091941900000001</v>
      </c>
    </row>
    <row r="5" spans="1:2" x14ac:dyDescent="0.2">
      <c r="A5" s="1">
        <f t="shared" si="0"/>
        <v>8401</v>
      </c>
      <c r="B5">
        <v>0.292877416</v>
      </c>
    </row>
    <row r="6" spans="1:2" x14ac:dyDescent="0.2">
      <c r="A6" s="1">
        <f t="shared" si="0"/>
        <v>8766</v>
      </c>
      <c r="B6">
        <v>0.26627184599999998</v>
      </c>
    </row>
    <row r="7" spans="1:2" x14ac:dyDescent="0.2">
      <c r="A7" s="1">
        <f t="shared" si="0"/>
        <v>9132</v>
      </c>
      <c r="B7">
        <v>0.27032582999999999</v>
      </c>
    </row>
    <row r="8" spans="1:2" x14ac:dyDescent="0.2">
      <c r="A8" s="1">
        <f t="shared" si="0"/>
        <v>9497</v>
      </c>
      <c r="B8">
        <v>0.28102685399999999</v>
      </c>
    </row>
    <row r="9" spans="1:2" x14ac:dyDescent="0.2">
      <c r="A9" s="1">
        <f t="shared" si="0"/>
        <v>9862</v>
      </c>
      <c r="B9">
        <v>0.26797960999999998</v>
      </c>
    </row>
    <row r="10" spans="1:2" x14ac:dyDescent="0.2">
      <c r="A10" s="1">
        <f t="shared" si="0"/>
        <v>10227</v>
      </c>
      <c r="B10">
        <v>0.27108715300000003</v>
      </c>
    </row>
    <row r="11" spans="1:2" x14ac:dyDescent="0.2">
      <c r="A11" s="1">
        <f t="shared" si="0"/>
        <v>10593</v>
      </c>
      <c r="B11">
        <v>0.26873395500000002</v>
      </c>
    </row>
    <row r="12" spans="1:2" x14ac:dyDescent="0.2">
      <c r="A12" s="1">
        <f t="shared" si="0"/>
        <v>10958</v>
      </c>
      <c r="B12">
        <v>0.257142857</v>
      </c>
    </row>
    <row r="13" spans="1:2" x14ac:dyDescent="0.2">
      <c r="A13" s="1">
        <f t="shared" si="0"/>
        <v>11323</v>
      </c>
      <c r="B13">
        <v>0.28245614000000002</v>
      </c>
    </row>
    <row r="14" spans="1:2" x14ac:dyDescent="0.2">
      <c r="A14" s="1">
        <f t="shared" si="0"/>
        <v>11688</v>
      </c>
      <c r="B14">
        <v>0.31555555600000001</v>
      </c>
    </row>
    <row r="15" spans="1:2" x14ac:dyDescent="0.2">
      <c r="A15" s="1">
        <f t="shared" si="0"/>
        <v>12054</v>
      </c>
      <c r="B15">
        <v>0.359625213</v>
      </c>
    </row>
    <row r="16" spans="1:2" x14ac:dyDescent="0.2">
      <c r="A16" s="1">
        <f t="shared" si="0"/>
        <v>12419</v>
      </c>
      <c r="B16">
        <v>0.35301418400000001</v>
      </c>
    </row>
    <row r="17" spans="1:2" x14ac:dyDescent="0.2">
      <c r="A17" s="1">
        <f t="shared" si="0"/>
        <v>12784</v>
      </c>
      <c r="B17">
        <v>0.33121212100000003</v>
      </c>
    </row>
    <row r="18" spans="1:2" x14ac:dyDescent="0.2">
      <c r="A18" s="1">
        <f t="shared" si="0"/>
        <v>13149</v>
      </c>
      <c r="B18">
        <v>0.35306957700000002</v>
      </c>
    </row>
    <row r="19" spans="1:2" x14ac:dyDescent="0.2">
      <c r="A19" s="1">
        <f t="shared" si="0"/>
        <v>13515</v>
      </c>
      <c r="B19">
        <v>0.35262529799999998</v>
      </c>
    </row>
    <row r="20" spans="1:2" x14ac:dyDescent="0.2">
      <c r="A20" s="1">
        <f t="shared" si="0"/>
        <v>13880</v>
      </c>
      <c r="B20">
        <v>0.336343852</v>
      </c>
    </row>
    <row r="21" spans="1:2" x14ac:dyDescent="0.2">
      <c r="A21" s="1">
        <f t="shared" si="0"/>
        <v>14245</v>
      </c>
      <c r="B21">
        <v>0.354471545</v>
      </c>
    </row>
    <row r="22" spans="1:2" x14ac:dyDescent="0.2">
      <c r="A22" s="1">
        <f t="shared" si="0"/>
        <v>14610</v>
      </c>
      <c r="B22">
        <v>0.37039045599999998</v>
      </c>
    </row>
    <row r="23" spans="1:2" x14ac:dyDescent="0.2">
      <c r="A23" s="1">
        <f t="shared" si="0"/>
        <v>14976</v>
      </c>
      <c r="B23">
        <v>0.39102564099999998</v>
      </c>
    </row>
    <row r="24" spans="1:2" x14ac:dyDescent="0.2">
      <c r="A24" s="1">
        <f t="shared" si="0"/>
        <v>15341</v>
      </c>
      <c r="B24">
        <v>0.36716653500000002</v>
      </c>
    </row>
    <row r="25" spans="1:2" x14ac:dyDescent="0.2">
      <c r="A25" s="1">
        <f t="shared" si="0"/>
        <v>15706</v>
      </c>
      <c r="B25">
        <v>0.341939469</v>
      </c>
    </row>
    <row r="26" spans="1:2" x14ac:dyDescent="0.2">
      <c r="A26" s="1">
        <f t="shared" si="0"/>
        <v>16071</v>
      </c>
      <c r="B26">
        <v>0.36374622400000001</v>
      </c>
    </row>
    <row r="27" spans="1:2" x14ac:dyDescent="0.2">
      <c r="A27" s="1">
        <f t="shared" si="0"/>
        <v>16437</v>
      </c>
      <c r="B27">
        <v>0.38826205600000002</v>
      </c>
    </row>
    <row r="28" spans="1:2" x14ac:dyDescent="0.2">
      <c r="A28" s="1">
        <f t="shared" si="0"/>
        <v>16802</v>
      </c>
      <c r="B28">
        <v>0.44497757900000001</v>
      </c>
    </row>
    <row r="29" spans="1:2" x14ac:dyDescent="0.2">
      <c r="A29" s="1">
        <f t="shared" si="0"/>
        <v>17167</v>
      </c>
      <c r="B29">
        <v>0.47911791199999998</v>
      </c>
    </row>
    <row r="30" spans="1:2" x14ac:dyDescent="0.2">
      <c r="A30" s="1">
        <f t="shared" si="0"/>
        <v>17532</v>
      </c>
      <c r="B30">
        <v>0.44436706300000001</v>
      </c>
    </row>
    <row r="31" spans="1:2" x14ac:dyDescent="0.2">
      <c r="A31" s="1">
        <f t="shared" si="0"/>
        <v>17898</v>
      </c>
      <c r="B31">
        <v>0.40509104400000001</v>
      </c>
    </row>
    <row r="32" spans="1:2" x14ac:dyDescent="0.2">
      <c r="A32" s="1">
        <f t="shared" si="0"/>
        <v>18263</v>
      </c>
      <c r="B32">
        <v>0.40351796400000001</v>
      </c>
    </row>
    <row r="33" spans="1:2" x14ac:dyDescent="0.2">
      <c r="A33" s="1">
        <f t="shared" si="0"/>
        <v>18628</v>
      </c>
      <c r="B33">
        <v>0.377255703</v>
      </c>
    </row>
    <row r="34" spans="1:2" x14ac:dyDescent="0.2">
      <c r="A34" s="1">
        <f t="shared" si="0"/>
        <v>18993</v>
      </c>
      <c r="B34">
        <v>0.34155614499999998</v>
      </c>
    </row>
    <row r="35" spans="1:2" x14ac:dyDescent="0.2">
      <c r="A35" s="1">
        <f t="shared" si="0"/>
        <v>19359</v>
      </c>
      <c r="B35">
        <v>0.34018978500000002</v>
      </c>
    </row>
    <row r="36" spans="1:2" x14ac:dyDescent="0.2">
      <c r="A36" s="1">
        <f t="shared" si="0"/>
        <v>19724</v>
      </c>
      <c r="B36">
        <v>0.329633536</v>
      </c>
    </row>
    <row r="37" spans="1:2" x14ac:dyDescent="0.2">
      <c r="A37" s="1">
        <f t="shared" si="0"/>
        <v>20089</v>
      </c>
      <c r="B37">
        <v>0.333753943</v>
      </c>
    </row>
    <row r="38" spans="1:2" x14ac:dyDescent="0.2">
      <c r="A38" s="1">
        <f t="shared" si="0"/>
        <v>20454</v>
      </c>
      <c r="B38">
        <v>0.31620448499999998</v>
      </c>
    </row>
    <row r="39" spans="1:2" x14ac:dyDescent="0.2">
      <c r="A39" s="1">
        <f t="shared" si="0"/>
        <v>20820</v>
      </c>
      <c r="B39">
        <v>0.30349794200000002</v>
      </c>
    </row>
    <row r="40" spans="1:2" x14ac:dyDescent="0.2">
      <c r="A40" s="1">
        <f t="shared" si="0"/>
        <v>21185</v>
      </c>
      <c r="B40">
        <v>0.28937323799999998</v>
      </c>
    </row>
    <row r="41" spans="1:2" x14ac:dyDescent="0.2">
      <c r="A41" s="1">
        <f t="shared" si="0"/>
        <v>21550</v>
      </c>
      <c r="B41">
        <v>0.289083904</v>
      </c>
    </row>
    <row r="42" spans="1:2" x14ac:dyDescent="0.2">
      <c r="A42" s="1">
        <f t="shared" si="0"/>
        <v>21915</v>
      </c>
      <c r="B42">
        <v>0.27635215200000002</v>
      </c>
    </row>
    <row r="43" spans="1:2" x14ac:dyDescent="0.2">
      <c r="A43" s="1">
        <f t="shared" si="0"/>
        <v>22281</v>
      </c>
      <c r="B43">
        <v>0.26728723399999998</v>
      </c>
    </row>
    <row r="44" spans="1:2" x14ac:dyDescent="0.2">
      <c r="A44" s="1">
        <f t="shared" si="0"/>
        <v>22646</v>
      </c>
      <c r="B44">
        <v>0.26651982400000002</v>
      </c>
    </row>
    <row r="45" spans="1:2" x14ac:dyDescent="0.2">
      <c r="A45" s="1">
        <f t="shared" si="0"/>
        <v>23011</v>
      </c>
      <c r="B45">
        <v>0.252347618</v>
      </c>
    </row>
    <row r="46" spans="1:2" x14ac:dyDescent="0.2">
      <c r="A46" s="1">
        <f t="shared" si="0"/>
        <v>23376</v>
      </c>
      <c r="B46">
        <v>0.24813855600000001</v>
      </c>
    </row>
    <row r="47" spans="1:2" x14ac:dyDescent="0.2">
      <c r="A47" s="1">
        <f t="shared" si="0"/>
        <v>23742</v>
      </c>
      <c r="B47">
        <v>0.24156118100000001</v>
      </c>
    </row>
    <row r="48" spans="1:2" x14ac:dyDescent="0.2">
      <c r="A48" s="1">
        <f t="shared" si="0"/>
        <v>24107</v>
      </c>
      <c r="B48">
        <v>0.23334724000000001</v>
      </c>
    </row>
    <row r="49" spans="1:2" x14ac:dyDescent="0.2">
      <c r="A49" s="1">
        <f t="shared" si="0"/>
        <v>24472</v>
      </c>
      <c r="B49">
        <v>0.21835724300000001</v>
      </c>
    </row>
    <row r="50" spans="1:2" x14ac:dyDescent="0.2">
      <c r="A50" s="1">
        <f t="shared" si="0"/>
        <v>24837</v>
      </c>
      <c r="B50">
        <v>0.22020663100000001</v>
      </c>
    </row>
    <row r="51" spans="1:2" x14ac:dyDescent="0.2">
      <c r="A51" s="1">
        <f t="shared" si="0"/>
        <v>25203</v>
      </c>
      <c r="B51">
        <v>0.21697076300000001</v>
      </c>
    </row>
    <row r="52" spans="1:2" x14ac:dyDescent="0.2">
      <c r="A52" s="1">
        <f t="shared" si="0"/>
        <v>25568</v>
      </c>
      <c r="B52">
        <v>0.20713124799999999</v>
      </c>
    </row>
    <row r="53" spans="1:2" x14ac:dyDescent="0.2">
      <c r="A53" s="1">
        <f t="shared" si="0"/>
        <v>25933</v>
      </c>
      <c r="B53">
        <v>0.20649138</v>
      </c>
    </row>
    <row r="54" spans="1:2" x14ac:dyDescent="0.2">
      <c r="A54" s="1">
        <f t="shared" si="0"/>
        <v>26298</v>
      </c>
      <c r="B54">
        <v>0.20260915900000001</v>
      </c>
    </row>
    <row r="55" spans="1:2" x14ac:dyDescent="0.2">
      <c r="A55" s="1">
        <f t="shared" si="0"/>
        <v>26664</v>
      </c>
      <c r="B55">
        <v>0.201308668</v>
      </c>
    </row>
    <row r="56" spans="1:2" x14ac:dyDescent="0.2">
      <c r="A56" s="1">
        <f t="shared" si="0"/>
        <v>27029</v>
      </c>
      <c r="B56">
        <v>0.190190263</v>
      </c>
    </row>
    <row r="57" spans="1:2" x14ac:dyDescent="0.2">
      <c r="A57" s="1">
        <f t="shared" si="0"/>
        <v>27394</v>
      </c>
      <c r="B57">
        <v>0.18286095399999999</v>
      </c>
    </row>
    <row r="58" spans="1:2" x14ac:dyDescent="0.2">
      <c r="A58" s="1">
        <f t="shared" si="0"/>
        <v>27759</v>
      </c>
      <c r="B58">
        <v>0.175306833</v>
      </c>
    </row>
    <row r="59" spans="1:2" x14ac:dyDescent="0.2">
      <c r="A59" s="1">
        <f t="shared" si="0"/>
        <v>28125</v>
      </c>
      <c r="B59">
        <v>0.16781760400000001</v>
      </c>
    </row>
    <row r="60" spans="1:2" x14ac:dyDescent="0.2">
      <c r="A60" s="1">
        <f t="shared" si="0"/>
        <v>28490</v>
      </c>
      <c r="B60">
        <v>0.162996897</v>
      </c>
    </row>
    <row r="61" spans="1:2" x14ac:dyDescent="0.2">
      <c r="A61" s="1">
        <f t="shared" si="0"/>
        <v>28855</v>
      </c>
      <c r="B61">
        <v>0.155767722</v>
      </c>
    </row>
    <row r="62" spans="1:2" x14ac:dyDescent="0.2">
      <c r="A62" s="1">
        <f t="shared" si="0"/>
        <v>29220</v>
      </c>
      <c r="B62">
        <v>0.14901256700000001</v>
      </c>
    </row>
    <row r="63" spans="1:2" x14ac:dyDescent="0.2">
      <c r="A63" s="1">
        <f t="shared" si="0"/>
        <v>29586</v>
      </c>
      <c r="B63">
        <v>0.146515548</v>
      </c>
    </row>
    <row r="64" spans="1:2" x14ac:dyDescent="0.2">
      <c r="A64" s="1">
        <f t="shared" si="0"/>
        <v>29951</v>
      </c>
      <c r="B64">
        <v>0.139663554</v>
      </c>
    </row>
    <row r="65" spans="1:2" x14ac:dyDescent="0.2">
      <c r="A65" s="1">
        <f t="shared" si="0"/>
        <v>30316</v>
      </c>
      <c r="B65">
        <v>0.15436454299999999</v>
      </c>
    </row>
    <row r="66" spans="1:2" x14ac:dyDescent="0.2">
      <c r="A66" s="1">
        <f t="shared" si="0"/>
        <v>30681</v>
      </c>
      <c r="B66">
        <v>0.21986914599999999</v>
      </c>
    </row>
    <row r="67" spans="1:2" x14ac:dyDescent="0.2">
      <c r="A67" s="1">
        <f t="shared" si="0"/>
        <v>31047</v>
      </c>
      <c r="B67">
        <v>0.203637981</v>
      </c>
    </row>
    <row r="68" spans="1:2" x14ac:dyDescent="0.2">
      <c r="A68" s="1">
        <f t="shared" ref="A68:A102" si="1">EDATE(A67,12)</f>
        <v>31412</v>
      </c>
      <c r="B68">
        <v>0.22008591999999999</v>
      </c>
    </row>
    <row r="69" spans="1:2" x14ac:dyDescent="0.2">
      <c r="A69" s="1">
        <f t="shared" si="1"/>
        <v>31777</v>
      </c>
      <c r="B69">
        <v>0.248742203</v>
      </c>
    </row>
    <row r="70" spans="1:2" x14ac:dyDescent="0.2">
      <c r="A70" s="1">
        <f t="shared" si="1"/>
        <v>32142</v>
      </c>
      <c r="B70">
        <v>0.23407523499999999</v>
      </c>
    </row>
    <row r="71" spans="1:2" x14ac:dyDescent="0.2">
      <c r="A71" s="1">
        <f t="shared" si="1"/>
        <v>32508</v>
      </c>
      <c r="B71">
        <v>0.22219788500000001</v>
      </c>
    </row>
    <row r="72" spans="1:2" x14ac:dyDescent="0.2">
      <c r="A72" s="1">
        <f t="shared" si="1"/>
        <v>32873</v>
      </c>
      <c r="B72">
        <v>0.20760574800000001</v>
      </c>
    </row>
    <row r="73" spans="1:2" x14ac:dyDescent="0.2">
      <c r="A73" s="1">
        <f t="shared" si="1"/>
        <v>33238</v>
      </c>
      <c r="B73">
        <v>0.20539654600000001</v>
      </c>
    </row>
    <row r="74" spans="1:2" x14ac:dyDescent="0.2">
      <c r="A74" s="1">
        <f t="shared" si="1"/>
        <v>33603</v>
      </c>
      <c r="B74">
        <v>0.218008331</v>
      </c>
    </row>
    <row r="75" spans="1:2" x14ac:dyDescent="0.2">
      <c r="A75" s="1">
        <f t="shared" si="1"/>
        <v>33969</v>
      </c>
      <c r="B75">
        <v>0.23066877499999999</v>
      </c>
    </row>
    <row r="76" spans="1:2" x14ac:dyDescent="0.2">
      <c r="A76" s="1">
        <f t="shared" si="1"/>
        <v>34334</v>
      </c>
      <c r="B76">
        <v>0.23470390899999999</v>
      </c>
    </row>
    <row r="77" spans="1:2" x14ac:dyDescent="0.2">
      <c r="A77" s="1">
        <f t="shared" si="1"/>
        <v>34699</v>
      </c>
      <c r="B77">
        <v>0.21959735999999999</v>
      </c>
    </row>
    <row r="78" spans="1:2" x14ac:dyDescent="0.2">
      <c r="A78" s="1">
        <f t="shared" si="1"/>
        <v>35064</v>
      </c>
      <c r="B78">
        <v>0.21267202900000001</v>
      </c>
    </row>
    <row r="79" spans="1:2" x14ac:dyDescent="0.2">
      <c r="A79" s="1">
        <f t="shared" si="1"/>
        <v>35430</v>
      </c>
      <c r="B79">
        <v>0.20579713199999999</v>
      </c>
    </row>
    <row r="80" spans="1:2" x14ac:dyDescent="0.2">
      <c r="A80" s="1">
        <f t="shared" si="1"/>
        <v>35795</v>
      </c>
      <c r="B80">
        <v>0.20337424700000001</v>
      </c>
    </row>
    <row r="81" spans="1:2" x14ac:dyDescent="0.2">
      <c r="A81" s="1">
        <f t="shared" si="1"/>
        <v>36160</v>
      </c>
      <c r="B81">
        <v>0.21131533699999999</v>
      </c>
    </row>
    <row r="82" spans="1:2" x14ac:dyDescent="0.2">
      <c r="A82" s="1">
        <f t="shared" si="1"/>
        <v>36525</v>
      </c>
      <c r="B82">
        <v>0.20601929499999999</v>
      </c>
    </row>
    <row r="83" spans="1:2" x14ac:dyDescent="0.2">
      <c r="A83" s="1">
        <f t="shared" si="1"/>
        <v>36891</v>
      </c>
      <c r="B83">
        <v>0.20561001600000001</v>
      </c>
    </row>
    <row r="84" spans="1:2" x14ac:dyDescent="0.2">
      <c r="A84" s="1">
        <f t="shared" si="1"/>
        <v>37256</v>
      </c>
      <c r="B84">
        <v>0.23104207399999999</v>
      </c>
    </row>
    <row r="85" spans="1:2" x14ac:dyDescent="0.2">
      <c r="A85" s="1">
        <f t="shared" si="1"/>
        <v>37621</v>
      </c>
      <c r="B85">
        <v>0.248755276</v>
      </c>
    </row>
    <row r="86" spans="1:2" x14ac:dyDescent="0.2">
      <c r="A86" s="1">
        <f t="shared" si="1"/>
        <v>37986</v>
      </c>
      <c r="B86">
        <v>0.264675357</v>
      </c>
    </row>
    <row r="87" spans="1:2" x14ac:dyDescent="0.2">
      <c r="A87" s="1">
        <f t="shared" si="1"/>
        <v>38352</v>
      </c>
      <c r="B87">
        <v>0.27117703999999998</v>
      </c>
    </row>
    <row r="88" spans="1:2" x14ac:dyDescent="0.2">
      <c r="A88" s="1">
        <f t="shared" si="1"/>
        <v>38717</v>
      </c>
      <c r="B88">
        <v>0.26273506899999999</v>
      </c>
    </row>
    <row r="89" spans="1:2" x14ac:dyDescent="0.2">
      <c r="A89" s="1">
        <f t="shared" si="1"/>
        <v>39082</v>
      </c>
      <c r="B89">
        <v>0.26148913699999998</v>
      </c>
    </row>
    <row r="90" spans="1:2" x14ac:dyDescent="0.2">
      <c r="A90" s="1">
        <f t="shared" si="1"/>
        <v>39447</v>
      </c>
      <c r="B90">
        <v>0.25829597900000001</v>
      </c>
    </row>
    <row r="91" spans="1:2" x14ac:dyDescent="0.2">
      <c r="A91" s="1">
        <f t="shared" si="1"/>
        <v>39813</v>
      </c>
      <c r="B91">
        <v>0.28519103600000001</v>
      </c>
    </row>
    <row r="92" spans="1:2" x14ac:dyDescent="0.2">
      <c r="A92" s="1">
        <f t="shared" si="1"/>
        <v>40178</v>
      </c>
      <c r="B92">
        <v>0.32586552800000002</v>
      </c>
    </row>
    <row r="93" spans="1:2" x14ac:dyDescent="0.2">
      <c r="A93" s="1">
        <f t="shared" si="1"/>
        <v>40543</v>
      </c>
      <c r="B93">
        <v>0.342259859</v>
      </c>
    </row>
    <row r="94" spans="1:2" x14ac:dyDescent="0.2">
      <c r="A94" s="1">
        <f t="shared" si="1"/>
        <v>40908</v>
      </c>
      <c r="B94">
        <v>0.37819072500000001</v>
      </c>
    </row>
    <row r="95" spans="1:2" x14ac:dyDescent="0.2">
      <c r="A95" s="1">
        <f t="shared" si="1"/>
        <v>41274</v>
      </c>
      <c r="B95">
        <v>0.41845128700000001</v>
      </c>
    </row>
    <row r="96" spans="1:2" x14ac:dyDescent="0.2">
      <c r="A96" s="1">
        <f t="shared" si="1"/>
        <v>41639</v>
      </c>
      <c r="B96">
        <v>0.429639365</v>
      </c>
    </row>
    <row r="97" spans="1:2" x14ac:dyDescent="0.2">
      <c r="A97" s="1">
        <f t="shared" si="1"/>
        <v>42004</v>
      </c>
      <c r="B97">
        <v>0.43801289500000001</v>
      </c>
    </row>
    <row r="98" spans="1:2" x14ac:dyDescent="0.2">
      <c r="A98" s="1">
        <f t="shared" si="1"/>
        <v>42369</v>
      </c>
      <c r="B98">
        <v>0.43138387299999997</v>
      </c>
    </row>
    <row r="99" spans="1:2" x14ac:dyDescent="0.2">
      <c r="A99" s="1">
        <f t="shared" si="1"/>
        <v>42735</v>
      </c>
      <c r="B99">
        <v>0.45679419599999999</v>
      </c>
    </row>
    <row r="100" spans="1:2" x14ac:dyDescent="0.2">
      <c r="A100" s="1">
        <f t="shared" si="1"/>
        <v>43100</v>
      </c>
      <c r="B100">
        <v>0.45672215500000002</v>
      </c>
    </row>
    <row r="101" spans="1:2" x14ac:dyDescent="0.2">
      <c r="A101" s="1">
        <f t="shared" si="1"/>
        <v>43465</v>
      </c>
      <c r="B101">
        <v>0.44391661399999999</v>
      </c>
    </row>
    <row r="102" spans="1:2" x14ac:dyDescent="0.2">
      <c r="A102" s="1">
        <f t="shared" si="1"/>
        <v>43830</v>
      </c>
      <c r="B102">
        <v>0.44911678199999999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54A2-810A-4549-82B3-EBA2700CC077}">
  <dimension ref="A1:J19"/>
  <sheetViews>
    <sheetView tabSelected="1" zoomScale="125" workbookViewId="0">
      <selection activeCell="B20" sqref="B20"/>
    </sheetView>
  </sheetViews>
  <sheetFormatPr baseColWidth="10" defaultRowHeight="16" x14ac:dyDescent="0.2"/>
  <cols>
    <col min="1" max="1" width="15.5" bestFit="1" customWidth="1"/>
    <col min="2" max="2" width="21.1640625" bestFit="1" customWidth="1"/>
    <col min="10" max="10" width="10.83203125" style="8"/>
  </cols>
  <sheetData>
    <row r="1" spans="1:10" x14ac:dyDescent="0.2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10" x14ac:dyDescent="0.2">
      <c r="B2">
        <f>22.8/100</f>
        <v>0.22800000000000001</v>
      </c>
      <c r="C2">
        <f>17.7/100</f>
        <v>0.17699999999999999</v>
      </c>
      <c r="D2">
        <f>18.3/100</f>
        <v>0.183</v>
      </c>
      <c r="E2">
        <f>12.8/100</f>
        <v>0.128</v>
      </c>
      <c r="F2">
        <f>16/100</f>
        <v>0.16</v>
      </c>
      <c r="G2">
        <f>12.4/100</f>
        <v>0.124</v>
      </c>
    </row>
    <row r="3" spans="1:10" x14ac:dyDescent="0.2">
      <c r="A3" t="s">
        <v>38</v>
      </c>
      <c r="B3">
        <v>260</v>
      </c>
      <c r="C3">
        <v>322</v>
      </c>
      <c r="D3">
        <v>272</v>
      </c>
      <c r="E3">
        <v>306</v>
      </c>
      <c r="F3">
        <v>413</v>
      </c>
      <c r="G3">
        <v>285</v>
      </c>
    </row>
    <row r="4" spans="1:10" x14ac:dyDescent="0.2">
      <c r="A4" t="s">
        <v>45</v>
      </c>
      <c r="B4">
        <v>130</v>
      </c>
      <c r="C4">
        <v>191</v>
      </c>
      <c r="D4">
        <v>418</v>
      </c>
      <c r="E4">
        <v>460</v>
      </c>
      <c r="F4">
        <v>680</v>
      </c>
      <c r="G4">
        <v>1274</v>
      </c>
    </row>
    <row r="5" spans="1:10" x14ac:dyDescent="0.2">
      <c r="A5" t="s">
        <v>46</v>
      </c>
      <c r="B5">
        <v>40</v>
      </c>
      <c r="C5">
        <v>61</v>
      </c>
      <c r="D5">
        <v>65</v>
      </c>
      <c r="E5">
        <v>73</v>
      </c>
      <c r="F5">
        <v>114</v>
      </c>
      <c r="G5">
        <v>379</v>
      </c>
    </row>
    <row r="6" spans="1:10" x14ac:dyDescent="0.2">
      <c r="A6" t="s">
        <v>47</v>
      </c>
      <c r="B6">
        <v>121</v>
      </c>
      <c r="C6">
        <v>73</v>
      </c>
      <c r="D6">
        <v>90</v>
      </c>
      <c r="E6">
        <v>232</v>
      </c>
      <c r="F6">
        <v>101</v>
      </c>
      <c r="G6">
        <v>116</v>
      </c>
    </row>
    <row r="7" spans="1:10" x14ac:dyDescent="0.2">
      <c r="A7" t="s">
        <v>48</v>
      </c>
      <c r="B7">
        <v>249</v>
      </c>
      <c r="C7">
        <v>472</v>
      </c>
      <c r="D7">
        <v>480</v>
      </c>
      <c r="E7">
        <v>958</v>
      </c>
      <c r="F7">
        <v>697</v>
      </c>
      <c r="G7">
        <v>701</v>
      </c>
    </row>
    <row r="8" spans="1:10" x14ac:dyDescent="0.2">
      <c r="I8" t="s">
        <v>54</v>
      </c>
      <c r="J8" s="8" t="s">
        <v>55</v>
      </c>
    </row>
    <row r="9" spans="1:10" x14ac:dyDescent="0.2">
      <c r="A9" t="s">
        <v>38</v>
      </c>
      <c r="B9">
        <f>B3*$B$2</f>
        <v>59.28</v>
      </c>
      <c r="C9">
        <f>C3*$C$2</f>
        <v>56.994</v>
      </c>
      <c r="D9">
        <f>D3*$D$2</f>
        <v>49.775999999999996</v>
      </c>
      <c r="E9">
        <f>E3*$E$2</f>
        <v>39.167999999999999</v>
      </c>
      <c r="F9">
        <f>F3*$F$2</f>
        <v>66.08</v>
      </c>
      <c r="G9">
        <f>G3*$G$2</f>
        <v>35.339999999999996</v>
      </c>
      <c r="H9">
        <f>SUM(B9:G9)</f>
        <v>306.63799999999998</v>
      </c>
      <c r="I9" s="8">
        <f>H9/$H$14</f>
        <v>0.19846220559586294</v>
      </c>
      <c r="J9" s="8">
        <v>2.8E-3</v>
      </c>
    </row>
    <row r="10" spans="1:10" x14ac:dyDescent="0.2">
      <c r="A10" t="s">
        <v>45</v>
      </c>
      <c r="B10">
        <f t="shared" ref="B10:B13" si="0">B4*$B$2</f>
        <v>29.64</v>
      </c>
      <c r="C10">
        <f t="shared" ref="C10:C13" si="1">C4*$C$2</f>
        <v>33.806999999999995</v>
      </c>
      <c r="D10">
        <f t="shared" ref="D10:D13" si="2">D4*$D$2</f>
        <v>76.494</v>
      </c>
      <c r="E10">
        <f t="shared" ref="E10:E13" si="3">E4*$E$2</f>
        <v>58.88</v>
      </c>
      <c r="F10">
        <f t="shared" ref="F10:F13" si="4">F4*$F$2</f>
        <v>108.8</v>
      </c>
      <c r="G10">
        <f t="shared" ref="G10:G13" si="5">G4*$G$2</f>
        <v>157.976</v>
      </c>
      <c r="H10">
        <f t="shared" ref="H10:H13" si="6">SUM(B10:G10)</f>
        <v>465.59699999999998</v>
      </c>
      <c r="I10" s="8">
        <f t="shared" ref="I10:I13" si="7">H10/$H$14</f>
        <v>0.30134362844401869</v>
      </c>
      <c r="J10" s="8">
        <f>(2.04+2.49)/200</f>
        <v>2.265E-2</v>
      </c>
    </row>
    <row r="11" spans="1:10" x14ac:dyDescent="0.2">
      <c r="A11" t="s">
        <v>49</v>
      </c>
      <c r="B11">
        <f t="shared" si="0"/>
        <v>9.120000000000001</v>
      </c>
      <c r="C11">
        <f t="shared" si="1"/>
        <v>10.796999999999999</v>
      </c>
      <c r="D11">
        <f t="shared" si="2"/>
        <v>11.895</v>
      </c>
      <c r="E11">
        <f t="shared" si="3"/>
        <v>9.3439999999999994</v>
      </c>
      <c r="F11">
        <f t="shared" si="4"/>
        <v>18.240000000000002</v>
      </c>
      <c r="G11">
        <f t="shared" si="5"/>
        <v>46.996000000000002</v>
      </c>
      <c r="H11">
        <f t="shared" si="6"/>
        <v>106.392</v>
      </c>
      <c r="I11" s="8">
        <f t="shared" si="7"/>
        <v>6.8859016096358083E-2</v>
      </c>
      <c r="J11" s="8">
        <f>1.89/100</f>
        <v>1.89E-2</v>
      </c>
    </row>
    <row r="12" spans="1:10" x14ac:dyDescent="0.2">
      <c r="A12" t="s">
        <v>47</v>
      </c>
      <c r="B12">
        <f t="shared" si="0"/>
        <v>27.588000000000001</v>
      </c>
      <c r="C12">
        <f t="shared" si="1"/>
        <v>12.920999999999999</v>
      </c>
      <c r="D12">
        <f t="shared" si="2"/>
        <v>16.47</v>
      </c>
      <c r="E12">
        <f t="shared" si="3"/>
        <v>29.696000000000002</v>
      </c>
      <c r="F12">
        <f t="shared" si="4"/>
        <v>16.16</v>
      </c>
      <c r="G12">
        <f t="shared" si="5"/>
        <v>14.384</v>
      </c>
      <c r="H12">
        <f t="shared" si="6"/>
        <v>117.21899999999999</v>
      </c>
      <c r="I12" s="8">
        <f t="shared" si="7"/>
        <v>7.5866465597027949E-2</v>
      </c>
    </row>
    <row r="13" spans="1:10" x14ac:dyDescent="0.2">
      <c r="A13" t="s">
        <v>48</v>
      </c>
      <c r="B13">
        <f t="shared" si="0"/>
        <v>56.772000000000006</v>
      </c>
      <c r="C13">
        <f t="shared" si="1"/>
        <v>83.543999999999997</v>
      </c>
      <c r="D13">
        <f t="shared" si="2"/>
        <v>87.84</v>
      </c>
      <c r="E13">
        <f t="shared" si="3"/>
        <v>122.62400000000001</v>
      </c>
      <c r="F13">
        <f t="shared" si="4"/>
        <v>111.52</v>
      </c>
      <c r="G13">
        <f t="shared" si="5"/>
        <v>86.923999999999992</v>
      </c>
      <c r="H13">
        <f t="shared" si="6"/>
        <v>549.22400000000005</v>
      </c>
      <c r="I13" s="8">
        <f t="shared" si="7"/>
        <v>0.35546868426673223</v>
      </c>
      <c r="J13" s="8">
        <f>0.84/100</f>
        <v>8.3999999999999995E-3</v>
      </c>
    </row>
    <row r="14" spans="1:10" x14ac:dyDescent="0.2">
      <c r="H14">
        <f>SUM(H9:H13)</f>
        <v>1545.0700000000002</v>
      </c>
    </row>
    <row r="16" spans="1:10" x14ac:dyDescent="0.2">
      <c r="A16" t="s">
        <v>50</v>
      </c>
      <c r="B16" s="8">
        <f>J13</f>
        <v>8.3999999999999995E-3</v>
      </c>
    </row>
    <row r="17" spans="1:2" x14ac:dyDescent="0.2">
      <c r="A17" t="s">
        <v>51</v>
      </c>
      <c r="B17" s="8">
        <f>(J10*I10+J11*I11)/(I10+I11)</f>
        <v>2.1952486586280504E-2</v>
      </c>
    </row>
    <row r="18" spans="1:2" x14ac:dyDescent="0.2">
      <c r="A18" t="s">
        <v>52</v>
      </c>
      <c r="B18" s="8">
        <f>(B16*(I12+I13)+B17*(I10+I11))/(1-I9)</f>
        <v>1.4659425830404896E-2</v>
      </c>
    </row>
    <row r="19" spans="1:2" x14ac:dyDescent="0.2">
      <c r="A19" t="s">
        <v>53</v>
      </c>
      <c r="B19" s="9">
        <f>J9</f>
        <v>2.8E-3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GDP</vt:lpstr>
      <vt:lpstr>M1</vt:lpstr>
      <vt:lpstr>Inflation</vt:lpstr>
      <vt:lpstr>Yield3M</vt:lpstr>
      <vt:lpstr>Deposit Rate</vt:lpstr>
      <vt:lpstr>Loan Rate</vt:lpstr>
      <vt:lpstr>Required Reserves</vt:lpstr>
      <vt:lpstr>Commercial Loan Rate</vt:lpstr>
      <vt:lpstr>M1GDP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Venturi, Giulio Carlo</dc:creator>
  <cp:lastModifiedBy>Venturi, Giulio Carlo</cp:lastModifiedBy>
  <dcterms:created xsi:type="dcterms:W3CDTF">2023-11-15T08:28:04Z</dcterms:created>
  <dcterms:modified xsi:type="dcterms:W3CDTF">2023-11-15T18:08:56Z</dcterms:modified>
</cp:coreProperties>
</file>