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filterPrivacy="1" codeName="ThisWorkbook" defaultThemeVersion="166925"/>
  <xr:revisionPtr revIDLastSave="0" documentId="13_ncr:1_{F4693B08-6905-DE41-82FC-9C3400E6254F}" xr6:coauthVersionLast="47" xr6:coauthVersionMax="47" xr10:uidLastSave="{00000000-0000-0000-0000-000000000000}"/>
  <bookViews>
    <workbookView xWindow="20500" yWindow="4640" windowWidth="55080" windowHeight="34260" activeTab="6" xr2:uid="{00000000-000D-0000-FFFF-FFFF00000000}"/>
  </bookViews>
  <sheets>
    <sheet name="Attivo" sheetId="3" r:id="rId1"/>
    <sheet name="Attivo_Sintetico" sheetId="4" r:id="rId2"/>
    <sheet name="Conto Economico" sheetId="12" r:id="rId3"/>
    <sheet name="Depositi" sheetId="8" r:id="rId4"/>
    <sheet name="Depositi_Sintetico" sheetId="9" r:id="rId5"/>
    <sheet name="Prestiti" sheetId="13" r:id="rId6"/>
    <sheet name="Prestiti Sintetico" sheetId="14" r:id="rId7"/>
    <sheet name="Depositi_Tassi" sheetId="10" r:id="rId8"/>
    <sheet name="Prestiti_Tassi" sheetId="11" r:id="rId9"/>
    <sheet name="Passivo" sheetId="2" r:id="rId10"/>
    <sheet name="Passivo_Sintetico" sheetId="5" r:id="rId11"/>
    <sheet name="Inflation" sheetId="7" r:id="rId12"/>
  </sheets>
  <definedNames>
    <definedName name="JR_PAGE_ANCHOR_0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4" l="1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120" i="14"/>
  <c r="Q121" i="14"/>
  <c r="Q122" i="14"/>
  <c r="Q123" i="14"/>
  <c r="Q124" i="14"/>
  <c r="Q125" i="14"/>
  <c r="Q126" i="14"/>
  <c r="Q127" i="14"/>
  <c r="Q128" i="14"/>
  <c r="Q129" i="14"/>
  <c r="Q130" i="14"/>
  <c r="Q131" i="14"/>
  <c r="Q132" i="14"/>
  <c r="Q133" i="14"/>
  <c r="Q134" i="14"/>
  <c r="Q135" i="14"/>
  <c r="Q136" i="14"/>
  <c r="Q137" i="14"/>
  <c r="Q138" i="14"/>
  <c r="Q139" i="14"/>
  <c r="Q140" i="14"/>
  <c r="Q141" i="14"/>
  <c r="Q142" i="14"/>
  <c r="Q143" i="14"/>
  <c r="Q144" i="14"/>
  <c r="Q145" i="14"/>
  <c r="Q146" i="14"/>
  <c r="Q147" i="14"/>
  <c r="Q148" i="14"/>
  <c r="Q149" i="14"/>
  <c r="Q150" i="14"/>
  <c r="Q151" i="14"/>
  <c r="Q152" i="14"/>
  <c r="Q153" i="14"/>
  <c r="Q154" i="14"/>
  <c r="Q155" i="14"/>
  <c r="Q156" i="14"/>
  <c r="Q157" i="14"/>
  <c r="Q158" i="14"/>
  <c r="Q159" i="14"/>
  <c r="Q160" i="14"/>
  <c r="Q161" i="14"/>
  <c r="Q162" i="14"/>
  <c r="Q163" i="14"/>
  <c r="Q164" i="14"/>
  <c r="Q165" i="14"/>
  <c r="Q166" i="14"/>
  <c r="Q167" i="14"/>
  <c r="Q168" i="14"/>
  <c r="Q169" i="14"/>
  <c r="Q170" i="14"/>
  <c r="Q171" i="14"/>
  <c r="Q172" i="14"/>
  <c r="Q173" i="14"/>
  <c r="Q174" i="14"/>
  <c r="Q175" i="14"/>
  <c r="Q176" i="14"/>
  <c r="Q177" i="14"/>
  <c r="Q178" i="14"/>
  <c r="Q179" i="14"/>
  <c r="Q180" i="14"/>
  <c r="Q181" i="14"/>
  <c r="Q182" i="14"/>
  <c r="Q183" i="14"/>
  <c r="Q184" i="14"/>
  <c r="Q185" i="14"/>
  <c r="Q186" i="14"/>
  <c r="Q187" i="14"/>
  <c r="Q188" i="14"/>
  <c r="Q189" i="14"/>
  <c r="Q190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Q203" i="14"/>
  <c r="Q204" i="14"/>
  <c r="Q205" i="14"/>
  <c r="Q206" i="14"/>
  <c r="Q207" i="14"/>
  <c r="Q208" i="14"/>
  <c r="Q209" i="14"/>
  <c r="Q210" i="14"/>
  <c r="Q211" i="14"/>
  <c r="Q212" i="14"/>
  <c r="Q213" i="14"/>
  <c r="Q214" i="14"/>
  <c r="Q215" i="14"/>
  <c r="Q216" i="14"/>
  <c r="Q217" i="14"/>
  <c r="Q218" i="14"/>
  <c r="Q219" i="14"/>
  <c r="Q220" i="14"/>
  <c r="Q221" i="14"/>
  <c r="Q222" i="14"/>
  <c r="Q223" i="14"/>
  <c r="Q224" i="14"/>
  <c r="Q225" i="14"/>
  <c r="Q226" i="14"/>
  <c r="Q227" i="14"/>
  <c r="Q228" i="14"/>
  <c r="Q229" i="14"/>
  <c r="Q230" i="14"/>
  <c r="Q231" i="14"/>
  <c r="Q232" i="14"/>
  <c r="Q233" i="14"/>
  <c r="Q234" i="14"/>
  <c r="Q235" i="14"/>
  <c r="Q236" i="14"/>
  <c r="Q237" i="14"/>
  <c r="Q238" i="14"/>
  <c r="Q239" i="14"/>
  <c r="Q240" i="14"/>
  <c r="Q241" i="14"/>
  <c r="Q242" i="14"/>
  <c r="Q243" i="14"/>
  <c r="Q244" i="14"/>
  <c r="Q245" i="14"/>
  <c r="Q246" i="14"/>
  <c r="Q247" i="14"/>
  <c r="Q248" i="14"/>
  <c r="Q249" i="14"/>
  <c r="Q250" i="14"/>
  <c r="Q251" i="14"/>
  <c r="Q252" i="14"/>
  <c r="Q253" i="14"/>
  <c r="Q254" i="14"/>
  <c r="Q255" i="14"/>
  <c r="Q256" i="14"/>
  <c r="Q257" i="14"/>
  <c r="Q258" i="14"/>
  <c r="Q259" i="14"/>
  <c r="Q260" i="14"/>
  <c r="Q261" i="14"/>
  <c r="Q262" i="14"/>
  <c r="Q263" i="14"/>
  <c r="Q264" i="14"/>
  <c r="Q265" i="14"/>
  <c r="Q266" i="14"/>
  <c r="Q267" i="14"/>
  <c r="Q268" i="14"/>
  <c r="Q269" i="14"/>
  <c r="Q270" i="14"/>
  <c r="Q271" i="14"/>
  <c r="Q272" i="14"/>
  <c r="Q273" i="14"/>
  <c r="Q274" i="14"/>
  <c r="Q275" i="14"/>
  <c r="Q276" i="14"/>
  <c r="Q277" i="14"/>
  <c r="Q278" i="14"/>
  <c r="Q279" i="14"/>
  <c r="Q280" i="14"/>
  <c r="Q281" i="14"/>
  <c r="Q282" i="14"/>
  <c r="Q283" i="14"/>
  <c r="Q284" i="14"/>
  <c r="Q285" i="14"/>
  <c r="Q286" i="14"/>
  <c r="Q287" i="14"/>
  <c r="Q288" i="14"/>
  <c r="Q289" i="14"/>
  <c r="Q290" i="14"/>
  <c r="Q291" i="14"/>
  <c r="Q292" i="14"/>
  <c r="Q293" i="14"/>
  <c r="Q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3" i="14"/>
  <c r="B4" i="14"/>
  <c r="C4" i="14"/>
  <c r="D4" i="14"/>
  <c r="E4" i="14"/>
  <c r="F4" i="14"/>
  <c r="G4" i="14"/>
  <c r="B5" i="14"/>
  <c r="C5" i="14"/>
  <c r="D5" i="14"/>
  <c r="E5" i="14"/>
  <c r="F5" i="14"/>
  <c r="G5" i="14"/>
  <c r="B6" i="14"/>
  <c r="C6" i="14"/>
  <c r="D6" i="14"/>
  <c r="E6" i="14"/>
  <c r="F6" i="14"/>
  <c r="G6" i="14"/>
  <c r="B7" i="14"/>
  <c r="C7" i="14"/>
  <c r="D7" i="14"/>
  <c r="E7" i="14"/>
  <c r="F7" i="14"/>
  <c r="G7" i="14"/>
  <c r="B8" i="14"/>
  <c r="C8" i="14"/>
  <c r="D8" i="14"/>
  <c r="E8" i="14"/>
  <c r="F8" i="14"/>
  <c r="G8" i="14"/>
  <c r="B9" i="14"/>
  <c r="C9" i="14"/>
  <c r="D9" i="14"/>
  <c r="E9" i="14"/>
  <c r="F9" i="14"/>
  <c r="G9" i="14"/>
  <c r="B10" i="14"/>
  <c r="C10" i="14"/>
  <c r="D10" i="14"/>
  <c r="E10" i="14"/>
  <c r="F10" i="14"/>
  <c r="G10" i="14"/>
  <c r="B11" i="14"/>
  <c r="C11" i="14"/>
  <c r="D11" i="14"/>
  <c r="E11" i="14"/>
  <c r="F11" i="14"/>
  <c r="G11" i="14"/>
  <c r="B12" i="14"/>
  <c r="C12" i="14"/>
  <c r="D12" i="14"/>
  <c r="E12" i="14"/>
  <c r="F12" i="14"/>
  <c r="G12" i="14"/>
  <c r="B13" i="14"/>
  <c r="C13" i="14"/>
  <c r="D13" i="14"/>
  <c r="E13" i="14"/>
  <c r="F13" i="14"/>
  <c r="G13" i="14"/>
  <c r="B14" i="14"/>
  <c r="C14" i="14"/>
  <c r="D14" i="14"/>
  <c r="E14" i="14"/>
  <c r="F14" i="14"/>
  <c r="G14" i="14"/>
  <c r="B15" i="14"/>
  <c r="C15" i="14"/>
  <c r="D15" i="14"/>
  <c r="E15" i="14"/>
  <c r="F15" i="14"/>
  <c r="G15" i="14"/>
  <c r="B16" i="14"/>
  <c r="C16" i="14"/>
  <c r="D16" i="14"/>
  <c r="E16" i="14"/>
  <c r="F16" i="14"/>
  <c r="G16" i="14"/>
  <c r="B17" i="14"/>
  <c r="C17" i="14"/>
  <c r="D17" i="14"/>
  <c r="E17" i="14"/>
  <c r="F17" i="14"/>
  <c r="G17" i="14"/>
  <c r="B18" i="14"/>
  <c r="C18" i="14"/>
  <c r="D18" i="14"/>
  <c r="E18" i="14"/>
  <c r="F18" i="14"/>
  <c r="G18" i="14"/>
  <c r="B19" i="14"/>
  <c r="C19" i="14"/>
  <c r="D19" i="14"/>
  <c r="E19" i="14"/>
  <c r="F19" i="14"/>
  <c r="G19" i="14"/>
  <c r="B20" i="14"/>
  <c r="C20" i="14"/>
  <c r="D20" i="14"/>
  <c r="E20" i="14"/>
  <c r="F20" i="14"/>
  <c r="G20" i="14"/>
  <c r="B21" i="14"/>
  <c r="C21" i="14"/>
  <c r="D21" i="14"/>
  <c r="E21" i="14"/>
  <c r="F21" i="14"/>
  <c r="G21" i="14"/>
  <c r="B22" i="14"/>
  <c r="C22" i="14"/>
  <c r="D22" i="14"/>
  <c r="E22" i="14"/>
  <c r="F22" i="14"/>
  <c r="G22" i="14"/>
  <c r="B23" i="14"/>
  <c r="C23" i="14"/>
  <c r="D23" i="14"/>
  <c r="E23" i="14"/>
  <c r="F23" i="14"/>
  <c r="G23" i="14"/>
  <c r="B24" i="14"/>
  <c r="C24" i="14"/>
  <c r="D24" i="14"/>
  <c r="E24" i="14"/>
  <c r="F24" i="14"/>
  <c r="G24" i="14"/>
  <c r="B25" i="14"/>
  <c r="C25" i="14"/>
  <c r="D25" i="14"/>
  <c r="E25" i="14"/>
  <c r="F25" i="14"/>
  <c r="G25" i="14"/>
  <c r="B26" i="14"/>
  <c r="C26" i="14"/>
  <c r="D26" i="14"/>
  <c r="E26" i="14"/>
  <c r="F26" i="14"/>
  <c r="G26" i="14"/>
  <c r="B27" i="14"/>
  <c r="C27" i="14"/>
  <c r="D27" i="14"/>
  <c r="E27" i="14"/>
  <c r="F27" i="14"/>
  <c r="G27" i="14"/>
  <c r="B28" i="14"/>
  <c r="C28" i="14"/>
  <c r="D28" i="14"/>
  <c r="E28" i="14"/>
  <c r="F28" i="14"/>
  <c r="G28" i="14"/>
  <c r="B29" i="14"/>
  <c r="C29" i="14"/>
  <c r="D29" i="14"/>
  <c r="E29" i="14"/>
  <c r="F29" i="14"/>
  <c r="G29" i="14"/>
  <c r="B30" i="14"/>
  <c r="C30" i="14"/>
  <c r="D30" i="14"/>
  <c r="E30" i="14"/>
  <c r="F30" i="14"/>
  <c r="G30" i="14"/>
  <c r="B31" i="14"/>
  <c r="C31" i="14"/>
  <c r="D31" i="14"/>
  <c r="E31" i="14"/>
  <c r="F31" i="14"/>
  <c r="G31" i="14"/>
  <c r="B32" i="14"/>
  <c r="C32" i="14"/>
  <c r="D32" i="14"/>
  <c r="E32" i="14"/>
  <c r="F32" i="14"/>
  <c r="G32" i="14"/>
  <c r="B33" i="14"/>
  <c r="C33" i="14"/>
  <c r="D33" i="14"/>
  <c r="E33" i="14"/>
  <c r="F33" i="14"/>
  <c r="G33" i="14"/>
  <c r="B34" i="14"/>
  <c r="C34" i="14"/>
  <c r="D34" i="14"/>
  <c r="E34" i="14"/>
  <c r="F34" i="14"/>
  <c r="G34" i="14"/>
  <c r="B35" i="14"/>
  <c r="C35" i="14"/>
  <c r="D35" i="14"/>
  <c r="E35" i="14"/>
  <c r="F35" i="14"/>
  <c r="G35" i="14"/>
  <c r="B36" i="14"/>
  <c r="C36" i="14"/>
  <c r="D36" i="14"/>
  <c r="E36" i="14"/>
  <c r="F36" i="14"/>
  <c r="G36" i="14"/>
  <c r="B37" i="14"/>
  <c r="C37" i="14"/>
  <c r="D37" i="14"/>
  <c r="E37" i="14"/>
  <c r="F37" i="14"/>
  <c r="G37" i="14"/>
  <c r="B38" i="14"/>
  <c r="C38" i="14"/>
  <c r="D38" i="14"/>
  <c r="E38" i="14"/>
  <c r="F38" i="14"/>
  <c r="G38" i="14"/>
  <c r="B39" i="14"/>
  <c r="C39" i="14"/>
  <c r="D39" i="14"/>
  <c r="E39" i="14"/>
  <c r="F39" i="14"/>
  <c r="G39" i="14"/>
  <c r="B40" i="14"/>
  <c r="C40" i="14"/>
  <c r="D40" i="14"/>
  <c r="E40" i="14"/>
  <c r="F40" i="14"/>
  <c r="G40" i="14"/>
  <c r="B41" i="14"/>
  <c r="C41" i="14"/>
  <c r="D41" i="14"/>
  <c r="E41" i="14"/>
  <c r="F41" i="14"/>
  <c r="G41" i="14"/>
  <c r="B42" i="14"/>
  <c r="C42" i="14"/>
  <c r="D42" i="14"/>
  <c r="E42" i="14"/>
  <c r="F42" i="14"/>
  <c r="G42" i="14"/>
  <c r="B43" i="14"/>
  <c r="C43" i="14"/>
  <c r="D43" i="14"/>
  <c r="E43" i="14"/>
  <c r="F43" i="14"/>
  <c r="G43" i="14"/>
  <c r="B44" i="14"/>
  <c r="C44" i="14"/>
  <c r="D44" i="14"/>
  <c r="E44" i="14"/>
  <c r="F44" i="14"/>
  <c r="G44" i="14"/>
  <c r="B45" i="14"/>
  <c r="C45" i="14"/>
  <c r="D45" i="14"/>
  <c r="E45" i="14"/>
  <c r="F45" i="14"/>
  <c r="G45" i="14"/>
  <c r="B46" i="14"/>
  <c r="C46" i="14"/>
  <c r="D46" i="14"/>
  <c r="E46" i="14"/>
  <c r="F46" i="14"/>
  <c r="G46" i="14"/>
  <c r="B47" i="14"/>
  <c r="C47" i="14"/>
  <c r="D47" i="14"/>
  <c r="E47" i="14"/>
  <c r="F47" i="14"/>
  <c r="G47" i="14"/>
  <c r="B48" i="14"/>
  <c r="C48" i="14"/>
  <c r="D48" i="14"/>
  <c r="E48" i="14"/>
  <c r="F48" i="14"/>
  <c r="G48" i="14"/>
  <c r="B49" i="14"/>
  <c r="C49" i="14"/>
  <c r="D49" i="14"/>
  <c r="E49" i="14"/>
  <c r="F49" i="14"/>
  <c r="G49" i="14"/>
  <c r="B50" i="14"/>
  <c r="C50" i="14"/>
  <c r="D50" i="14"/>
  <c r="E50" i="14"/>
  <c r="F50" i="14"/>
  <c r="G50" i="14"/>
  <c r="B51" i="14"/>
  <c r="C51" i="14"/>
  <c r="D51" i="14"/>
  <c r="E51" i="14"/>
  <c r="F51" i="14"/>
  <c r="G51" i="14"/>
  <c r="B52" i="14"/>
  <c r="C52" i="14"/>
  <c r="D52" i="14"/>
  <c r="E52" i="14"/>
  <c r="F52" i="14"/>
  <c r="G52" i="14"/>
  <c r="B53" i="14"/>
  <c r="C53" i="14"/>
  <c r="D53" i="14"/>
  <c r="E53" i="14"/>
  <c r="F53" i="14"/>
  <c r="G53" i="14"/>
  <c r="B54" i="14"/>
  <c r="C54" i="14"/>
  <c r="D54" i="14"/>
  <c r="E54" i="14"/>
  <c r="F54" i="14"/>
  <c r="G54" i="14"/>
  <c r="B55" i="14"/>
  <c r="C55" i="14"/>
  <c r="D55" i="14"/>
  <c r="E55" i="14"/>
  <c r="F55" i="14"/>
  <c r="G55" i="14"/>
  <c r="B56" i="14"/>
  <c r="C56" i="14"/>
  <c r="D56" i="14"/>
  <c r="E56" i="14"/>
  <c r="F56" i="14"/>
  <c r="G56" i="14"/>
  <c r="B57" i="14"/>
  <c r="C57" i="14"/>
  <c r="D57" i="14"/>
  <c r="E57" i="14"/>
  <c r="F57" i="14"/>
  <c r="G57" i="14"/>
  <c r="B58" i="14"/>
  <c r="C58" i="14"/>
  <c r="D58" i="14"/>
  <c r="E58" i="14"/>
  <c r="F58" i="14"/>
  <c r="G58" i="14"/>
  <c r="B59" i="14"/>
  <c r="C59" i="14"/>
  <c r="D59" i="14"/>
  <c r="E59" i="14"/>
  <c r="F59" i="14"/>
  <c r="G59" i="14"/>
  <c r="B60" i="14"/>
  <c r="C60" i="14"/>
  <c r="D60" i="14"/>
  <c r="E60" i="14"/>
  <c r="F60" i="14"/>
  <c r="G60" i="14"/>
  <c r="B61" i="14"/>
  <c r="C61" i="14"/>
  <c r="D61" i="14"/>
  <c r="E61" i="14"/>
  <c r="F61" i="14"/>
  <c r="G61" i="14"/>
  <c r="B62" i="14"/>
  <c r="C62" i="14"/>
  <c r="D62" i="14"/>
  <c r="E62" i="14"/>
  <c r="F62" i="14"/>
  <c r="G62" i="14"/>
  <c r="B63" i="14"/>
  <c r="C63" i="14"/>
  <c r="D63" i="14"/>
  <c r="E63" i="14"/>
  <c r="F63" i="14"/>
  <c r="G63" i="14"/>
  <c r="B64" i="14"/>
  <c r="C64" i="14"/>
  <c r="D64" i="14"/>
  <c r="E64" i="14"/>
  <c r="F64" i="14"/>
  <c r="G64" i="14"/>
  <c r="B65" i="14"/>
  <c r="C65" i="14"/>
  <c r="D65" i="14"/>
  <c r="E65" i="14"/>
  <c r="F65" i="14"/>
  <c r="G65" i="14"/>
  <c r="B66" i="14"/>
  <c r="C66" i="14"/>
  <c r="D66" i="14"/>
  <c r="E66" i="14"/>
  <c r="F66" i="14"/>
  <c r="G66" i="14"/>
  <c r="B67" i="14"/>
  <c r="C67" i="14"/>
  <c r="D67" i="14"/>
  <c r="E67" i="14"/>
  <c r="F67" i="14"/>
  <c r="G67" i="14"/>
  <c r="B68" i="14"/>
  <c r="C68" i="14"/>
  <c r="D68" i="14"/>
  <c r="E68" i="14"/>
  <c r="F68" i="14"/>
  <c r="G68" i="14"/>
  <c r="B69" i="14"/>
  <c r="C69" i="14"/>
  <c r="D69" i="14"/>
  <c r="E69" i="14"/>
  <c r="F69" i="14"/>
  <c r="G69" i="14"/>
  <c r="B70" i="14"/>
  <c r="C70" i="14"/>
  <c r="D70" i="14"/>
  <c r="E70" i="14"/>
  <c r="F70" i="14"/>
  <c r="G70" i="14"/>
  <c r="B71" i="14"/>
  <c r="C71" i="14"/>
  <c r="D71" i="14"/>
  <c r="E71" i="14"/>
  <c r="F71" i="14"/>
  <c r="G71" i="14"/>
  <c r="B72" i="14"/>
  <c r="C72" i="14"/>
  <c r="D72" i="14"/>
  <c r="E72" i="14"/>
  <c r="F72" i="14"/>
  <c r="G72" i="14"/>
  <c r="B73" i="14"/>
  <c r="C73" i="14"/>
  <c r="D73" i="14"/>
  <c r="E73" i="14"/>
  <c r="F73" i="14"/>
  <c r="G73" i="14"/>
  <c r="B74" i="14"/>
  <c r="C74" i="14"/>
  <c r="D74" i="14"/>
  <c r="E74" i="14"/>
  <c r="F74" i="14"/>
  <c r="G74" i="14"/>
  <c r="B75" i="14"/>
  <c r="C75" i="14"/>
  <c r="D75" i="14"/>
  <c r="E75" i="14"/>
  <c r="F75" i="14"/>
  <c r="G75" i="14"/>
  <c r="B76" i="14"/>
  <c r="C76" i="14"/>
  <c r="D76" i="14"/>
  <c r="E76" i="14"/>
  <c r="F76" i="14"/>
  <c r="G76" i="14"/>
  <c r="B77" i="14"/>
  <c r="C77" i="14"/>
  <c r="D77" i="14"/>
  <c r="E77" i="14"/>
  <c r="F77" i="14"/>
  <c r="G77" i="14"/>
  <c r="B78" i="14"/>
  <c r="C78" i="14"/>
  <c r="D78" i="14"/>
  <c r="E78" i="14"/>
  <c r="F78" i="14"/>
  <c r="G78" i="14"/>
  <c r="B79" i="14"/>
  <c r="C79" i="14"/>
  <c r="D79" i="14"/>
  <c r="E79" i="14"/>
  <c r="F79" i="14"/>
  <c r="G79" i="14"/>
  <c r="B80" i="14"/>
  <c r="C80" i="14"/>
  <c r="D80" i="14"/>
  <c r="E80" i="14"/>
  <c r="F80" i="14"/>
  <c r="G80" i="14"/>
  <c r="B81" i="14"/>
  <c r="C81" i="14"/>
  <c r="D81" i="14"/>
  <c r="E81" i="14"/>
  <c r="F81" i="14"/>
  <c r="G81" i="14"/>
  <c r="B82" i="14"/>
  <c r="C82" i="14"/>
  <c r="D82" i="14"/>
  <c r="E82" i="14"/>
  <c r="F82" i="14"/>
  <c r="G82" i="14"/>
  <c r="B83" i="14"/>
  <c r="C83" i="14"/>
  <c r="D83" i="14"/>
  <c r="E83" i="14"/>
  <c r="F83" i="14"/>
  <c r="G83" i="14"/>
  <c r="B84" i="14"/>
  <c r="C84" i="14"/>
  <c r="D84" i="14"/>
  <c r="E84" i="14"/>
  <c r="F84" i="14"/>
  <c r="G84" i="14"/>
  <c r="B85" i="14"/>
  <c r="C85" i="14"/>
  <c r="D85" i="14"/>
  <c r="E85" i="14"/>
  <c r="F85" i="14"/>
  <c r="G85" i="14"/>
  <c r="B86" i="14"/>
  <c r="C86" i="14"/>
  <c r="D86" i="14"/>
  <c r="E86" i="14"/>
  <c r="F86" i="14"/>
  <c r="G86" i="14"/>
  <c r="B87" i="14"/>
  <c r="C87" i="14"/>
  <c r="D87" i="14"/>
  <c r="E87" i="14"/>
  <c r="F87" i="14"/>
  <c r="G87" i="14"/>
  <c r="B88" i="14"/>
  <c r="C88" i="14"/>
  <c r="D88" i="14"/>
  <c r="E88" i="14"/>
  <c r="F88" i="14"/>
  <c r="G88" i="14"/>
  <c r="B89" i="14"/>
  <c r="C89" i="14"/>
  <c r="D89" i="14"/>
  <c r="E89" i="14"/>
  <c r="F89" i="14"/>
  <c r="G89" i="14"/>
  <c r="B90" i="14"/>
  <c r="C90" i="14"/>
  <c r="D90" i="14"/>
  <c r="E90" i="14"/>
  <c r="F90" i="14"/>
  <c r="G90" i="14"/>
  <c r="B91" i="14"/>
  <c r="C91" i="14"/>
  <c r="D91" i="14"/>
  <c r="E91" i="14"/>
  <c r="F91" i="14"/>
  <c r="G91" i="14"/>
  <c r="B92" i="14"/>
  <c r="C92" i="14"/>
  <c r="D92" i="14"/>
  <c r="E92" i="14"/>
  <c r="F92" i="14"/>
  <c r="G92" i="14"/>
  <c r="B93" i="14"/>
  <c r="C93" i="14"/>
  <c r="D93" i="14"/>
  <c r="E93" i="14"/>
  <c r="F93" i="14"/>
  <c r="G93" i="14"/>
  <c r="B94" i="14"/>
  <c r="C94" i="14"/>
  <c r="D94" i="14"/>
  <c r="E94" i="14"/>
  <c r="F94" i="14"/>
  <c r="G94" i="14"/>
  <c r="B95" i="14"/>
  <c r="C95" i="14"/>
  <c r="D95" i="14"/>
  <c r="E95" i="14"/>
  <c r="F95" i="14"/>
  <c r="G95" i="14"/>
  <c r="B96" i="14"/>
  <c r="C96" i="14"/>
  <c r="D96" i="14"/>
  <c r="E96" i="14"/>
  <c r="F96" i="14"/>
  <c r="G96" i="14"/>
  <c r="B97" i="14"/>
  <c r="C97" i="14"/>
  <c r="D97" i="14"/>
  <c r="E97" i="14"/>
  <c r="F97" i="14"/>
  <c r="G97" i="14"/>
  <c r="B98" i="14"/>
  <c r="C98" i="14"/>
  <c r="D98" i="14"/>
  <c r="E98" i="14"/>
  <c r="F98" i="14"/>
  <c r="G98" i="14"/>
  <c r="B99" i="14"/>
  <c r="C99" i="14"/>
  <c r="D99" i="14"/>
  <c r="E99" i="14"/>
  <c r="F99" i="14"/>
  <c r="G99" i="14"/>
  <c r="B100" i="14"/>
  <c r="C100" i="14"/>
  <c r="D100" i="14"/>
  <c r="E100" i="14"/>
  <c r="F100" i="14"/>
  <c r="G100" i="14"/>
  <c r="B101" i="14"/>
  <c r="C101" i="14"/>
  <c r="D101" i="14"/>
  <c r="E101" i="14"/>
  <c r="F101" i="14"/>
  <c r="G101" i="14"/>
  <c r="B102" i="14"/>
  <c r="C102" i="14"/>
  <c r="D102" i="14"/>
  <c r="E102" i="14"/>
  <c r="F102" i="14"/>
  <c r="G102" i="14"/>
  <c r="B103" i="14"/>
  <c r="C103" i="14"/>
  <c r="D103" i="14"/>
  <c r="E103" i="14"/>
  <c r="F103" i="14"/>
  <c r="G103" i="14"/>
  <c r="B104" i="14"/>
  <c r="C104" i="14"/>
  <c r="D104" i="14"/>
  <c r="E104" i="14"/>
  <c r="F104" i="14"/>
  <c r="G104" i="14"/>
  <c r="B105" i="14"/>
  <c r="C105" i="14"/>
  <c r="D105" i="14"/>
  <c r="E105" i="14"/>
  <c r="F105" i="14"/>
  <c r="G105" i="14"/>
  <c r="B106" i="14"/>
  <c r="C106" i="14"/>
  <c r="D106" i="14"/>
  <c r="E106" i="14"/>
  <c r="F106" i="14"/>
  <c r="G106" i="14"/>
  <c r="B107" i="14"/>
  <c r="C107" i="14"/>
  <c r="D107" i="14"/>
  <c r="E107" i="14"/>
  <c r="F107" i="14"/>
  <c r="G107" i="14"/>
  <c r="B108" i="14"/>
  <c r="C108" i="14"/>
  <c r="D108" i="14"/>
  <c r="E108" i="14"/>
  <c r="F108" i="14"/>
  <c r="G108" i="14"/>
  <c r="B109" i="14"/>
  <c r="C109" i="14"/>
  <c r="D109" i="14"/>
  <c r="E109" i="14"/>
  <c r="F109" i="14"/>
  <c r="G109" i="14"/>
  <c r="B110" i="14"/>
  <c r="C110" i="14"/>
  <c r="D110" i="14"/>
  <c r="E110" i="14"/>
  <c r="F110" i="14"/>
  <c r="G110" i="14"/>
  <c r="B111" i="14"/>
  <c r="C111" i="14"/>
  <c r="D111" i="14"/>
  <c r="E111" i="14"/>
  <c r="F111" i="14"/>
  <c r="G111" i="14"/>
  <c r="B112" i="14"/>
  <c r="C112" i="14"/>
  <c r="D112" i="14"/>
  <c r="E112" i="14"/>
  <c r="F112" i="14"/>
  <c r="G112" i="14"/>
  <c r="B113" i="14"/>
  <c r="C113" i="14"/>
  <c r="D113" i="14"/>
  <c r="E113" i="14"/>
  <c r="F113" i="14"/>
  <c r="G113" i="14"/>
  <c r="B114" i="14"/>
  <c r="C114" i="14"/>
  <c r="D114" i="14"/>
  <c r="E114" i="14"/>
  <c r="F114" i="14"/>
  <c r="G114" i="14"/>
  <c r="B115" i="14"/>
  <c r="C115" i="14"/>
  <c r="D115" i="14"/>
  <c r="E115" i="14"/>
  <c r="F115" i="14"/>
  <c r="G115" i="14"/>
  <c r="B116" i="14"/>
  <c r="C116" i="14"/>
  <c r="D116" i="14"/>
  <c r="E116" i="14"/>
  <c r="F116" i="14"/>
  <c r="G116" i="14"/>
  <c r="B117" i="14"/>
  <c r="C117" i="14"/>
  <c r="D117" i="14"/>
  <c r="E117" i="14"/>
  <c r="F117" i="14"/>
  <c r="G117" i="14"/>
  <c r="B118" i="14"/>
  <c r="C118" i="14"/>
  <c r="D118" i="14"/>
  <c r="E118" i="14"/>
  <c r="F118" i="14"/>
  <c r="G118" i="14"/>
  <c r="B119" i="14"/>
  <c r="C119" i="14"/>
  <c r="D119" i="14"/>
  <c r="E119" i="14"/>
  <c r="F119" i="14"/>
  <c r="G119" i="14"/>
  <c r="B120" i="14"/>
  <c r="C120" i="14"/>
  <c r="D120" i="14"/>
  <c r="E120" i="14"/>
  <c r="F120" i="14"/>
  <c r="G120" i="14"/>
  <c r="B121" i="14"/>
  <c r="C121" i="14"/>
  <c r="D121" i="14"/>
  <c r="E121" i="14"/>
  <c r="F121" i="14"/>
  <c r="G121" i="14"/>
  <c r="B122" i="14"/>
  <c r="C122" i="14"/>
  <c r="D122" i="14"/>
  <c r="E122" i="14"/>
  <c r="F122" i="14"/>
  <c r="G122" i="14"/>
  <c r="B123" i="14"/>
  <c r="C123" i="14"/>
  <c r="D123" i="14"/>
  <c r="E123" i="14"/>
  <c r="F123" i="14"/>
  <c r="G123" i="14"/>
  <c r="B124" i="14"/>
  <c r="C124" i="14"/>
  <c r="D124" i="14"/>
  <c r="E124" i="14"/>
  <c r="F124" i="14"/>
  <c r="G124" i="14"/>
  <c r="B125" i="14"/>
  <c r="C125" i="14"/>
  <c r="D125" i="14"/>
  <c r="E125" i="14"/>
  <c r="F125" i="14"/>
  <c r="G125" i="14"/>
  <c r="B126" i="14"/>
  <c r="C126" i="14"/>
  <c r="D126" i="14"/>
  <c r="E126" i="14"/>
  <c r="F126" i="14"/>
  <c r="G126" i="14"/>
  <c r="B127" i="14"/>
  <c r="C127" i="14"/>
  <c r="D127" i="14"/>
  <c r="E127" i="14"/>
  <c r="F127" i="14"/>
  <c r="G127" i="14"/>
  <c r="B128" i="14"/>
  <c r="C128" i="14"/>
  <c r="D128" i="14"/>
  <c r="E128" i="14"/>
  <c r="F128" i="14"/>
  <c r="G128" i="14"/>
  <c r="B129" i="14"/>
  <c r="C129" i="14"/>
  <c r="D129" i="14"/>
  <c r="E129" i="14"/>
  <c r="F129" i="14"/>
  <c r="G129" i="14"/>
  <c r="B130" i="14"/>
  <c r="C130" i="14"/>
  <c r="D130" i="14"/>
  <c r="E130" i="14"/>
  <c r="F130" i="14"/>
  <c r="G130" i="14"/>
  <c r="B131" i="14"/>
  <c r="C131" i="14"/>
  <c r="D131" i="14"/>
  <c r="E131" i="14"/>
  <c r="F131" i="14"/>
  <c r="G131" i="14"/>
  <c r="B132" i="14"/>
  <c r="C132" i="14"/>
  <c r="D132" i="14"/>
  <c r="E132" i="14"/>
  <c r="F132" i="14"/>
  <c r="G132" i="14"/>
  <c r="B133" i="14"/>
  <c r="C133" i="14"/>
  <c r="D133" i="14"/>
  <c r="E133" i="14"/>
  <c r="F133" i="14"/>
  <c r="G133" i="14"/>
  <c r="B134" i="14"/>
  <c r="C134" i="14"/>
  <c r="D134" i="14"/>
  <c r="E134" i="14"/>
  <c r="F134" i="14"/>
  <c r="G134" i="14"/>
  <c r="B135" i="14"/>
  <c r="C135" i="14"/>
  <c r="D135" i="14"/>
  <c r="E135" i="14"/>
  <c r="F135" i="14"/>
  <c r="G135" i="14"/>
  <c r="B136" i="14"/>
  <c r="C136" i="14"/>
  <c r="D136" i="14"/>
  <c r="E136" i="14"/>
  <c r="F136" i="14"/>
  <c r="G136" i="14"/>
  <c r="B137" i="14"/>
  <c r="C137" i="14"/>
  <c r="D137" i="14"/>
  <c r="E137" i="14"/>
  <c r="F137" i="14"/>
  <c r="G137" i="14"/>
  <c r="B138" i="14"/>
  <c r="C138" i="14"/>
  <c r="D138" i="14"/>
  <c r="E138" i="14"/>
  <c r="F138" i="14"/>
  <c r="G138" i="14"/>
  <c r="B139" i="14"/>
  <c r="C139" i="14"/>
  <c r="D139" i="14"/>
  <c r="E139" i="14"/>
  <c r="F139" i="14"/>
  <c r="G139" i="14"/>
  <c r="B140" i="14"/>
  <c r="C140" i="14"/>
  <c r="D140" i="14"/>
  <c r="E140" i="14"/>
  <c r="F140" i="14"/>
  <c r="G140" i="14"/>
  <c r="B141" i="14"/>
  <c r="C141" i="14"/>
  <c r="D141" i="14"/>
  <c r="E141" i="14"/>
  <c r="F141" i="14"/>
  <c r="G141" i="14"/>
  <c r="B142" i="14"/>
  <c r="C142" i="14"/>
  <c r="D142" i="14"/>
  <c r="E142" i="14"/>
  <c r="F142" i="14"/>
  <c r="G142" i="14"/>
  <c r="B143" i="14"/>
  <c r="C143" i="14"/>
  <c r="D143" i="14"/>
  <c r="E143" i="14"/>
  <c r="F143" i="14"/>
  <c r="G143" i="14"/>
  <c r="B144" i="14"/>
  <c r="C144" i="14"/>
  <c r="D144" i="14"/>
  <c r="E144" i="14"/>
  <c r="F144" i="14"/>
  <c r="G144" i="14"/>
  <c r="B145" i="14"/>
  <c r="C145" i="14"/>
  <c r="D145" i="14"/>
  <c r="E145" i="14"/>
  <c r="F145" i="14"/>
  <c r="G145" i="14"/>
  <c r="B146" i="14"/>
  <c r="C146" i="14"/>
  <c r="D146" i="14"/>
  <c r="E146" i="14"/>
  <c r="F146" i="14"/>
  <c r="G146" i="14"/>
  <c r="B147" i="14"/>
  <c r="C147" i="14"/>
  <c r="D147" i="14"/>
  <c r="E147" i="14"/>
  <c r="F147" i="14"/>
  <c r="G147" i="14"/>
  <c r="B148" i="14"/>
  <c r="C148" i="14"/>
  <c r="D148" i="14"/>
  <c r="E148" i="14"/>
  <c r="F148" i="14"/>
  <c r="G148" i="14"/>
  <c r="B149" i="14"/>
  <c r="C149" i="14"/>
  <c r="D149" i="14"/>
  <c r="E149" i="14"/>
  <c r="F149" i="14"/>
  <c r="G149" i="14"/>
  <c r="B150" i="14"/>
  <c r="C150" i="14"/>
  <c r="D150" i="14"/>
  <c r="E150" i="14"/>
  <c r="F150" i="14"/>
  <c r="G150" i="14"/>
  <c r="B151" i="14"/>
  <c r="C151" i="14"/>
  <c r="D151" i="14"/>
  <c r="E151" i="14"/>
  <c r="F151" i="14"/>
  <c r="G151" i="14"/>
  <c r="B152" i="14"/>
  <c r="C152" i="14"/>
  <c r="D152" i="14"/>
  <c r="E152" i="14"/>
  <c r="F152" i="14"/>
  <c r="G152" i="14"/>
  <c r="B153" i="14"/>
  <c r="C153" i="14"/>
  <c r="D153" i="14"/>
  <c r="E153" i="14"/>
  <c r="F153" i="14"/>
  <c r="G153" i="14"/>
  <c r="B154" i="14"/>
  <c r="C154" i="14"/>
  <c r="D154" i="14"/>
  <c r="E154" i="14"/>
  <c r="F154" i="14"/>
  <c r="G154" i="14"/>
  <c r="B155" i="14"/>
  <c r="C155" i="14"/>
  <c r="D155" i="14"/>
  <c r="E155" i="14"/>
  <c r="F155" i="14"/>
  <c r="G155" i="14"/>
  <c r="B156" i="14"/>
  <c r="C156" i="14"/>
  <c r="D156" i="14"/>
  <c r="E156" i="14"/>
  <c r="F156" i="14"/>
  <c r="G156" i="14"/>
  <c r="B157" i="14"/>
  <c r="C157" i="14"/>
  <c r="D157" i="14"/>
  <c r="E157" i="14"/>
  <c r="F157" i="14"/>
  <c r="G157" i="14"/>
  <c r="B158" i="14"/>
  <c r="C158" i="14"/>
  <c r="D158" i="14"/>
  <c r="E158" i="14"/>
  <c r="F158" i="14"/>
  <c r="G158" i="14"/>
  <c r="B159" i="14"/>
  <c r="C159" i="14"/>
  <c r="D159" i="14"/>
  <c r="E159" i="14"/>
  <c r="F159" i="14"/>
  <c r="G159" i="14"/>
  <c r="B160" i="14"/>
  <c r="C160" i="14"/>
  <c r="D160" i="14"/>
  <c r="E160" i="14"/>
  <c r="F160" i="14"/>
  <c r="G160" i="14"/>
  <c r="B161" i="14"/>
  <c r="C161" i="14"/>
  <c r="D161" i="14"/>
  <c r="E161" i="14"/>
  <c r="F161" i="14"/>
  <c r="G161" i="14"/>
  <c r="B162" i="14"/>
  <c r="C162" i="14"/>
  <c r="D162" i="14"/>
  <c r="E162" i="14"/>
  <c r="F162" i="14"/>
  <c r="G162" i="14"/>
  <c r="B163" i="14"/>
  <c r="C163" i="14"/>
  <c r="D163" i="14"/>
  <c r="E163" i="14"/>
  <c r="F163" i="14"/>
  <c r="G163" i="14"/>
  <c r="B164" i="14"/>
  <c r="C164" i="14"/>
  <c r="D164" i="14"/>
  <c r="E164" i="14"/>
  <c r="F164" i="14"/>
  <c r="G164" i="14"/>
  <c r="B165" i="14"/>
  <c r="C165" i="14"/>
  <c r="D165" i="14"/>
  <c r="E165" i="14"/>
  <c r="F165" i="14"/>
  <c r="G165" i="14"/>
  <c r="B166" i="14"/>
  <c r="C166" i="14"/>
  <c r="D166" i="14"/>
  <c r="E166" i="14"/>
  <c r="F166" i="14"/>
  <c r="G166" i="14"/>
  <c r="B167" i="14"/>
  <c r="C167" i="14"/>
  <c r="D167" i="14"/>
  <c r="E167" i="14"/>
  <c r="F167" i="14"/>
  <c r="G167" i="14"/>
  <c r="B168" i="14"/>
  <c r="C168" i="14"/>
  <c r="D168" i="14"/>
  <c r="E168" i="14"/>
  <c r="F168" i="14"/>
  <c r="G168" i="14"/>
  <c r="B169" i="14"/>
  <c r="C169" i="14"/>
  <c r="D169" i="14"/>
  <c r="E169" i="14"/>
  <c r="F169" i="14"/>
  <c r="G169" i="14"/>
  <c r="B170" i="14"/>
  <c r="C170" i="14"/>
  <c r="D170" i="14"/>
  <c r="E170" i="14"/>
  <c r="F170" i="14"/>
  <c r="G170" i="14"/>
  <c r="B171" i="14"/>
  <c r="C171" i="14"/>
  <c r="D171" i="14"/>
  <c r="E171" i="14"/>
  <c r="F171" i="14"/>
  <c r="G171" i="14"/>
  <c r="B172" i="14"/>
  <c r="C172" i="14"/>
  <c r="D172" i="14"/>
  <c r="E172" i="14"/>
  <c r="F172" i="14"/>
  <c r="G172" i="14"/>
  <c r="B173" i="14"/>
  <c r="C173" i="14"/>
  <c r="D173" i="14"/>
  <c r="E173" i="14"/>
  <c r="F173" i="14"/>
  <c r="G173" i="14"/>
  <c r="B174" i="14"/>
  <c r="C174" i="14"/>
  <c r="D174" i="14"/>
  <c r="E174" i="14"/>
  <c r="F174" i="14"/>
  <c r="G174" i="14"/>
  <c r="B175" i="14"/>
  <c r="C175" i="14"/>
  <c r="D175" i="14"/>
  <c r="E175" i="14"/>
  <c r="F175" i="14"/>
  <c r="G175" i="14"/>
  <c r="B176" i="14"/>
  <c r="C176" i="14"/>
  <c r="D176" i="14"/>
  <c r="E176" i="14"/>
  <c r="F176" i="14"/>
  <c r="G176" i="14"/>
  <c r="B177" i="14"/>
  <c r="C177" i="14"/>
  <c r="D177" i="14"/>
  <c r="E177" i="14"/>
  <c r="F177" i="14"/>
  <c r="G177" i="14"/>
  <c r="B178" i="14"/>
  <c r="C178" i="14"/>
  <c r="D178" i="14"/>
  <c r="E178" i="14"/>
  <c r="F178" i="14"/>
  <c r="G178" i="14"/>
  <c r="B179" i="14"/>
  <c r="C179" i="14"/>
  <c r="D179" i="14"/>
  <c r="E179" i="14"/>
  <c r="F179" i="14"/>
  <c r="G179" i="14"/>
  <c r="B180" i="14"/>
  <c r="C180" i="14"/>
  <c r="D180" i="14"/>
  <c r="E180" i="14"/>
  <c r="F180" i="14"/>
  <c r="G180" i="14"/>
  <c r="B181" i="14"/>
  <c r="C181" i="14"/>
  <c r="D181" i="14"/>
  <c r="E181" i="14"/>
  <c r="F181" i="14"/>
  <c r="G181" i="14"/>
  <c r="B182" i="14"/>
  <c r="C182" i="14"/>
  <c r="D182" i="14"/>
  <c r="E182" i="14"/>
  <c r="F182" i="14"/>
  <c r="G182" i="14"/>
  <c r="B183" i="14"/>
  <c r="C183" i="14"/>
  <c r="D183" i="14"/>
  <c r="E183" i="14"/>
  <c r="F183" i="14"/>
  <c r="G183" i="14"/>
  <c r="B184" i="14"/>
  <c r="C184" i="14"/>
  <c r="D184" i="14"/>
  <c r="E184" i="14"/>
  <c r="F184" i="14"/>
  <c r="G184" i="14"/>
  <c r="B185" i="14"/>
  <c r="C185" i="14"/>
  <c r="D185" i="14"/>
  <c r="E185" i="14"/>
  <c r="F185" i="14"/>
  <c r="G185" i="14"/>
  <c r="B186" i="14"/>
  <c r="C186" i="14"/>
  <c r="D186" i="14"/>
  <c r="E186" i="14"/>
  <c r="F186" i="14"/>
  <c r="G186" i="14"/>
  <c r="B187" i="14"/>
  <c r="C187" i="14"/>
  <c r="D187" i="14"/>
  <c r="E187" i="14"/>
  <c r="F187" i="14"/>
  <c r="G187" i="14"/>
  <c r="B188" i="14"/>
  <c r="C188" i="14"/>
  <c r="D188" i="14"/>
  <c r="E188" i="14"/>
  <c r="F188" i="14"/>
  <c r="G188" i="14"/>
  <c r="B189" i="14"/>
  <c r="C189" i="14"/>
  <c r="D189" i="14"/>
  <c r="E189" i="14"/>
  <c r="F189" i="14"/>
  <c r="G189" i="14"/>
  <c r="B190" i="14"/>
  <c r="C190" i="14"/>
  <c r="D190" i="14"/>
  <c r="E190" i="14"/>
  <c r="F190" i="14"/>
  <c r="G190" i="14"/>
  <c r="B191" i="14"/>
  <c r="C191" i="14"/>
  <c r="D191" i="14"/>
  <c r="E191" i="14"/>
  <c r="F191" i="14"/>
  <c r="G191" i="14"/>
  <c r="B192" i="14"/>
  <c r="C192" i="14"/>
  <c r="D192" i="14"/>
  <c r="E192" i="14"/>
  <c r="F192" i="14"/>
  <c r="G192" i="14"/>
  <c r="B193" i="14"/>
  <c r="C193" i="14"/>
  <c r="D193" i="14"/>
  <c r="E193" i="14"/>
  <c r="F193" i="14"/>
  <c r="G193" i="14"/>
  <c r="B194" i="14"/>
  <c r="C194" i="14"/>
  <c r="D194" i="14"/>
  <c r="E194" i="14"/>
  <c r="F194" i="14"/>
  <c r="G194" i="14"/>
  <c r="B195" i="14"/>
  <c r="C195" i="14"/>
  <c r="D195" i="14"/>
  <c r="E195" i="14"/>
  <c r="F195" i="14"/>
  <c r="G195" i="14"/>
  <c r="B196" i="14"/>
  <c r="C196" i="14"/>
  <c r="D196" i="14"/>
  <c r="E196" i="14"/>
  <c r="F196" i="14"/>
  <c r="G196" i="14"/>
  <c r="B197" i="14"/>
  <c r="C197" i="14"/>
  <c r="D197" i="14"/>
  <c r="E197" i="14"/>
  <c r="F197" i="14"/>
  <c r="G197" i="14"/>
  <c r="B198" i="14"/>
  <c r="C198" i="14"/>
  <c r="D198" i="14"/>
  <c r="E198" i="14"/>
  <c r="F198" i="14"/>
  <c r="G198" i="14"/>
  <c r="B199" i="14"/>
  <c r="C199" i="14"/>
  <c r="D199" i="14"/>
  <c r="E199" i="14"/>
  <c r="F199" i="14"/>
  <c r="G199" i="14"/>
  <c r="B200" i="14"/>
  <c r="C200" i="14"/>
  <c r="D200" i="14"/>
  <c r="E200" i="14"/>
  <c r="F200" i="14"/>
  <c r="G200" i="14"/>
  <c r="B201" i="14"/>
  <c r="C201" i="14"/>
  <c r="D201" i="14"/>
  <c r="E201" i="14"/>
  <c r="F201" i="14"/>
  <c r="G201" i="14"/>
  <c r="B202" i="14"/>
  <c r="C202" i="14"/>
  <c r="D202" i="14"/>
  <c r="E202" i="14"/>
  <c r="F202" i="14"/>
  <c r="G202" i="14"/>
  <c r="B203" i="14"/>
  <c r="C203" i="14"/>
  <c r="D203" i="14"/>
  <c r="E203" i="14"/>
  <c r="F203" i="14"/>
  <c r="G203" i="14"/>
  <c r="B204" i="14"/>
  <c r="C204" i="14"/>
  <c r="D204" i="14"/>
  <c r="E204" i="14"/>
  <c r="F204" i="14"/>
  <c r="G204" i="14"/>
  <c r="B205" i="14"/>
  <c r="C205" i="14"/>
  <c r="D205" i="14"/>
  <c r="E205" i="14"/>
  <c r="F205" i="14"/>
  <c r="G205" i="14"/>
  <c r="B206" i="14"/>
  <c r="C206" i="14"/>
  <c r="D206" i="14"/>
  <c r="E206" i="14"/>
  <c r="F206" i="14"/>
  <c r="G206" i="14"/>
  <c r="B207" i="14"/>
  <c r="C207" i="14"/>
  <c r="D207" i="14"/>
  <c r="E207" i="14"/>
  <c r="F207" i="14"/>
  <c r="G207" i="14"/>
  <c r="B208" i="14"/>
  <c r="C208" i="14"/>
  <c r="D208" i="14"/>
  <c r="E208" i="14"/>
  <c r="F208" i="14"/>
  <c r="G208" i="14"/>
  <c r="B209" i="14"/>
  <c r="C209" i="14"/>
  <c r="D209" i="14"/>
  <c r="E209" i="14"/>
  <c r="F209" i="14"/>
  <c r="G209" i="14"/>
  <c r="B210" i="14"/>
  <c r="C210" i="14"/>
  <c r="D210" i="14"/>
  <c r="E210" i="14"/>
  <c r="F210" i="14"/>
  <c r="G210" i="14"/>
  <c r="B211" i="14"/>
  <c r="C211" i="14"/>
  <c r="D211" i="14"/>
  <c r="E211" i="14"/>
  <c r="F211" i="14"/>
  <c r="G211" i="14"/>
  <c r="B212" i="14"/>
  <c r="C212" i="14"/>
  <c r="D212" i="14"/>
  <c r="E212" i="14"/>
  <c r="F212" i="14"/>
  <c r="G212" i="14"/>
  <c r="B213" i="14"/>
  <c r="C213" i="14"/>
  <c r="D213" i="14"/>
  <c r="E213" i="14"/>
  <c r="F213" i="14"/>
  <c r="G213" i="14"/>
  <c r="B214" i="14"/>
  <c r="C214" i="14"/>
  <c r="D214" i="14"/>
  <c r="E214" i="14"/>
  <c r="F214" i="14"/>
  <c r="G214" i="14"/>
  <c r="B215" i="14"/>
  <c r="C215" i="14"/>
  <c r="D215" i="14"/>
  <c r="E215" i="14"/>
  <c r="F215" i="14"/>
  <c r="G215" i="14"/>
  <c r="B216" i="14"/>
  <c r="C216" i="14"/>
  <c r="D216" i="14"/>
  <c r="E216" i="14"/>
  <c r="F216" i="14"/>
  <c r="G216" i="14"/>
  <c r="B217" i="14"/>
  <c r="C217" i="14"/>
  <c r="D217" i="14"/>
  <c r="E217" i="14"/>
  <c r="F217" i="14"/>
  <c r="G217" i="14"/>
  <c r="B218" i="14"/>
  <c r="C218" i="14"/>
  <c r="D218" i="14"/>
  <c r="E218" i="14"/>
  <c r="F218" i="14"/>
  <c r="G218" i="14"/>
  <c r="B219" i="14"/>
  <c r="C219" i="14"/>
  <c r="D219" i="14"/>
  <c r="E219" i="14"/>
  <c r="F219" i="14"/>
  <c r="G219" i="14"/>
  <c r="B220" i="14"/>
  <c r="C220" i="14"/>
  <c r="D220" i="14"/>
  <c r="E220" i="14"/>
  <c r="F220" i="14"/>
  <c r="G220" i="14"/>
  <c r="B221" i="14"/>
  <c r="C221" i="14"/>
  <c r="D221" i="14"/>
  <c r="E221" i="14"/>
  <c r="F221" i="14"/>
  <c r="G221" i="14"/>
  <c r="B222" i="14"/>
  <c r="C222" i="14"/>
  <c r="D222" i="14"/>
  <c r="E222" i="14"/>
  <c r="F222" i="14"/>
  <c r="G222" i="14"/>
  <c r="B223" i="14"/>
  <c r="C223" i="14"/>
  <c r="D223" i="14"/>
  <c r="E223" i="14"/>
  <c r="F223" i="14"/>
  <c r="G223" i="14"/>
  <c r="B224" i="14"/>
  <c r="C224" i="14"/>
  <c r="D224" i="14"/>
  <c r="E224" i="14"/>
  <c r="F224" i="14"/>
  <c r="G224" i="14"/>
  <c r="B225" i="14"/>
  <c r="C225" i="14"/>
  <c r="D225" i="14"/>
  <c r="E225" i="14"/>
  <c r="F225" i="14"/>
  <c r="G225" i="14"/>
  <c r="B226" i="14"/>
  <c r="C226" i="14"/>
  <c r="D226" i="14"/>
  <c r="E226" i="14"/>
  <c r="F226" i="14"/>
  <c r="G226" i="14"/>
  <c r="B227" i="14"/>
  <c r="C227" i="14"/>
  <c r="D227" i="14"/>
  <c r="E227" i="14"/>
  <c r="F227" i="14"/>
  <c r="G227" i="14"/>
  <c r="B228" i="14"/>
  <c r="C228" i="14"/>
  <c r="D228" i="14"/>
  <c r="E228" i="14"/>
  <c r="F228" i="14"/>
  <c r="G228" i="14"/>
  <c r="B229" i="14"/>
  <c r="C229" i="14"/>
  <c r="D229" i="14"/>
  <c r="E229" i="14"/>
  <c r="F229" i="14"/>
  <c r="G229" i="14"/>
  <c r="B230" i="14"/>
  <c r="C230" i="14"/>
  <c r="D230" i="14"/>
  <c r="E230" i="14"/>
  <c r="F230" i="14"/>
  <c r="G230" i="14"/>
  <c r="B231" i="14"/>
  <c r="C231" i="14"/>
  <c r="D231" i="14"/>
  <c r="E231" i="14"/>
  <c r="F231" i="14"/>
  <c r="G231" i="14"/>
  <c r="B232" i="14"/>
  <c r="C232" i="14"/>
  <c r="D232" i="14"/>
  <c r="E232" i="14"/>
  <c r="F232" i="14"/>
  <c r="G232" i="14"/>
  <c r="B233" i="14"/>
  <c r="C233" i="14"/>
  <c r="D233" i="14"/>
  <c r="E233" i="14"/>
  <c r="F233" i="14"/>
  <c r="G233" i="14"/>
  <c r="B234" i="14"/>
  <c r="C234" i="14"/>
  <c r="D234" i="14"/>
  <c r="E234" i="14"/>
  <c r="F234" i="14"/>
  <c r="G234" i="14"/>
  <c r="B235" i="14"/>
  <c r="C235" i="14"/>
  <c r="D235" i="14"/>
  <c r="E235" i="14"/>
  <c r="F235" i="14"/>
  <c r="G235" i="14"/>
  <c r="B236" i="14"/>
  <c r="C236" i="14"/>
  <c r="D236" i="14"/>
  <c r="E236" i="14"/>
  <c r="F236" i="14"/>
  <c r="G236" i="14"/>
  <c r="B237" i="14"/>
  <c r="C237" i="14"/>
  <c r="D237" i="14"/>
  <c r="E237" i="14"/>
  <c r="F237" i="14"/>
  <c r="G237" i="14"/>
  <c r="B238" i="14"/>
  <c r="C238" i="14"/>
  <c r="D238" i="14"/>
  <c r="E238" i="14"/>
  <c r="F238" i="14"/>
  <c r="G238" i="14"/>
  <c r="B239" i="14"/>
  <c r="C239" i="14"/>
  <c r="D239" i="14"/>
  <c r="E239" i="14"/>
  <c r="F239" i="14"/>
  <c r="G239" i="14"/>
  <c r="B240" i="14"/>
  <c r="C240" i="14"/>
  <c r="D240" i="14"/>
  <c r="E240" i="14"/>
  <c r="F240" i="14"/>
  <c r="G240" i="14"/>
  <c r="B241" i="14"/>
  <c r="C241" i="14"/>
  <c r="D241" i="14"/>
  <c r="E241" i="14"/>
  <c r="F241" i="14"/>
  <c r="G241" i="14"/>
  <c r="B242" i="14"/>
  <c r="C242" i="14"/>
  <c r="D242" i="14"/>
  <c r="E242" i="14"/>
  <c r="F242" i="14"/>
  <c r="G242" i="14"/>
  <c r="B243" i="14"/>
  <c r="C243" i="14"/>
  <c r="D243" i="14"/>
  <c r="E243" i="14"/>
  <c r="F243" i="14"/>
  <c r="G243" i="14"/>
  <c r="B244" i="14"/>
  <c r="C244" i="14"/>
  <c r="D244" i="14"/>
  <c r="E244" i="14"/>
  <c r="F244" i="14"/>
  <c r="G244" i="14"/>
  <c r="B245" i="14"/>
  <c r="C245" i="14"/>
  <c r="D245" i="14"/>
  <c r="E245" i="14"/>
  <c r="F245" i="14"/>
  <c r="G245" i="14"/>
  <c r="B246" i="14"/>
  <c r="C246" i="14"/>
  <c r="D246" i="14"/>
  <c r="E246" i="14"/>
  <c r="F246" i="14"/>
  <c r="G246" i="14"/>
  <c r="B247" i="14"/>
  <c r="C247" i="14"/>
  <c r="D247" i="14"/>
  <c r="E247" i="14"/>
  <c r="F247" i="14"/>
  <c r="G247" i="14"/>
  <c r="B248" i="14"/>
  <c r="C248" i="14"/>
  <c r="D248" i="14"/>
  <c r="E248" i="14"/>
  <c r="F248" i="14"/>
  <c r="G248" i="14"/>
  <c r="B249" i="14"/>
  <c r="C249" i="14"/>
  <c r="D249" i="14"/>
  <c r="E249" i="14"/>
  <c r="F249" i="14"/>
  <c r="G249" i="14"/>
  <c r="B250" i="14"/>
  <c r="C250" i="14"/>
  <c r="D250" i="14"/>
  <c r="E250" i="14"/>
  <c r="F250" i="14"/>
  <c r="G250" i="14"/>
  <c r="B251" i="14"/>
  <c r="C251" i="14"/>
  <c r="D251" i="14"/>
  <c r="E251" i="14"/>
  <c r="F251" i="14"/>
  <c r="G251" i="14"/>
  <c r="B252" i="14"/>
  <c r="C252" i="14"/>
  <c r="D252" i="14"/>
  <c r="E252" i="14"/>
  <c r="F252" i="14"/>
  <c r="G252" i="14"/>
  <c r="B253" i="14"/>
  <c r="C253" i="14"/>
  <c r="D253" i="14"/>
  <c r="E253" i="14"/>
  <c r="F253" i="14"/>
  <c r="G253" i="14"/>
  <c r="B254" i="14"/>
  <c r="C254" i="14"/>
  <c r="D254" i="14"/>
  <c r="E254" i="14"/>
  <c r="F254" i="14"/>
  <c r="G254" i="14"/>
  <c r="B255" i="14"/>
  <c r="C255" i="14"/>
  <c r="D255" i="14"/>
  <c r="E255" i="14"/>
  <c r="F255" i="14"/>
  <c r="G255" i="14"/>
  <c r="B256" i="14"/>
  <c r="C256" i="14"/>
  <c r="D256" i="14"/>
  <c r="E256" i="14"/>
  <c r="F256" i="14"/>
  <c r="G256" i="14"/>
  <c r="B257" i="14"/>
  <c r="C257" i="14"/>
  <c r="D257" i="14"/>
  <c r="E257" i="14"/>
  <c r="F257" i="14"/>
  <c r="G257" i="14"/>
  <c r="B258" i="14"/>
  <c r="C258" i="14"/>
  <c r="D258" i="14"/>
  <c r="E258" i="14"/>
  <c r="F258" i="14"/>
  <c r="G258" i="14"/>
  <c r="B259" i="14"/>
  <c r="C259" i="14"/>
  <c r="D259" i="14"/>
  <c r="E259" i="14"/>
  <c r="F259" i="14"/>
  <c r="G259" i="14"/>
  <c r="B260" i="14"/>
  <c r="C260" i="14"/>
  <c r="D260" i="14"/>
  <c r="E260" i="14"/>
  <c r="F260" i="14"/>
  <c r="G260" i="14"/>
  <c r="B261" i="14"/>
  <c r="C261" i="14"/>
  <c r="D261" i="14"/>
  <c r="E261" i="14"/>
  <c r="F261" i="14"/>
  <c r="G261" i="14"/>
  <c r="B262" i="14"/>
  <c r="C262" i="14"/>
  <c r="D262" i="14"/>
  <c r="E262" i="14"/>
  <c r="F262" i="14"/>
  <c r="G262" i="14"/>
  <c r="B263" i="14"/>
  <c r="C263" i="14"/>
  <c r="D263" i="14"/>
  <c r="E263" i="14"/>
  <c r="F263" i="14"/>
  <c r="G263" i="14"/>
  <c r="B264" i="14"/>
  <c r="C264" i="14"/>
  <c r="D264" i="14"/>
  <c r="E264" i="14"/>
  <c r="F264" i="14"/>
  <c r="G264" i="14"/>
  <c r="B265" i="14"/>
  <c r="C265" i="14"/>
  <c r="D265" i="14"/>
  <c r="E265" i="14"/>
  <c r="F265" i="14"/>
  <c r="G265" i="14"/>
  <c r="B266" i="14"/>
  <c r="C266" i="14"/>
  <c r="D266" i="14"/>
  <c r="E266" i="14"/>
  <c r="F266" i="14"/>
  <c r="G266" i="14"/>
  <c r="B267" i="14"/>
  <c r="C267" i="14"/>
  <c r="D267" i="14"/>
  <c r="E267" i="14"/>
  <c r="F267" i="14"/>
  <c r="G267" i="14"/>
  <c r="B268" i="14"/>
  <c r="C268" i="14"/>
  <c r="D268" i="14"/>
  <c r="E268" i="14"/>
  <c r="F268" i="14"/>
  <c r="G268" i="14"/>
  <c r="B269" i="14"/>
  <c r="C269" i="14"/>
  <c r="D269" i="14"/>
  <c r="E269" i="14"/>
  <c r="F269" i="14"/>
  <c r="G269" i="14"/>
  <c r="B270" i="14"/>
  <c r="C270" i="14"/>
  <c r="D270" i="14"/>
  <c r="E270" i="14"/>
  <c r="F270" i="14"/>
  <c r="G270" i="14"/>
  <c r="B271" i="14"/>
  <c r="C271" i="14"/>
  <c r="D271" i="14"/>
  <c r="E271" i="14"/>
  <c r="F271" i="14"/>
  <c r="G271" i="14"/>
  <c r="B272" i="14"/>
  <c r="C272" i="14"/>
  <c r="D272" i="14"/>
  <c r="E272" i="14"/>
  <c r="F272" i="14"/>
  <c r="G272" i="14"/>
  <c r="B273" i="14"/>
  <c r="C273" i="14"/>
  <c r="D273" i="14"/>
  <c r="E273" i="14"/>
  <c r="F273" i="14"/>
  <c r="G273" i="14"/>
  <c r="B274" i="14"/>
  <c r="C274" i="14"/>
  <c r="D274" i="14"/>
  <c r="E274" i="14"/>
  <c r="F274" i="14"/>
  <c r="G274" i="14"/>
  <c r="B275" i="14"/>
  <c r="C275" i="14"/>
  <c r="D275" i="14"/>
  <c r="E275" i="14"/>
  <c r="F275" i="14"/>
  <c r="G275" i="14"/>
  <c r="B276" i="14"/>
  <c r="C276" i="14"/>
  <c r="D276" i="14"/>
  <c r="E276" i="14"/>
  <c r="F276" i="14"/>
  <c r="G276" i="14"/>
  <c r="B277" i="14"/>
  <c r="C277" i="14"/>
  <c r="D277" i="14"/>
  <c r="E277" i="14"/>
  <c r="F277" i="14"/>
  <c r="G277" i="14"/>
  <c r="B278" i="14"/>
  <c r="C278" i="14"/>
  <c r="D278" i="14"/>
  <c r="E278" i="14"/>
  <c r="F278" i="14"/>
  <c r="G278" i="14"/>
  <c r="B279" i="14"/>
  <c r="C279" i="14"/>
  <c r="D279" i="14"/>
  <c r="E279" i="14"/>
  <c r="F279" i="14"/>
  <c r="G279" i="14"/>
  <c r="B280" i="14"/>
  <c r="C280" i="14"/>
  <c r="D280" i="14"/>
  <c r="E280" i="14"/>
  <c r="F280" i="14"/>
  <c r="G280" i="14"/>
  <c r="B281" i="14"/>
  <c r="C281" i="14"/>
  <c r="D281" i="14"/>
  <c r="E281" i="14"/>
  <c r="F281" i="14"/>
  <c r="G281" i="14"/>
  <c r="B282" i="14"/>
  <c r="C282" i="14"/>
  <c r="D282" i="14"/>
  <c r="E282" i="14"/>
  <c r="F282" i="14"/>
  <c r="G282" i="14"/>
  <c r="B283" i="14"/>
  <c r="C283" i="14"/>
  <c r="D283" i="14"/>
  <c r="E283" i="14"/>
  <c r="F283" i="14"/>
  <c r="G283" i="14"/>
  <c r="B284" i="14"/>
  <c r="C284" i="14"/>
  <c r="D284" i="14"/>
  <c r="E284" i="14"/>
  <c r="F284" i="14"/>
  <c r="G284" i="14"/>
  <c r="B285" i="14"/>
  <c r="C285" i="14"/>
  <c r="D285" i="14"/>
  <c r="E285" i="14"/>
  <c r="F285" i="14"/>
  <c r="G285" i="14"/>
  <c r="B286" i="14"/>
  <c r="C286" i="14"/>
  <c r="D286" i="14"/>
  <c r="E286" i="14"/>
  <c r="F286" i="14"/>
  <c r="G286" i="14"/>
  <c r="B287" i="14"/>
  <c r="C287" i="14"/>
  <c r="D287" i="14"/>
  <c r="E287" i="14"/>
  <c r="F287" i="14"/>
  <c r="G287" i="14"/>
  <c r="B288" i="14"/>
  <c r="C288" i="14"/>
  <c r="D288" i="14"/>
  <c r="E288" i="14"/>
  <c r="F288" i="14"/>
  <c r="G288" i="14"/>
  <c r="B289" i="14"/>
  <c r="C289" i="14"/>
  <c r="D289" i="14"/>
  <c r="E289" i="14"/>
  <c r="F289" i="14"/>
  <c r="G289" i="14"/>
  <c r="B290" i="14"/>
  <c r="C290" i="14"/>
  <c r="D290" i="14"/>
  <c r="E290" i="14"/>
  <c r="F290" i="14"/>
  <c r="G290" i="14"/>
  <c r="B291" i="14"/>
  <c r="C291" i="14"/>
  <c r="D291" i="14"/>
  <c r="E291" i="14"/>
  <c r="F291" i="14"/>
  <c r="G291" i="14"/>
  <c r="B292" i="14"/>
  <c r="C292" i="14"/>
  <c r="D292" i="14"/>
  <c r="E292" i="14"/>
  <c r="F292" i="14"/>
  <c r="G292" i="14"/>
  <c r="B293" i="14"/>
  <c r="C293" i="14"/>
  <c r="D293" i="14"/>
  <c r="E293" i="14"/>
  <c r="F293" i="14"/>
  <c r="G293" i="14"/>
  <c r="G3" i="14"/>
  <c r="F3" i="14"/>
  <c r="E3" i="14"/>
  <c r="D3" i="14"/>
  <c r="C3" i="14"/>
  <c r="B3" i="14"/>
  <c r="A4" i="12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3" i="12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3" i="9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2" i="7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L67" i="14" l="1"/>
  <c r="L43" i="14"/>
  <c r="L35" i="14"/>
  <c r="I99" i="14"/>
  <c r="M99" i="14" s="1"/>
  <c r="I91" i="14"/>
  <c r="M91" i="14" s="1"/>
  <c r="I83" i="14"/>
  <c r="M83" i="14" s="1"/>
  <c r="I75" i="14"/>
  <c r="O75" i="14" s="1"/>
  <c r="I67" i="14"/>
  <c r="O67" i="14" s="1"/>
  <c r="I59" i="14"/>
  <c r="O59" i="14" s="1"/>
  <c r="I51" i="14"/>
  <c r="O51" i="14" s="1"/>
  <c r="I43" i="14"/>
  <c r="O43" i="14" s="1"/>
  <c r="I35" i="14"/>
  <c r="O35" i="14" s="1"/>
  <c r="I100" i="14"/>
  <c r="M100" i="14" s="1"/>
  <c r="I92" i="14"/>
  <c r="M92" i="14" s="1"/>
  <c r="I84" i="14"/>
  <c r="M84" i="14" s="1"/>
  <c r="I76" i="14"/>
  <c r="L76" i="14" s="1"/>
  <c r="I68" i="14"/>
  <c r="L68" i="14" s="1"/>
  <c r="I60" i="14"/>
  <c r="L60" i="14" s="1"/>
  <c r="I52" i="14"/>
  <c r="L52" i="14" s="1"/>
  <c r="I44" i="14"/>
  <c r="L44" i="14" s="1"/>
  <c r="I36" i="14"/>
  <c r="L36" i="14" s="1"/>
  <c r="I291" i="14"/>
  <c r="I287" i="14"/>
  <c r="I283" i="14"/>
  <c r="I279" i="14"/>
  <c r="I275" i="14"/>
  <c r="I271" i="14"/>
  <c r="I267" i="14"/>
  <c r="I263" i="14"/>
  <c r="I259" i="14"/>
  <c r="I255" i="14"/>
  <c r="I251" i="14"/>
  <c r="I247" i="14"/>
  <c r="I3" i="14"/>
  <c r="I290" i="14"/>
  <c r="I286" i="14"/>
  <c r="I282" i="14"/>
  <c r="I278" i="14"/>
  <c r="I274" i="14"/>
  <c r="I270" i="14"/>
  <c r="I266" i="14"/>
  <c r="I262" i="14"/>
  <c r="I258" i="14"/>
  <c r="I293" i="14"/>
  <c r="I289" i="14"/>
  <c r="I285" i="14"/>
  <c r="I281" i="14"/>
  <c r="I277" i="14"/>
  <c r="I273" i="14"/>
  <c r="I269" i="14"/>
  <c r="I265" i="14"/>
  <c r="I261" i="14"/>
  <c r="I292" i="14"/>
  <c r="I288" i="14"/>
  <c r="I284" i="14"/>
  <c r="I280" i="14"/>
  <c r="I276" i="14"/>
  <c r="I272" i="14"/>
  <c r="I268" i="14"/>
  <c r="I264" i="14"/>
  <c r="I260" i="14"/>
  <c r="I256" i="14"/>
  <c r="I252" i="14"/>
  <c r="I248" i="14"/>
  <c r="I243" i="14"/>
  <c r="I239" i="14"/>
  <c r="I235" i="14"/>
  <c r="M235" i="14" s="1"/>
  <c r="I231" i="14"/>
  <c r="I227" i="14"/>
  <c r="I223" i="14"/>
  <c r="I219" i="14"/>
  <c r="M219" i="14" s="1"/>
  <c r="I215" i="14"/>
  <c r="I211" i="14"/>
  <c r="I207" i="14"/>
  <c r="I203" i="14"/>
  <c r="M203" i="14" s="1"/>
  <c r="I199" i="14"/>
  <c r="I195" i="14"/>
  <c r="I191" i="14"/>
  <c r="M191" i="14" s="1"/>
  <c r="I187" i="14"/>
  <c r="K187" i="14" s="1"/>
  <c r="I183" i="14"/>
  <c r="O183" i="14" s="1"/>
  <c r="I179" i="14"/>
  <c r="I175" i="14"/>
  <c r="P175" i="14" s="1"/>
  <c r="I171" i="14"/>
  <c r="L171" i="14" s="1"/>
  <c r="I167" i="14"/>
  <c r="P167" i="14" s="1"/>
  <c r="I163" i="14"/>
  <c r="L163" i="14" s="1"/>
  <c r="I159" i="14"/>
  <c r="P159" i="14" s="1"/>
  <c r="I155" i="14"/>
  <c r="L155" i="14" s="1"/>
  <c r="I151" i="14"/>
  <c r="P151" i="14" s="1"/>
  <c r="I147" i="14"/>
  <c r="M147" i="14" s="1"/>
  <c r="I143" i="14"/>
  <c r="P143" i="14" s="1"/>
  <c r="I139" i="14"/>
  <c r="M139" i="14" s="1"/>
  <c r="I135" i="14"/>
  <c r="P135" i="14" s="1"/>
  <c r="I131" i="14"/>
  <c r="M131" i="14" s="1"/>
  <c r="I127" i="14"/>
  <c r="P127" i="14" s="1"/>
  <c r="I123" i="14"/>
  <c r="M123" i="14" s="1"/>
  <c r="I119" i="14"/>
  <c r="P119" i="14" s="1"/>
  <c r="I115" i="14"/>
  <c r="M115" i="14" s="1"/>
  <c r="I111" i="14"/>
  <c r="P111" i="14" s="1"/>
  <c r="I107" i="14"/>
  <c r="M107" i="14" s="1"/>
  <c r="I254" i="14"/>
  <c r="I250" i="14"/>
  <c r="I246" i="14"/>
  <c r="K246" i="14" s="1"/>
  <c r="I242" i="14"/>
  <c r="O242" i="14" s="1"/>
  <c r="I238" i="14"/>
  <c r="I234" i="14"/>
  <c r="I230" i="14"/>
  <c r="K230" i="14" s="1"/>
  <c r="I226" i="14"/>
  <c r="O226" i="14" s="1"/>
  <c r="I222" i="14"/>
  <c r="I218" i="14"/>
  <c r="I214" i="14"/>
  <c r="K214" i="14" s="1"/>
  <c r="I210" i="14"/>
  <c r="O210" i="14" s="1"/>
  <c r="I206" i="14"/>
  <c r="I202" i="14"/>
  <c r="I198" i="14"/>
  <c r="K198" i="14" s="1"/>
  <c r="I194" i="14"/>
  <c r="O194" i="14" s="1"/>
  <c r="I190" i="14"/>
  <c r="O190" i="14" s="1"/>
  <c r="I186" i="14"/>
  <c r="I182" i="14"/>
  <c r="N182" i="14" s="1"/>
  <c r="I178" i="14"/>
  <c r="N178" i="14" s="1"/>
  <c r="I174" i="14"/>
  <c r="P174" i="14" s="1"/>
  <c r="I170" i="14"/>
  <c r="N170" i="14" s="1"/>
  <c r="I166" i="14"/>
  <c r="N166" i="14" s="1"/>
  <c r="I162" i="14"/>
  <c r="N162" i="14" s="1"/>
  <c r="I158" i="14"/>
  <c r="P158" i="14" s="1"/>
  <c r="I154" i="14"/>
  <c r="N154" i="14" s="1"/>
  <c r="I150" i="14"/>
  <c r="P150" i="14" s="1"/>
  <c r="I146" i="14"/>
  <c r="N146" i="14" s="1"/>
  <c r="I142" i="14"/>
  <c r="P142" i="14" s="1"/>
  <c r="I138" i="14"/>
  <c r="N138" i="14" s="1"/>
  <c r="I134" i="14"/>
  <c r="P134" i="14" s="1"/>
  <c r="I130" i="14"/>
  <c r="N130" i="14" s="1"/>
  <c r="I126" i="14"/>
  <c r="P126" i="14" s="1"/>
  <c r="I122" i="14"/>
  <c r="N122" i="14" s="1"/>
  <c r="I118" i="14"/>
  <c r="P118" i="14" s="1"/>
  <c r="I114" i="14"/>
  <c r="N114" i="14" s="1"/>
  <c r="I110" i="14"/>
  <c r="P110" i="14" s="1"/>
  <c r="I106" i="14"/>
  <c r="N106" i="14" s="1"/>
  <c r="I102" i="14"/>
  <c r="P102" i="14" s="1"/>
  <c r="I257" i="14"/>
  <c r="I253" i="14"/>
  <c r="I249" i="14"/>
  <c r="I245" i="14"/>
  <c r="I241" i="14"/>
  <c r="I237" i="14"/>
  <c r="I233" i="14"/>
  <c r="I229" i="14"/>
  <c r="I225" i="14"/>
  <c r="I221" i="14"/>
  <c r="I217" i="14"/>
  <c r="I213" i="14"/>
  <c r="I209" i="14"/>
  <c r="I205" i="14"/>
  <c r="I201" i="14"/>
  <c r="I197" i="14"/>
  <c r="I193" i="14"/>
  <c r="I189" i="14"/>
  <c r="K189" i="14" s="1"/>
  <c r="I185" i="14"/>
  <c r="I181" i="14"/>
  <c r="M181" i="14" s="1"/>
  <c r="I177" i="14"/>
  <c r="L177" i="14" s="1"/>
  <c r="I173" i="14"/>
  <c r="K173" i="14" s="1"/>
  <c r="I169" i="14"/>
  <c r="O169" i="14" s="1"/>
  <c r="I165" i="14"/>
  <c r="M165" i="14" s="1"/>
  <c r="I161" i="14"/>
  <c r="L161" i="14" s="1"/>
  <c r="I157" i="14"/>
  <c r="K157" i="14" s="1"/>
  <c r="I153" i="14"/>
  <c r="O153" i="14" s="1"/>
  <c r="I149" i="14"/>
  <c r="L149" i="14" s="1"/>
  <c r="I145" i="14"/>
  <c r="O145" i="14" s="1"/>
  <c r="I141" i="14"/>
  <c r="L141" i="14" s="1"/>
  <c r="I137" i="14"/>
  <c r="O137" i="14" s="1"/>
  <c r="I133" i="14"/>
  <c r="L133" i="14" s="1"/>
  <c r="I129" i="14"/>
  <c r="O129" i="14" s="1"/>
  <c r="I125" i="14"/>
  <c r="L125" i="14" s="1"/>
  <c r="I121" i="14"/>
  <c r="O121" i="14" s="1"/>
  <c r="I117" i="14"/>
  <c r="L117" i="14" s="1"/>
  <c r="I113" i="14"/>
  <c r="O113" i="14" s="1"/>
  <c r="I109" i="14"/>
  <c r="L109" i="14" s="1"/>
  <c r="I105" i="14"/>
  <c r="O105" i="14" s="1"/>
  <c r="I101" i="14"/>
  <c r="L101" i="14" s="1"/>
  <c r="I244" i="14"/>
  <c r="I240" i="14"/>
  <c r="O240" i="14" s="1"/>
  <c r="I236" i="14"/>
  <c r="I232" i="14"/>
  <c r="O232" i="14" s="1"/>
  <c r="I228" i="14"/>
  <c r="I224" i="14"/>
  <c r="O224" i="14" s="1"/>
  <c r="I220" i="14"/>
  <c r="I216" i="14"/>
  <c r="O216" i="14" s="1"/>
  <c r="I212" i="14"/>
  <c r="I208" i="14"/>
  <c r="O208" i="14" s="1"/>
  <c r="I204" i="14"/>
  <c r="I200" i="14"/>
  <c r="O200" i="14" s="1"/>
  <c r="I196" i="14"/>
  <c r="I192" i="14"/>
  <c r="I188" i="14"/>
  <c r="I184" i="14"/>
  <c r="K184" i="14" s="1"/>
  <c r="I180" i="14"/>
  <c r="N180" i="14" s="1"/>
  <c r="I176" i="14"/>
  <c r="N176" i="14" s="1"/>
  <c r="I172" i="14"/>
  <c r="M172" i="14" s="1"/>
  <c r="I168" i="14"/>
  <c r="N168" i="14" s="1"/>
  <c r="I164" i="14"/>
  <c r="M164" i="14" s="1"/>
  <c r="I160" i="14"/>
  <c r="N160" i="14" s="1"/>
  <c r="I156" i="14"/>
  <c r="M156" i="14" s="1"/>
  <c r="I152" i="14"/>
  <c r="O152" i="14" s="1"/>
  <c r="I148" i="14"/>
  <c r="M148" i="14" s="1"/>
  <c r="I144" i="14"/>
  <c r="O144" i="14" s="1"/>
  <c r="I140" i="14"/>
  <c r="M140" i="14" s="1"/>
  <c r="I136" i="14"/>
  <c r="O136" i="14" s="1"/>
  <c r="I132" i="14"/>
  <c r="M132" i="14" s="1"/>
  <c r="I128" i="14"/>
  <c r="O128" i="14" s="1"/>
  <c r="I124" i="14"/>
  <c r="M124" i="14" s="1"/>
  <c r="I120" i="14"/>
  <c r="O120" i="14" s="1"/>
  <c r="I116" i="14"/>
  <c r="M116" i="14" s="1"/>
  <c r="I112" i="14"/>
  <c r="O112" i="14" s="1"/>
  <c r="I108" i="14"/>
  <c r="M108" i="14" s="1"/>
  <c r="I97" i="14"/>
  <c r="O97" i="14" s="1"/>
  <c r="I93" i="14"/>
  <c r="L93" i="14" s="1"/>
  <c r="I89" i="14"/>
  <c r="O89" i="14" s="1"/>
  <c r="I85" i="14"/>
  <c r="L85" i="14" s="1"/>
  <c r="I81" i="14"/>
  <c r="O81" i="14" s="1"/>
  <c r="I77" i="14"/>
  <c r="L77" i="14" s="1"/>
  <c r="I73" i="14"/>
  <c r="K73" i="14" s="1"/>
  <c r="I69" i="14"/>
  <c r="L69" i="14" s="1"/>
  <c r="I65" i="14"/>
  <c r="K65" i="14" s="1"/>
  <c r="I61" i="14"/>
  <c r="L61" i="14" s="1"/>
  <c r="I57" i="14"/>
  <c r="K57" i="14" s="1"/>
  <c r="I53" i="14"/>
  <c r="L53" i="14" s="1"/>
  <c r="I49" i="14"/>
  <c r="K49" i="14" s="1"/>
  <c r="I45" i="14"/>
  <c r="L45" i="14" s="1"/>
  <c r="I41" i="14"/>
  <c r="K41" i="14" s="1"/>
  <c r="I37" i="14"/>
  <c r="L37" i="14" s="1"/>
  <c r="I33" i="14"/>
  <c r="K33" i="14" s="1"/>
  <c r="I29" i="14"/>
  <c r="L29" i="14" s="1"/>
  <c r="I25" i="14"/>
  <c r="K25" i="14" s="1"/>
  <c r="I21" i="14"/>
  <c r="L21" i="14" s="1"/>
  <c r="I17" i="14"/>
  <c r="K17" i="14" s="1"/>
  <c r="I13" i="14"/>
  <c r="L13" i="14" s="1"/>
  <c r="I9" i="14"/>
  <c r="K9" i="14" s="1"/>
  <c r="I5" i="14"/>
  <c r="L5" i="14" s="1"/>
  <c r="I28" i="14"/>
  <c r="L28" i="14" s="1"/>
  <c r="I24" i="14"/>
  <c r="O24" i="14" s="1"/>
  <c r="I20" i="14"/>
  <c r="L20" i="14" s="1"/>
  <c r="I16" i="14"/>
  <c r="O16" i="14" s="1"/>
  <c r="I12" i="14"/>
  <c r="L12" i="14" s="1"/>
  <c r="I8" i="14"/>
  <c r="O8" i="14" s="1"/>
  <c r="I4" i="14"/>
  <c r="L4" i="14" s="1"/>
  <c r="I27" i="14"/>
  <c r="O27" i="14" s="1"/>
  <c r="I23" i="14"/>
  <c r="P23" i="14" s="1"/>
  <c r="I19" i="14"/>
  <c r="O19" i="14" s="1"/>
  <c r="I15" i="14"/>
  <c r="P15" i="14" s="1"/>
  <c r="I11" i="14"/>
  <c r="O11" i="14" s="1"/>
  <c r="I7" i="14"/>
  <c r="P7" i="14" s="1"/>
  <c r="I104" i="14"/>
  <c r="O104" i="14" s="1"/>
  <c r="I96" i="14"/>
  <c r="O96" i="14" s="1"/>
  <c r="I88" i="14"/>
  <c r="O88" i="14" s="1"/>
  <c r="I80" i="14"/>
  <c r="O80" i="14" s="1"/>
  <c r="I72" i="14"/>
  <c r="O72" i="14" s="1"/>
  <c r="I64" i="14"/>
  <c r="O64" i="14" s="1"/>
  <c r="I56" i="14"/>
  <c r="O56" i="14" s="1"/>
  <c r="I48" i="14"/>
  <c r="O48" i="14" s="1"/>
  <c r="I40" i="14"/>
  <c r="O40" i="14" s="1"/>
  <c r="I32" i="14"/>
  <c r="O32" i="14" s="1"/>
  <c r="I98" i="14"/>
  <c r="N98" i="14" s="1"/>
  <c r="I94" i="14"/>
  <c r="P94" i="14" s="1"/>
  <c r="I90" i="14"/>
  <c r="N90" i="14" s="1"/>
  <c r="I86" i="14"/>
  <c r="P86" i="14" s="1"/>
  <c r="I82" i="14"/>
  <c r="N82" i="14" s="1"/>
  <c r="I78" i="14"/>
  <c r="P78" i="14" s="1"/>
  <c r="I74" i="14"/>
  <c r="N74" i="14" s="1"/>
  <c r="I70" i="14"/>
  <c r="M70" i="14" s="1"/>
  <c r="I66" i="14"/>
  <c r="N66" i="14" s="1"/>
  <c r="I62" i="14"/>
  <c r="M62" i="14" s="1"/>
  <c r="I58" i="14"/>
  <c r="N58" i="14" s="1"/>
  <c r="I54" i="14"/>
  <c r="M54" i="14" s="1"/>
  <c r="I50" i="14"/>
  <c r="N50" i="14" s="1"/>
  <c r="I46" i="14"/>
  <c r="M46" i="14" s="1"/>
  <c r="I42" i="14"/>
  <c r="N42" i="14" s="1"/>
  <c r="I38" i="14"/>
  <c r="M38" i="14" s="1"/>
  <c r="I34" i="14"/>
  <c r="N34" i="14" s="1"/>
  <c r="I30" i="14"/>
  <c r="M30" i="14" s="1"/>
  <c r="I26" i="14"/>
  <c r="N26" i="14" s="1"/>
  <c r="I22" i="14"/>
  <c r="M22" i="14" s="1"/>
  <c r="I18" i="14"/>
  <c r="N18" i="14" s="1"/>
  <c r="I14" i="14"/>
  <c r="M14" i="14" s="1"/>
  <c r="I10" i="14"/>
  <c r="N10" i="14" s="1"/>
  <c r="I6" i="14"/>
  <c r="M6" i="14" s="1"/>
  <c r="I103" i="14"/>
  <c r="P103" i="14" s="1"/>
  <c r="I95" i="14"/>
  <c r="P95" i="14" s="1"/>
  <c r="I87" i="14"/>
  <c r="P87" i="14" s="1"/>
  <c r="I79" i="14"/>
  <c r="P79" i="14" s="1"/>
  <c r="I71" i="14"/>
  <c r="P71" i="14" s="1"/>
  <c r="I63" i="14"/>
  <c r="P63" i="14" s="1"/>
  <c r="I55" i="14"/>
  <c r="P55" i="14" s="1"/>
  <c r="I47" i="14"/>
  <c r="P47" i="14" s="1"/>
  <c r="I39" i="14"/>
  <c r="P39" i="14" s="1"/>
  <c r="I31" i="14"/>
  <c r="P31" i="14" s="1"/>
  <c r="A5" i="2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B65" i="5"/>
  <c r="C65" i="5"/>
  <c r="B66" i="5"/>
  <c r="C66" i="5"/>
  <c r="B67" i="5"/>
  <c r="C67" i="5"/>
  <c r="B68" i="5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92" i="5"/>
  <c r="C92" i="5"/>
  <c r="B93" i="5"/>
  <c r="C93" i="5"/>
  <c r="B94" i="5"/>
  <c r="C94" i="5"/>
  <c r="B95" i="5"/>
  <c r="C95" i="5"/>
  <c r="B96" i="5"/>
  <c r="C96" i="5"/>
  <c r="B97" i="5"/>
  <c r="C97" i="5"/>
  <c r="B98" i="5"/>
  <c r="C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C133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B152" i="5"/>
  <c r="C152" i="5"/>
  <c r="B153" i="5"/>
  <c r="C153" i="5"/>
  <c r="B154" i="5"/>
  <c r="C154" i="5"/>
  <c r="B155" i="5"/>
  <c r="C155" i="5"/>
  <c r="B156" i="5"/>
  <c r="C156" i="5"/>
  <c r="B157" i="5"/>
  <c r="C157" i="5"/>
  <c r="B158" i="5"/>
  <c r="C158" i="5"/>
  <c r="B159" i="5"/>
  <c r="C159" i="5"/>
  <c r="B160" i="5"/>
  <c r="C160" i="5"/>
  <c r="B161" i="5"/>
  <c r="C161" i="5"/>
  <c r="B162" i="5"/>
  <c r="C162" i="5"/>
  <c r="B163" i="5"/>
  <c r="C163" i="5"/>
  <c r="B164" i="5"/>
  <c r="C164" i="5"/>
  <c r="B165" i="5"/>
  <c r="C165" i="5"/>
  <c r="B166" i="5"/>
  <c r="C166" i="5"/>
  <c r="B167" i="5"/>
  <c r="C167" i="5"/>
  <c r="B168" i="5"/>
  <c r="C168" i="5"/>
  <c r="B169" i="5"/>
  <c r="C169" i="5"/>
  <c r="B170" i="5"/>
  <c r="C170" i="5"/>
  <c r="B171" i="5"/>
  <c r="C171" i="5"/>
  <c r="B172" i="5"/>
  <c r="C172" i="5"/>
  <c r="B173" i="5"/>
  <c r="C173" i="5"/>
  <c r="B174" i="5"/>
  <c r="C174" i="5"/>
  <c r="B175" i="5"/>
  <c r="C175" i="5"/>
  <c r="B176" i="5"/>
  <c r="C176" i="5"/>
  <c r="B177" i="5"/>
  <c r="C177" i="5"/>
  <c r="B178" i="5"/>
  <c r="C178" i="5"/>
  <c r="B179" i="5"/>
  <c r="C179" i="5"/>
  <c r="B180" i="5"/>
  <c r="C180" i="5"/>
  <c r="B181" i="5"/>
  <c r="C181" i="5"/>
  <c r="B182" i="5"/>
  <c r="C182" i="5"/>
  <c r="B183" i="5"/>
  <c r="C183" i="5"/>
  <c r="B184" i="5"/>
  <c r="C184" i="5"/>
  <c r="B185" i="5"/>
  <c r="C185" i="5"/>
  <c r="B186" i="5"/>
  <c r="C186" i="5"/>
  <c r="B187" i="5"/>
  <c r="C187" i="5"/>
  <c r="B188" i="5"/>
  <c r="C188" i="5"/>
  <c r="B189" i="5"/>
  <c r="C189" i="5"/>
  <c r="B190" i="5"/>
  <c r="C190" i="5"/>
  <c r="B191" i="5"/>
  <c r="C191" i="5"/>
  <c r="B192" i="5"/>
  <c r="C192" i="5"/>
  <c r="B193" i="5"/>
  <c r="C193" i="5"/>
  <c r="B194" i="5"/>
  <c r="C194" i="5"/>
  <c r="B195" i="5"/>
  <c r="C195" i="5"/>
  <c r="B196" i="5"/>
  <c r="C196" i="5"/>
  <c r="B197" i="5"/>
  <c r="C197" i="5"/>
  <c r="B198" i="5"/>
  <c r="C198" i="5"/>
  <c r="B199" i="5"/>
  <c r="C199" i="5"/>
  <c r="B200" i="5"/>
  <c r="C200" i="5"/>
  <c r="B201" i="5"/>
  <c r="C201" i="5"/>
  <c r="B202" i="5"/>
  <c r="C202" i="5"/>
  <c r="B203" i="5"/>
  <c r="C203" i="5"/>
  <c r="B204" i="5"/>
  <c r="C204" i="5"/>
  <c r="B205" i="5"/>
  <c r="C205" i="5"/>
  <c r="B206" i="5"/>
  <c r="C206" i="5"/>
  <c r="B207" i="5"/>
  <c r="C207" i="5"/>
  <c r="B208" i="5"/>
  <c r="C208" i="5"/>
  <c r="B209" i="5"/>
  <c r="C209" i="5"/>
  <c r="B210" i="5"/>
  <c r="C210" i="5"/>
  <c r="B211" i="5"/>
  <c r="C211" i="5"/>
  <c r="B212" i="5"/>
  <c r="C212" i="5"/>
  <c r="B213" i="5"/>
  <c r="C213" i="5"/>
  <c r="B214" i="5"/>
  <c r="C214" i="5"/>
  <c r="B215" i="5"/>
  <c r="C215" i="5"/>
  <c r="B216" i="5"/>
  <c r="C216" i="5"/>
  <c r="B217" i="5"/>
  <c r="C217" i="5"/>
  <c r="B218" i="5"/>
  <c r="C218" i="5"/>
  <c r="B219" i="5"/>
  <c r="C219" i="5"/>
  <c r="B220" i="5"/>
  <c r="C220" i="5"/>
  <c r="B221" i="5"/>
  <c r="C221" i="5"/>
  <c r="B222" i="5"/>
  <c r="C222" i="5"/>
  <c r="B223" i="5"/>
  <c r="C223" i="5"/>
  <c r="B224" i="5"/>
  <c r="C224" i="5"/>
  <c r="B225" i="5"/>
  <c r="C225" i="5"/>
  <c r="B226" i="5"/>
  <c r="C226" i="5"/>
  <c r="B227" i="5"/>
  <c r="C227" i="5"/>
  <c r="B228" i="5"/>
  <c r="C228" i="5"/>
  <c r="B229" i="5"/>
  <c r="C229" i="5"/>
  <c r="B230" i="5"/>
  <c r="C230" i="5"/>
  <c r="B231" i="5"/>
  <c r="C231" i="5"/>
  <c r="B232" i="5"/>
  <c r="C232" i="5"/>
  <c r="B233" i="5"/>
  <c r="C233" i="5"/>
  <c r="B234" i="5"/>
  <c r="C234" i="5"/>
  <c r="B235" i="5"/>
  <c r="C235" i="5"/>
  <c r="B236" i="5"/>
  <c r="C236" i="5"/>
  <c r="B237" i="5"/>
  <c r="C237" i="5"/>
  <c r="B238" i="5"/>
  <c r="C238" i="5"/>
  <c r="B239" i="5"/>
  <c r="C239" i="5"/>
  <c r="B240" i="5"/>
  <c r="C240" i="5"/>
  <c r="B241" i="5"/>
  <c r="C241" i="5"/>
  <c r="B242" i="5"/>
  <c r="C242" i="5"/>
  <c r="B243" i="5"/>
  <c r="C243" i="5"/>
  <c r="B244" i="5"/>
  <c r="C244" i="5"/>
  <c r="B245" i="5"/>
  <c r="C245" i="5"/>
  <c r="B246" i="5"/>
  <c r="C246" i="5"/>
  <c r="B247" i="5"/>
  <c r="C247" i="5"/>
  <c r="B248" i="5"/>
  <c r="C248" i="5"/>
  <c r="B249" i="5"/>
  <c r="C249" i="5"/>
  <c r="B250" i="5"/>
  <c r="C250" i="5"/>
  <c r="B251" i="5"/>
  <c r="C251" i="5"/>
  <c r="B252" i="5"/>
  <c r="C252" i="5"/>
  <c r="B253" i="5"/>
  <c r="C253" i="5"/>
  <c r="B254" i="5"/>
  <c r="C254" i="5"/>
  <c r="B255" i="5"/>
  <c r="C255" i="5"/>
  <c r="B256" i="5"/>
  <c r="C256" i="5"/>
  <c r="B257" i="5"/>
  <c r="C257" i="5"/>
  <c r="B258" i="5"/>
  <c r="C258" i="5"/>
  <c r="B259" i="5"/>
  <c r="C259" i="5"/>
  <c r="B260" i="5"/>
  <c r="C260" i="5"/>
  <c r="B261" i="5"/>
  <c r="C261" i="5"/>
  <c r="B262" i="5"/>
  <c r="C262" i="5"/>
  <c r="B263" i="5"/>
  <c r="C263" i="5"/>
  <c r="B264" i="5"/>
  <c r="C264" i="5"/>
  <c r="B265" i="5"/>
  <c r="C265" i="5"/>
  <c r="B266" i="5"/>
  <c r="C266" i="5"/>
  <c r="B267" i="5"/>
  <c r="C267" i="5"/>
  <c r="B268" i="5"/>
  <c r="C268" i="5"/>
  <c r="B269" i="5"/>
  <c r="C269" i="5"/>
  <c r="B270" i="5"/>
  <c r="C270" i="5"/>
  <c r="B271" i="5"/>
  <c r="C271" i="5"/>
  <c r="B272" i="5"/>
  <c r="C272" i="5"/>
  <c r="B273" i="5"/>
  <c r="C273" i="5"/>
  <c r="B274" i="5"/>
  <c r="C274" i="5"/>
  <c r="B275" i="5"/>
  <c r="C275" i="5"/>
  <c r="B276" i="5"/>
  <c r="C276" i="5"/>
  <c r="B277" i="5"/>
  <c r="C277" i="5"/>
  <c r="B278" i="5"/>
  <c r="C278" i="5"/>
  <c r="B279" i="5"/>
  <c r="C279" i="5"/>
  <c r="B280" i="5"/>
  <c r="C280" i="5"/>
  <c r="B281" i="5"/>
  <c r="C281" i="5"/>
  <c r="B282" i="5"/>
  <c r="C282" i="5"/>
  <c r="B283" i="5"/>
  <c r="C283" i="5"/>
  <c r="B284" i="5"/>
  <c r="C284" i="5"/>
  <c r="B285" i="5"/>
  <c r="C285" i="5"/>
  <c r="B286" i="5"/>
  <c r="C286" i="5"/>
  <c r="B287" i="5"/>
  <c r="C287" i="5"/>
  <c r="B288" i="5"/>
  <c r="C288" i="5"/>
  <c r="B289" i="5"/>
  <c r="C289" i="5"/>
  <c r="B290" i="5"/>
  <c r="C290" i="5"/>
  <c r="B291" i="5"/>
  <c r="C291" i="5"/>
  <c r="B292" i="5"/>
  <c r="C292" i="5"/>
  <c r="B2" i="5"/>
  <c r="C2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B3" i="4"/>
  <c r="C3" i="4"/>
  <c r="D3" i="4"/>
  <c r="E3" i="4"/>
  <c r="B4" i="4"/>
  <c r="C4" i="4"/>
  <c r="D4" i="4"/>
  <c r="E4" i="4"/>
  <c r="B5" i="4"/>
  <c r="C5" i="4"/>
  <c r="D5" i="4"/>
  <c r="E5" i="4"/>
  <c r="B6" i="4"/>
  <c r="C6" i="4"/>
  <c r="D6" i="4"/>
  <c r="E6" i="4"/>
  <c r="B7" i="4"/>
  <c r="C7" i="4"/>
  <c r="D7" i="4"/>
  <c r="E7" i="4"/>
  <c r="B8" i="4"/>
  <c r="C8" i="4"/>
  <c r="D8" i="4"/>
  <c r="E8" i="4"/>
  <c r="B9" i="4"/>
  <c r="C9" i="4"/>
  <c r="D9" i="4"/>
  <c r="E9" i="4"/>
  <c r="B10" i="4"/>
  <c r="C10" i="4"/>
  <c r="D10" i="4"/>
  <c r="E10" i="4"/>
  <c r="B11" i="4"/>
  <c r="C11" i="4"/>
  <c r="D11" i="4"/>
  <c r="E11" i="4"/>
  <c r="B12" i="4"/>
  <c r="C12" i="4"/>
  <c r="D12" i="4"/>
  <c r="E12" i="4"/>
  <c r="B13" i="4"/>
  <c r="C13" i="4"/>
  <c r="D13" i="4"/>
  <c r="E13" i="4"/>
  <c r="B14" i="4"/>
  <c r="C14" i="4"/>
  <c r="D14" i="4"/>
  <c r="E14" i="4"/>
  <c r="B15" i="4"/>
  <c r="C15" i="4"/>
  <c r="D15" i="4"/>
  <c r="E15" i="4"/>
  <c r="B16" i="4"/>
  <c r="C16" i="4"/>
  <c r="D16" i="4"/>
  <c r="E16" i="4"/>
  <c r="B17" i="4"/>
  <c r="C17" i="4"/>
  <c r="D17" i="4"/>
  <c r="E17" i="4"/>
  <c r="B18" i="4"/>
  <c r="C18" i="4"/>
  <c r="D18" i="4"/>
  <c r="E18" i="4"/>
  <c r="B19" i="4"/>
  <c r="C19" i="4"/>
  <c r="D19" i="4"/>
  <c r="E19" i="4"/>
  <c r="B20" i="4"/>
  <c r="C20" i="4"/>
  <c r="D20" i="4"/>
  <c r="E20" i="4"/>
  <c r="B21" i="4"/>
  <c r="C21" i="4"/>
  <c r="D21" i="4"/>
  <c r="E21" i="4"/>
  <c r="B22" i="4"/>
  <c r="C22" i="4"/>
  <c r="D22" i="4"/>
  <c r="E22" i="4"/>
  <c r="B23" i="4"/>
  <c r="C23" i="4"/>
  <c r="D23" i="4"/>
  <c r="E23" i="4"/>
  <c r="B24" i="4"/>
  <c r="C24" i="4"/>
  <c r="D24" i="4"/>
  <c r="E24" i="4"/>
  <c r="B25" i="4"/>
  <c r="C25" i="4"/>
  <c r="D25" i="4"/>
  <c r="E25" i="4"/>
  <c r="B26" i="4"/>
  <c r="C26" i="4"/>
  <c r="D26" i="4"/>
  <c r="E26" i="4"/>
  <c r="B27" i="4"/>
  <c r="C27" i="4"/>
  <c r="D27" i="4"/>
  <c r="E27" i="4"/>
  <c r="B28" i="4"/>
  <c r="C28" i="4"/>
  <c r="D28" i="4"/>
  <c r="E28" i="4"/>
  <c r="B29" i="4"/>
  <c r="C29" i="4"/>
  <c r="D29" i="4"/>
  <c r="E29" i="4"/>
  <c r="B30" i="4"/>
  <c r="C30" i="4"/>
  <c r="D30" i="4"/>
  <c r="E30" i="4"/>
  <c r="B31" i="4"/>
  <c r="C31" i="4"/>
  <c r="D31" i="4"/>
  <c r="E31" i="4"/>
  <c r="B32" i="4"/>
  <c r="C32" i="4"/>
  <c r="D32" i="4"/>
  <c r="E32" i="4"/>
  <c r="B33" i="4"/>
  <c r="C33" i="4"/>
  <c r="D33" i="4"/>
  <c r="E33" i="4"/>
  <c r="B34" i="4"/>
  <c r="C34" i="4"/>
  <c r="D34" i="4"/>
  <c r="E34" i="4"/>
  <c r="B35" i="4"/>
  <c r="C35" i="4"/>
  <c r="D35" i="4"/>
  <c r="E35" i="4"/>
  <c r="B36" i="4"/>
  <c r="C36" i="4"/>
  <c r="D36" i="4"/>
  <c r="E36" i="4"/>
  <c r="B37" i="4"/>
  <c r="C37" i="4"/>
  <c r="D37" i="4"/>
  <c r="E37" i="4"/>
  <c r="B38" i="4"/>
  <c r="C38" i="4"/>
  <c r="D38" i="4"/>
  <c r="E38" i="4"/>
  <c r="B39" i="4"/>
  <c r="C39" i="4"/>
  <c r="D39" i="4"/>
  <c r="E39" i="4"/>
  <c r="B40" i="4"/>
  <c r="C40" i="4"/>
  <c r="D40" i="4"/>
  <c r="E40" i="4"/>
  <c r="B41" i="4"/>
  <c r="C41" i="4"/>
  <c r="D41" i="4"/>
  <c r="E41" i="4"/>
  <c r="B42" i="4"/>
  <c r="C42" i="4"/>
  <c r="D42" i="4"/>
  <c r="E42" i="4"/>
  <c r="B43" i="4"/>
  <c r="C43" i="4"/>
  <c r="D43" i="4"/>
  <c r="E43" i="4"/>
  <c r="B44" i="4"/>
  <c r="C44" i="4"/>
  <c r="D44" i="4"/>
  <c r="E44" i="4"/>
  <c r="B45" i="4"/>
  <c r="C45" i="4"/>
  <c r="D45" i="4"/>
  <c r="E45" i="4"/>
  <c r="B46" i="4"/>
  <c r="C46" i="4"/>
  <c r="D46" i="4"/>
  <c r="E46" i="4"/>
  <c r="B47" i="4"/>
  <c r="C47" i="4"/>
  <c r="D47" i="4"/>
  <c r="E47" i="4"/>
  <c r="B48" i="4"/>
  <c r="C48" i="4"/>
  <c r="D48" i="4"/>
  <c r="E48" i="4"/>
  <c r="B49" i="4"/>
  <c r="C49" i="4"/>
  <c r="D49" i="4"/>
  <c r="E49" i="4"/>
  <c r="B50" i="4"/>
  <c r="C50" i="4"/>
  <c r="D50" i="4"/>
  <c r="E50" i="4"/>
  <c r="B51" i="4"/>
  <c r="C51" i="4"/>
  <c r="D51" i="4"/>
  <c r="E51" i="4"/>
  <c r="B52" i="4"/>
  <c r="C52" i="4"/>
  <c r="D52" i="4"/>
  <c r="E52" i="4"/>
  <c r="B53" i="4"/>
  <c r="C53" i="4"/>
  <c r="D53" i="4"/>
  <c r="E53" i="4"/>
  <c r="B54" i="4"/>
  <c r="C54" i="4"/>
  <c r="D54" i="4"/>
  <c r="E54" i="4"/>
  <c r="B55" i="4"/>
  <c r="C55" i="4"/>
  <c r="D55" i="4"/>
  <c r="E55" i="4"/>
  <c r="B56" i="4"/>
  <c r="C56" i="4"/>
  <c r="D56" i="4"/>
  <c r="E56" i="4"/>
  <c r="B57" i="4"/>
  <c r="C57" i="4"/>
  <c r="D57" i="4"/>
  <c r="E57" i="4"/>
  <c r="B58" i="4"/>
  <c r="C58" i="4"/>
  <c r="D58" i="4"/>
  <c r="E58" i="4"/>
  <c r="B59" i="4"/>
  <c r="C59" i="4"/>
  <c r="D59" i="4"/>
  <c r="E59" i="4"/>
  <c r="B60" i="4"/>
  <c r="C60" i="4"/>
  <c r="D60" i="4"/>
  <c r="E60" i="4"/>
  <c r="B61" i="4"/>
  <c r="C61" i="4"/>
  <c r="D61" i="4"/>
  <c r="E61" i="4"/>
  <c r="B62" i="4"/>
  <c r="C62" i="4"/>
  <c r="D62" i="4"/>
  <c r="E62" i="4"/>
  <c r="B63" i="4"/>
  <c r="C63" i="4"/>
  <c r="D63" i="4"/>
  <c r="E63" i="4"/>
  <c r="B64" i="4"/>
  <c r="C64" i="4"/>
  <c r="D64" i="4"/>
  <c r="E64" i="4"/>
  <c r="B65" i="4"/>
  <c r="C65" i="4"/>
  <c r="D65" i="4"/>
  <c r="E65" i="4"/>
  <c r="B66" i="4"/>
  <c r="C66" i="4"/>
  <c r="D66" i="4"/>
  <c r="E66" i="4"/>
  <c r="B67" i="4"/>
  <c r="C67" i="4"/>
  <c r="D67" i="4"/>
  <c r="E67" i="4"/>
  <c r="B68" i="4"/>
  <c r="C68" i="4"/>
  <c r="D68" i="4"/>
  <c r="E68" i="4"/>
  <c r="B69" i="4"/>
  <c r="C69" i="4"/>
  <c r="D69" i="4"/>
  <c r="E69" i="4"/>
  <c r="B70" i="4"/>
  <c r="C70" i="4"/>
  <c r="D70" i="4"/>
  <c r="E70" i="4"/>
  <c r="B71" i="4"/>
  <c r="C71" i="4"/>
  <c r="D71" i="4"/>
  <c r="E71" i="4"/>
  <c r="B72" i="4"/>
  <c r="C72" i="4"/>
  <c r="D72" i="4"/>
  <c r="E72" i="4"/>
  <c r="B73" i="4"/>
  <c r="C73" i="4"/>
  <c r="D73" i="4"/>
  <c r="E73" i="4"/>
  <c r="B74" i="4"/>
  <c r="C74" i="4"/>
  <c r="D74" i="4"/>
  <c r="E74" i="4"/>
  <c r="B75" i="4"/>
  <c r="C75" i="4"/>
  <c r="D75" i="4"/>
  <c r="E75" i="4"/>
  <c r="B76" i="4"/>
  <c r="C76" i="4"/>
  <c r="D76" i="4"/>
  <c r="E76" i="4"/>
  <c r="B77" i="4"/>
  <c r="C77" i="4"/>
  <c r="D77" i="4"/>
  <c r="E77" i="4"/>
  <c r="B78" i="4"/>
  <c r="C78" i="4"/>
  <c r="D78" i="4"/>
  <c r="E78" i="4"/>
  <c r="B79" i="4"/>
  <c r="C79" i="4"/>
  <c r="D79" i="4"/>
  <c r="E79" i="4"/>
  <c r="B80" i="4"/>
  <c r="C80" i="4"/>
  <c r="D80" i="4"/>
  <c r="E80" i="4"/>
  <c r="B81" i="4"/>
  <c r="C81" i="4"/>
  <c r="D81" i="4"/>
  <c r="E81" i="4"/>
  <c r="B82" i="4"/>
  <c r="C82" i="4"/>
  <c r="D82" i="4"/>
  <c r="E82" i="4"/>
  <c r="B83" i="4"/>
  <c r="C83" i="4"/>
  <c r="D83" i="4"/>
  <c r="E83" i="4"/>
  <c r="B84" i="4"/>
  <c r="C84" i="4"/>
  <c r="D84" i="4"/>
  <c r="E84" i="4"/>
  <c r="B85" i="4"/>
  <c r="C85" i="4"/>
  <c r="D85" i="4"/>
  <c r="E85" i="4"/>
  <c r="B86" i="4"/>
  <c r="C86" i="4"/>
  <c r="D86" i="4"/>
  <c r="E86" i="4"/>
  <c r="B87" i="4"/>
  <c r="C87" i="4"/>
  <c r="D87" i="4"/>
  <c r="E87" i="4"/>
  <c r="B88" i="4"/>
  <c r="C88" i="4"/>
  <c r="D88" i="4"/>
  <c r="E88" i="4"/>
  <c r="B89" i="4"/>
  <c r="C89" i="4"/>
  <c r="D89" i="4"/>
  <c r="E89" i="4"/>
  <c r="B90" i="4"/>
  <c r="C90" i="4"/>
  <c r="D90" i="4"/>
  <c r="E90" i="4"/>
  <c r="B91" i="4"/>
  <c r="C91" i="4"/>
  <c r="D91" i="4"/>
  <c r="E91" i="4"/>
  <c r="B92" i="4"/>
  <c r="C92" i="4"/>
  <c r="D92" i="4"/>
  <c r="E92" i="4"/>
  <c r="B93" i="4"/>
  <c r="C93" i="4"/>
  <c r="D93" i="4"/>
  <c r="E93" i="4"/>
  <c r="B94" i="4"/>
  <c r="C94" i="4"/>
  <c r="D94" i="4"/>
  <c r="E94" i="4"/>
  <c r="B95" i="4"/>
  <c r="C95" i="4"/>
  <c r="D95" i="4"/>
  <c r="E95" i="4"/>
  <c r="B96" i="4"/>
  <c r="C96" i="4"/>
  <c r="D96" i="4"/>
  <c r="E96" i="4"/>
  <c r="B97" i="4"/>
  <c r="C97" i="4"/>
  <c r="D97" i="4"/>
  <c r="E97" i="4"/>
  <c r="B98" i="4"/>
  <c r="C98" i="4"/>
  <c r="D98" i="4"/>
  <c r="E98" i="4"/>
  <c r="B99" i="4"/>
  <c r="C99" i="4"/>
  <c r="D99" i="4"/>
  <c r="E99" i="4"/>
  <c r="B100" i="4"/>
  <c r="C100" i="4"/>
  <c r="D100" i="4"/>
  <c r="E100" i="4"/>
  <c r="B101" i="4"/>
  <c r="C101" i="4"/>
  <c r="D101" i="4"/>
  <c r="E101" i="4"/>
  <c r="B102" i="4"/>
  <c r="C102" i="4"/>
  <c r="D102" i="4"/>
  <c r="E102" i="4"/>
  <c r="B103" i="4"/>
  <c r="C103" i="4"/>
  <c r="D103" i="4"/>
  <c r="E103" i="4"/>
  <c r="B104" i="4"/>
  <c r="C104" i="4"/>
  <c r="D104" i="4"/>
  <c r="E104" i="4"/>
  <c r="B105" i="4"/>
  <c r="C105" i="4"/>
  <c r="D105" i="4"/>
  <c r="E105" i="4"/>
  <c r="B106" i="4"/>
  <c r="C106" i="4"/>
  <c r="D106" i="4"/>
  <c r="E106" i="4"/>
  <c r="B107" i="4"/>
  <c r="C107" i="4"/>
  <c r="D107" i="4"/>
  <c r="E107" i="4"/>
  <c r="B108" i="4"/>
  <c r="C108" i="4"/>
  <c r="D108" i="4"/>
  <c r="E108" i="4"/>
  <c r="B109" i="4"/>
  <c r="C109" i="4"/>
  <c r="D109" i="4"/>
  <c r="E109" i="4"/>
  <c r="B110" i="4"/>
  <c r="C110" i="4"/>
  <c r="D110" i="4"/>
  <c r="E110" i="4"/>
  <c r="B111" i="4"/>
  <c r="C111" i="4"/>
  <c r="D111" i="4"/>
  <c r="E111" i="4"/>
  <c r="B112" i="4"/>
  <c r="C112" i="4"/>
  <c r="D112" i="4"/>
  <c r="E112" i="4"/>
  <c r="B113" i="4"/>
  <c r="C113" i="4"/>
  <c r="D113" i="4"/>
  <c r="E113" i="4"/>
  <c r="B114" i="4"/>
  <c r="C114" i="4"/>
  <c r="D114" i="4"/>
  <c r="E114" i="4"/>
  <c r="B115" i="4"/>
  <c r="C115" i="4"/>
  <c r="D115" i="4"/>
  <c r="E115" i="4"/>
  <c r="B116" i="4"/>
  <c r="C116" i="4"/>
  <c r="D116" i="4"/>
  <c r="E116" i="4"/>
  <c r="B117" i="4"/>
  <c r="C117" i="4"/>
  <c r="D117" i="4"/>
  <c r="E117" i="4"/>
  <c r="B118" i="4"/>
  <c r="C118" i="4"/>
  <c r="D118" i="4"/>
  <c r="E118" i="4"/>
  <c r="B119" i="4"/>
  <c r="C119" i="4"/>
  <c r="D119" i="4"/>
  <c r="E119" i="4"/>
  <c r="B120" i="4"/>
  <c r="C120" i="4"/>
  <c r="D120" i="4"/>
  <c r="E120" i="4"/>
  <c r="B121" i="4"/>
  <c r="C121" i="4"/>
  <c r="D121" i="4"/>
  <c r="E121" i="4"/>
  <c r="B122" i="4"/>
  <c r="C122" i="4"/>
  <c r="D122" i="4"/>
  <c r="E122" i="4"/>
  <c r="B123" i="4"/>
  <c r="C123" i="4"/>
  <c r="D123" i="4"/>
  <c r="E123" i="4"/>
  <c r="B124" i="4"/>
  <c r="C124" i="4"/>
  <c r="D124" i="4"/>
  <c r="E124" i="4"/>
  <c r="B125" i="4"/>
  <c r="C125" i="4"/>
  <c r="D125" i="4"/>
  <c r="E125" i="4"/>
  <c r="B126" i="4"/>
  <c r="C126" i="4"/>
  <c r="D126" i="4"/>
  <c r="E126" i="4"/>
  <c r="B127" i="4"/>
  <c r="C127" i="4"/>
  <c r="D127" i="4"/>
  <c r="E127" i="4"/>
  <c r="B128" i="4"/>
  <c r="C128" i="4"/>
  <c r="D128" i="4"/>
  <c r="E128" i="4"/>
  <c r="B129" i="4"/>
  <c r="C129" i="4"/>
  <c r="D129" i="4"/>
  <c r="E129" i="4"/>
  <c r="B130" i="4"/>
  <c r="C130" i="4"/>
  <c r="D130" i="4"/>
  <c r="E130" i="4"/>
  <c r="B131" i="4"/>
  <c r="C131" i="4"/>
  <c r="D131" i="4"/>
  <c r="E131" i="4"/>
  <c r="B132" i="4"/>
  <c r="C132" i="4"/>
  <c r="D132" i="4"/>
  <c r="E132" i="4"/>
  <c r="B133" i="4"/>
  <c r="C133" i="4"/>
  <c r="D133" i="4"/>
  <c r="E133" i="4"/>
  <c r="B134" i="4"/>
  <c r="C134" i="4"/>
  <c r="D134" i="4"/>
  <c r="E134" i="4"/>
  <c r="B135" i="4"/>
  <c r="C135" i="4"/>
  <c r="D135" i="4"/>
  <c r="E135" i="4"/>
  <c r="B136" i="4"/>
  <c r="C136" i="4"/>
  <c r="D136" i="4"/>
  <c r="E136" i="4"/>
  <c r="B137" i="4"/>
  <c r="C137" i="4"/>
  <c r="D137" i="4"/>
  <c r="E137" i="4"/>
  <c r="B138" i="4"/>
  <c r="C138" i="4"/>
  <c r="D138" i="4"/>
  <c r="E138" i="4"/>
  <c r="B139" i="4"/>
  <c r="C139" i="4"/>
  <c r="D139" i="4"/>
  <c r="E139" i="4"/>
  <c r="B140" i="4"/>
  <c r="C140" i="4"/>
  <c r="D140" i="4"/>
  <c r="E140" i="4"/>
  <c r="B141" i="4"/>
  <c r="C141" i="4"/>
  <c r="D141" i="4"/>
  <c r="E141" i="4"/>
  <c r="B142" i="4"/>
  <c r="C142" i="4"/>
  <c r="D142" i="4"/>
  <c r="E142" i="4"/>
  <c r="B143" i="4"/>
  <c r="C143" i="4"/>
  <c r="D143" i="4"/>
  <c r="E143" i="4"/>
  <c r="B144" i="4"/>
  <c r="C144" i="4"/>
  <c r="D144" i="4"/>
  <c r="E144" i="4"/>
  <c r="B145" i="4"/>
  <c r="C145" i="4"/>
  <c r="D145" i="4"/>
  <c r="E145" i="4"/>
  <c r="B146" i="4"/>
  <c r="C146" i="4"/>
  <c r="D146" i="4"/>
  <c r="E146" i="4"/>
  <c r="B147" i="4"/>
  <c r="C147" i="4"/>
  <c r="D147" i="4"/>
  <c r="E147" i="4"/>
  <c r="B148" i="4"/>
  <c r="C148" i="4"/>
  <c r="D148" i="4"/>
  <c r="E148" i="4"/>
  <c r="B149" i="4"/>
  <c r="C149" i="4"/>
  <c r="D149" i="4"/>
  <c r="E149" i="4"/>
  <c r="B150" i="4"/>
  <c r="C150" i="4"/>
  <c r="D150" i="4"/>
  <c r="E150" i="4"/>
  <c r="B151" i="4"/>
  <c r="C151" i="4"/>
  <c r="D151" i="4"/>
  <c r="E151" i="4"/>
  <c r="B152" i="4"/>
  <c r="C152" i="4"/>
  <c r="D152" i="4"/>
  <c r="E152" i="4"/>
  <c r="B153" i="4"/>
  <c r="C153" i="4"/>
  <c r="D153" i="4"/>
  <c r="E153" i="4"/>
  <c r="B154" i="4"/>
  <c r="C154" i="4"/>
  <c r="D154" i="4"/>
  <c r="E154" i="4"/>
  <c r="B155" i="4"/>
  <c r="C155" i="4"/>
  <c r="D155" i="4"/>
  <c r="E155" i="4"/>
  <c r="B156" i="4"/>
  <c r="C156" i="4"/>
  <c r="D156" i="4"/>
  <c r="E156" i="4"/>
  <c r="B157" i="4"/>
  <c r="C157" i="4"/>
  <c r="D157" i="4"/>
  <c r="E157" i="4"/>
  <c r="B158" i="4"/>
  <c r="C158" i="4"/>
  <c r="D158" i="4"/>
  <c r="E158" i="4"/>
  <c r="B159" i="4"/>
  <c r="C159" i="4"/>
  <c r="D159" i="4"/>
  <c r="E159" i="4"/>
  <c r="B160" i="4"/>
  <c r="C160" i="4"/>
  <c r="D160" i="4"/>
  <c r="E160" i="4"/>
  <c r="B161" i="4"/>
  <c r="C161" i="4"/>
  <c r="D161" i="4"/>
  <c r="E161" i="4"/>
  <c r="B162" i="4"/>
  <c r="C162" i="4"/>
  <c r="D162" i="4"/>
  <c r="E162" i="4"/>
  <c r="B163" i="4"/>
  <c r="C163" i="4"/>
  <c r="D163" i="4"/>
  <c r="E163" i="4"/>
  <c r="B164" i="4"/>
  <c r="C164" i="4"/>
  <c r="D164" i="4"/>
  <c r="E164" i="4"/>
  <c r="B165" i="4"/>
  <c r="C165" i="4"/>
  <c r="D165" i="4"/>
  <c r="E165" i="4"/>
  <c r="B166" i="4"/>
  <c r="C166" i="4"/>
  <c r="D166" i="4"/>
  <c r="E166" i="4"/>
  <c r="B167" i="4"/>
  <c r="C167" i="4"/>
  <c r="D167" i="4"/>
  <c r="E167" i="4"/>
  <c r="B168" i="4"/>
  <c r="C168" i="4"/>
  <c r="D168" i="4"/>
  <c r="E168" i="4"/>
  <c r="B169" i="4"/>
  <c r="C169" i="4"/>
  <c r="D169" i="4"/>
  <c r="E169" i="4"/>
  <c r="B170" i="4"/>
  <c r="C170" i="4"/>
  <c r="D170" i="4"/>
  <c r="E170" i="4"/>
  <c r="B171" i="4"/>
  <c r="C171" i="4"/>
  <c r="D171" i="4"/>
  <c r="E171" i="4"/>
  <c r="B172" i="4"/>
  <c r="C172" i="4"/>
  <c r="D172" i="4"/>
  <c r="E172" i="4"/>
  <c r="B173" i="4"/>
  <c r="C173" i="4"/>
  <c r="D173" i="4"/>
  <c r="E173" i="4"/>
  <c r="B174" i="4"/>
  <c r="C174" i="4"/>
  <c r="D174" i="4"/>
  <c r="E174" i="4"/>
  <c r="B175" i="4"/>
  <c r="C175" i="4"/>
  <c r="D175" i="4"/>
  <c r="E175" i="4"/>
  <c r="B176" i="4"/>
  <c r="C176" i="4"/>
  <c r="D176" i="4"/>
  <c r="E176" i="4"/>
  <c r="B177" i="4"/>
  <c r="C177" i="4"/>
  <c r="D177" i="4"/>
  <c r="E177" i="4"/>
  <c r="B178" i="4"/>
  <c r="C178" i="4"/>
  <c r="D178" i="4"/>
  <c r="E178" i="4"/>
  <c r="B179" i="4"/>
  <c r="C179" i="4"/>
  <c r="D179" i="4"/>
  <c r="E179" i="4"/>
  <c r="B180" i="4"/>
  <c r="C180" i="4"/>
  <c r="D180" i="4"/>
  <c r="E180" i="4"/>
  <c r="B181" i="4"/>
  <c r="C181" i="4"/>
  <c r="D181" i="4"/>
  <c r="E181" i="4"/>
  <c r="B182" i="4"/>
  <c r="C182" i="4"/>
  <c r="D182" i="4"/>
  <c r="E182" i="4"/>
  <c r="B183" i="4"/>
  <c r="C183" i="4"/>
  <c r="D183" i="4"/>
  <c r="E183" i="4"/>
  <c r="B184" i="4"/>
  <c r="C184" i="4"/>
  <c r="D184" i="4"/>
  <c r="E184" i="4"/>
  <c r="B185" i="4"/>
  <c r="C185" i="4"/>
  <c r="D185" i="4"/>
  <c r="E185" i="4"/>
  <c r="B186" i="4"/>
  <c r="C186" i="4"/>
  <c r="D186" i="4"/>
  <c r="E186" i="4"/>
  <c r="B187" i="4"/>
  <c r="C187" i="4"/>
  <c r="D187" i="4"/>
  <c r="E187" i="4"/>
  <c r="B188" i="4"/>
  <c r="C188" i="4"/>
  <c r="D188" i="4"/>
  <c r="E188" i="4"/>
  <c r="B189" i="4"/>
  <c r="C189" i="4"/>
  <c r="D189" i="4"/>
  <c r="E189" i="4"/>
  <c r="B190" i="4"/>
  <c r="C190" i="4"/>
  <c r="D190" i="4"/>
  <c r="E190" i="4"/>
  <c r="B191" i="4"/>
  <c r="C191" i="4"/>
  <c r="D191" i="4"/>
  <c r="E191" i="4"/>
  <c r="B192" i="4"/>
  <c r="C192" i="4"/>
  <c r="D192" i="4"/>
  <c r="E192" i="4"/>
  <c r="B193" i="4"/>
  <c r="C193" i="4"/>
  <c r="D193" i="4"/>
  <c r="E193" i="4"/>
  <c r="B194" i="4"/>
  <c r="C194" i="4"/>
  <c r="D194" i="4"/>
  <c r="E194" i="4"/>
  <c r="B195" i="4"/>
  <c r="C195" i="4"/>
  <c r="D195" i="4"/>
  <c r="E195" i="4"/>
  <c r="B196" i="4"/>
  <c r="C196" i="4"/>
  <c r="D196" i="4"/>
  <c r="E196" i="4"/>
  <c r="B197" i="4"/>
  <c r="C197" i="4"/>
  <c r="D197" i="4"/>
  <c r="E197" i="4"/>
  <c r="B198" i="4"/>
  <c r="C198" i="4"/>
  <c r="D198" i="4"/>
  <c r="E198" i="4"/>
  <c r="B199" i="4"/>
  <c r="C199" i="4"/>
  <c r="D199" i="4"/>
  <c r="E199" i="4"/>
  <c r="B200" i="4"/>
  <c r="C200" i="4"/>
  <c r="D200" i="4"/>
  <c r="E200" i="4"/>
  <c r="B201" i="4"/>
  <c r="C201" i="4"/>
  <c r="D201" i="4"/>
  <c r="E201" i="4"/>
  <c r="B202" i="4"/>
  <c r="C202" i="4"/>
  <c r="D202" i="4"/>
  <c r="E202" i="4"/>
  <c r="B203" i="4"/>
  <c r="C203" i="4"/>
  <c r="D203" i="4"/>
  <c r="E203" i="4"/>
  <c r="B204" i="4"/>
  <c r="C204" i="4"/>
  <c r="D204" i="4"/>
  <c r="E204" i="4"/>
  <c r="B205" i="4"/>
  <c r="C205" i="4"/>
  <c r="D205" i="4"/>
  <c r="E205" i="4"/>
  <c r="B206" i="4"/>
  <c r="C206" i="4"/>
  <c r="D206" i="4"/>
  <c r="E206" i="4"/>
  <c r="B207" i="4"/>
  <c r="C207" i="4"/>
  <c r="D207" i="4"/>
  <c r="E207" i="4"/>
  <c r="B208" i="4"/>
  <c r="C208" i="4"/>
  <c r="D208" i="4"/>
  <c r="E208" i="4"/>
  <c r="B209" i="4"/>
  <c r="C209" i="4"/>
  <c r="D209" i="4"/>
  <c r="E209" i="4"/>
  <c r="B210" i="4"/>
  <c r="C210" i="4"/>
  <c r="D210" i="4"/>
  <c r="E210" i="4"/>
  <c r="B211" i="4"/>
  <c r="C211" i="4"/>
  <c r="D211" i="4"/>
  <c r="E211" i="4"/>
  <c r="B212" i="4"/>
  <c r="C212" i="4"/>
  <c r="D212" i="4"/>
  <c r="E212" i="4"/>
  <c r="B213" i="4"/>
  <c r="C213" i="4"/>
  <c r="D213" i="4"/>
  <c r="E213" i="4"/>
  <c r="B214" i="4"/>
  <c r="C214" i="4"/>
  <c r="D214" i="4"/>
  <c r="E214" i="4"/>
  <c r="B215" i="4"/>
  <c r="C215" i="4"/>
  <c r="D215" i="4"/>
  <c r="E215" i="4"/>
  <c r="B216" i="4"/>
  <c r="C216" i="4"/>
  <c r="D216" i="4"/>
  <c r="E216" i="4"/>
  <c r="B217" i="4"/>
  <c r="C217" i="4"/>
  <c r="D217" i="4"/>
  <c r="E217" i="4"/>
  <c r="B218" i="4"/>
  <c r="C218" i="4"/>
  <c r="D218" i="4"/>
  <c r="E218" i="4"/>
  <c r="B219" i="4"/>
  <c r="C219" i="4"/>
  <c r="D219" i="4"/>
  <c r="E219" i="4"/>
  <c r="B220" i="4"/>
  <c r="C220" i="4"/>
  <c r="D220" i="4"/>
  <c r="E220" i="4"/>
  <c r="B221" i="4"/>
  <c r="C221" i="4"/>
  <c r="D221" i="4"/>
  <c r="E221" i="4"/>
  <c r="B222" i="4"/>
  <c r="C222" i="4"/>
  <c r="D222" i="4"/>
  <c r="E222" i="4"/>
  <c r="B223" i="4"/>
  <c r="C223" i="4"/>
  <c r="D223" i="4"/>
  <c r="E223" i="4"/>
  <c r="B224" i="4"/>
  <c r="C224" i="4"/>
  <c r="D224" i="4"/>
  <c r="E224" i="4"/>
  <c r="B225" i="4"/>
  <c r="C225" i="4"/>
  <c r="D225" i="4"/>
  <c r="E225" i="4"/>
  <c r="B226" i="4"/>
  <c r="C226" i="4"/>
  <c r="D226" i="4"/>
  <c r="E226" i="4"/>
  <c r="B227" i="4"/>
  <c r="C227" i="4"/>
  <c r="D227" i="4"/>
  <c r="E227" i="4"/>
  <c r="B228" i="4"/>
  <c r="C228" i="4"/>
  <c r="D228" i="4"/>
  <c r="E228" i="4"/>
  <c r="B229" i="4"/>
  <c r="C229" i="4"/>
  <c r="D229" i="4"/>
  <c r="E229" i="4"/>
  <c r="B230" i="4"/>
  <c r="C230" i="4"/>
  <c r="D230" i="4"/>
  <c r="E230" i="4"/>
  <c r="B231" i="4"/>
  <c r="C231" i="4"/>
  <c r="D231" i="4"/>
  <c r="E231" i="4"/>
  <c r="B232" i="4"/>
  <c r="C232" i="4"/>
  <c r="D232" i="4"/>
  <c r="E232" i="4"/>
  <c r="B233" i="4"/>
  <c r="C233" i="4"/>
  <c r="D233" i="4"/>
  <c r="E233" i="4"/>
  <c r="B234" i="4"/>
  <c r="C234" i="4"/>
  <c r="D234" i="4"/>
  <c r="E234" i="4"/>
  <c r="B235" i="4"/>
  <c r="C235" i="4"/>
  <c r="D235" i="4"/>
  <c r="E235" i="4"/>
  <c r="B236" i="4"/>
  <c r="C236" i="4"/>
  <c r="D236" i="4"/>
  <c r="E236" i="4"/>
  <c r="B237" i="4"/>
  <c r="C237" i="4"/>
  <c r="D237" i="4"/>
  <c r="E237" i="4"/>
  <c r="B238" i="4"/>
  <c r="C238" i="4"/>
  <c r="D238" i="4"/>
  <c r="E238" i="4"/>
  <c r="B239" i="4"/>
  <c r="C239" i="4"/>
  <c r="D239" i="4"/>
  <c r="E239" i="4"/>
  <c r="B240" i="4"/>
  <c r="C240" i="4"/>
  <c r="D240" i="4"/>
  <c r="E240" i="4"/>
  <c r="B241" i="4"/>
  <c r="C241" i="4"/>
  <c r="D241" i="4"/>
  <c r="E241" i="4"/>
  <c r="B242" i="4"/>
  <c r="C242" i="4"/>
  <c r="D242" i="4"/>
  <c r="E242" i="4"/>
  <c r="B243" i="4"/>
  <c r="C243" i="4"/>
  <c r="D243" i="4"/>
  <c r="E243" i="4"/>
  <c r="B244" i="4"/>
  <c r="C244" i="4"/>
  <c r="D244" i="4"/>
  <c r="E244" i="4"/>
  <c r="B245" i="4"/>
  <c r="C245" i="4"/>
  <c r="D245" i="4"/>
  <c r="E245" i="4"/>
  <c r="B246" i="4"/>
  <c r="C246" i="4"/>
  <c r="D246" i="4"/>
  <c r="E246" i="4"/>
  <c r="B247" i="4"/>
  <c r="C247" i="4"/>
  <c r="D247" i="4"/>
  <c r="E247" i="4"/>
  <c r="B248" i="4"/>
  <c r="C248" i="4"/>
  <c r="D248" i="4"/>
  <c r="E248" i="4"/>
  <c r="B249" i="4"/>
  <c r="C249" i="4"/>
  <c r="D249" i="4"/>
  <c r="E249" i="4"/>
  <c r="B250" i="4"/>
  <c r="C250" i="4"/>
  <c r="D250" i="4"/>
  <c r="E250" i="4"/>
  <c r="B251" i="4"/>
  <c r="C251" i="4"/>
  <c r="D251" i="4"/>
  <c r="E251" i="4"/>
  <c r="B252" i="4"/>
  <c r="C252" i="4"/>
  <c r="D252" i="4"/>
  <c r="E252" i="4"/>
  <c r="B253" i="4"/>
  <c r="C253" i="4"/>
  <c r="D253" i="4"/>
  <c r="E253" i="4"/>
  <c r="B254" i="4"/>
  <c r="C254" i="4"/>
  <c r="D254" i="4"/>
  <c r="E254" i="4"/>
  <c r="B255" i="4"/>
  <c r="C255" i="4"/>
  <c r="D255" i="4"/>
  <c r="E255" i="4"/>
  <c r="B256" i="4"/>
  <c r="C256" i="4"/>
  <c r="D256" i="4"/>
  <c r="E256" i="4"/>
  <c r="B257" i="4"/>
  <c r="C257" i="4"/>
  <c r="D257" i="4"/>
  <c r="E257" i="4"/>
  <c r="B258" i="4"/>
  <c r="C258" i="4"/>
  <c r="D258" i="4"/>
  <c r="E258" i="4"/>
  <c r="B259" i="4"/>
  <c r="C259" i="4"/>
  <c r="D259" i="4"/>
  <c r="E259" i="4"/>
  <c r="B260" i="4"/>
  <c r="C260" i="4"/>
  <c r="D260" i="4"/>
  <c r="E260" i="4"/>
  <c r="B261" i="4"/>
  <c r="C261" i="4"/>
  <c r="D261" i="4"/>
  <c r="E261" i="4"/>
  <c r="B262" i="4"/>
  <c r="C262" i="4"/>
  <c r="D262" i="4"/>
  <c r="E262" i="4"/>
  <c r="B263" i="4"/>
  <c r="C263" i="4"/>
  <c r="D263" i="4"/>
  <c r="E263" i="4"/>
  <c r="B264" i="4"/>
  <c r="C264" i="4"/>
  <c r="D264" i="4"/>
  <c r="E264" i="4"/>
  <c r="B265" i="4"/>
  <c r="C265" i="4"/>
  <c r="D265" i="4"/>
  <c r="E265" i="4"/>
  <c r="B266" i="4"/>
  <c r="C266" i="4"/>
  <c r="D266" i="4"/>
  <c r="E266" i="4"/>
  <c r="B267" i="4"/>
  <c r="C267" i="4"/>
  <c r="D267" i="4"/>
  <c r="E267" i="4"/>
  <c r="B268" i="4"/>
  <c r="C268" i="4"/>
  <c r="D268" i="4"/>
  <c r="E268" i="4"/>
  <c r="B269" i="4"/>
  <c r="C269" i="4"/>
  <c r="D269" i="4"/>
  <c r="E269" i="4"/>
  <c r="B270" i="4"/>
  <c r="C270" i="4"/>
  <c r="D270" i="4"/>
  <c r="E270" i="4"/>
  <c r="B271" i="4"/>
  <c r="C271" i="4"/>
  <c r="D271" i="4"/>
  <c r="E271" i="4"/>
  <c r="B272" i="4"/>
  <c r="C272" i="4"/>
  <c r="D272" i="4"/>
  <c r="E272" i="4"/>
  <c r="B273" i="4"/>
  <c r="C273" i="4"/>
  <c r="D273" i="4"/>
  <c r="E273" i="4"/>
  <c r="B274" i="4"/>
  <c r="C274" i="4"/>
  <c r="D274" i="4"/>
  <c r="E274" i="4"/>
  <c r="B275" i="4"/>
  <c r="C275" i="4"/>
  <c r="D275" i="4"/>
  <c r="E275" i="4"/>
  <c r="B276" i="4"/>
  <c r="C276" i="4"/>
  <c r="D276" i="4"/>
  <c r="E276" i="4"/>
  <c r="B277" i="4"/>
  <c r="C277" i="4"/>
  <c r="D277" i="4"/>
  <c r="E277" i="4"/>
  <c r="B278" i="4"/>
  <c r="C278" i="4"/>
  <c r="D278" i="4"/>
  <c r="E278" i="4"/>
  <c r="B279" i="4"/>
  <c r="C279" i="4"/>
  <c r="D279" i="4"/>
  <c r="E279" i="4"/>
  <c r="B280" i="4"/>
  <c r="C280" i="4"/>
  <c r="D280" i="4"/>
  <c r="E280" i="4"/>
  <c r="B281" i="4"/>
  <c r="C281" i="4"/>
  <c r="D281" i="4"/>
  <c r="E281" i="4"/>
  <c r="B282" i="4"/>
  <c r="C282" i="4"/>
  <c r="D282" i="4"/>
  <c r="E282" i="4"/>
  <c r="B283" i="4"/>
  <c r="C283" i="4"/>
  <c r="D283" i="4"/>
  <c r="E283" i="4"/>
  <c r="B284" i="4"/>
  <c r="C284" i="4"/>
  <c r="D284" i="4"/>
  <c r="E284" i="4"/>
  <c r="B285" i="4"/>
  <c r="C285" i="4"/>
  <c r="D285" i="4"/>
  <c r="E285" i="4"/>
  <c r="B286" i="4"/>
  <c r="C286" i="4"/>
  <c r="D286" i="4"/>
  <c r="E286" i="4"/>
  <c r="B287" i="4"/>
  <c r="C287" i="4"/>
  <c r="D287" i="4"/>
  <c r="E287" i="4"/>
  <c r="B288" i="4"/>
  <c r="C288" i="4"/>
  <c r="D288" i="4"/>
  <c r="E288" i="4"/>
  <c r="B289" i="4"/>
  <c r="C289" i="4"/>
  <c r="D289" i="4"/>
  <c r="E289" i="4"/>
  <c r="B290" i="4"/>
  <c r="C290" i="4"/>
  <c r="D290" i="4"/>
  <c r="E290" i="4"/>
  <c r="B291" i="4"/>
  <c r="C291" i="4"/>
  <c r="D291" i="4"/>
  <c r="E291" i="4"/>
  <c r="B292" i="4"/>
  <c r="C292" i="4"/>
  <c r="D292" i="4"/>
  <c r="E292" i="4"/>
  <c r="E2" i="4"/>
  <c r="D2" i="4"/>
  <c r="C2" i="4"/>
  <c r="B2" i="4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6" i="3"/>
  <c r="A5" i="3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P188" i="14" l="1"/>
  <c r="L188" i="14"/>
  <c r="N188" i="14"/>
  <c r="M204" i="14"/>
  <c r="P204" i="14"/>
  <c r="L204" i="14"/>
  <c r="O204" i="14"/>
  <c r="K204" i="14"/>
  <c r="N204" i="14"/>
  <c r="M220" i="14"/>
  <c r="P220" i="14"/>
  <c r="L220" i="14"/>
  <c r="O220" i="14"/>
  <c r="K220" i="14"/>
  <c r="N220" i="14"/>
  <c r="M236" i="14"/>
  <c r="P236" i="14"/>
  <c r="L236" i="14"/>
  <c r="O236" i="14"/>
  <c r="K236" i="14"/>
  <c r="N236" i="14"/>
  <c r="L185" i="14"/>
  <c r="N185" i="14"/>
  <c r="P185" i="14"/>
  <c r="L201" i="14"/>
  <c r="O201" i="14"/>
  <c r="K201" i="14"/>
  <c r="N201" i="14"/>
  <c r="M201" i="14"/>
  <c r="P201" i="14"/>
  <c r="L217" i="14"/>
  <c r="O217" i="14"/>
  <c r="K217" i="14"/>
  <c r="N217" i="14"/>
  <c r="M217" i="14"/>
  <c r="P217" i="14"/>
  <c r="L233" i="14"/>
  <c r="O233" i="14"/>
  <c r="K233" i="14"/>
  <c r="N233" i="14"/>
  <c r="M233" i="14"/>
  <c r="P233" i="14"/>
  <c r="L249" i="14"/>
  <c r="O249" i="14"/>
  <c r="K249" i="14"/>
  <c r="N249" i="14"/>
  <c r="M249" i="14"/>
  <c r="P249" i="14"/>
  <c r="L186" i="14"/>
  <c r="N186" i="14"/>
  <c r="P186" i="14"/>
  <c r="L202" i="14"/>
  <c r="K202" i="14"/>
  <c r="N202" i="14"/>
  <c r="M202" i="14"/>
  <c r="P202" i="14"/>
  <c r="L218" i="14"/>
  <c r="K218" i="14"/>
  <c r="N218" i="14"/>
  <c r="M218" i="14"/>
  <c r="P218" i="14"/>
  <c r="L234" i="14"/>
  <c r="K234" i="14"/>
  <c r="N234" i="14"/>
  <c r="M234" i="14"/>
  <c r="P234" i="14"/>
  <c r="L250" i="14"/>
  <c r="O250" i="14"/>
  <c r="K250" i="14"/>
  <c r="N250" i="14"/>
  <c r="M250" i="14"/>
  <c r="P250" i="14"/>
  <c r="P179" i="14"/>
  <c r="L179" i="14"/>
  <c r="P195" i="14"/>
  <c r="L195" i="14"/>
  <c r="O195" i="14"/>
  <c r="K195" i="14"/>
  <c r="N195" i="14"/>
  <c r="P211" i="14"/>
  <c r="L211" i="14"/>
  <c r="O211" i="14"/>
  <c r="K211" i="14"/>
  <c r="N211" i="14"/>
  <c r="P227" i="14"/>
  <c r="L227" i="14"/>
  <c r="O227" i="14"/>
  <c r="K227" i="14"/>
  <c r="N227" i="14"/>
  <c r="P243" i="14"/>
  <c r="L243" i="14"/>
  <c r="O243" i="14"/>
  <c r="K243" i="14"/>
  <c r="N243" i="14"/>
  <c r="M260" i="14"/>
  <c r="P260" i="14"/>
  <c r="L260" i="14"/>
  <c r="O260" i="14"/>
  <c r="K260" i="14"/>
  <c r="N260" i="14"/>
  <c r="M276" i="14"/>
  <c r="P276" i="14"/>
  <c r="L276" i="14"/>
  <c r="O276" i="14"/>
  <c r="K276" i="14"/>
  <c r="N276" i="14"/>
  <c r="M292" i="14"/>
  <c r="P292" i="14"/>
  <c r="N292" i="14"/>
  <c r="L292" i="14"/>
  <c r="O292" i="14"/>
  <c r="K292" i="14"/>
  <c r="L273" i="14"/>
  <c r="O273" i="14"/>
  <c r="K273" i="14"/>
  <c r="N273" i="14"/>
  <c r="M273" i="14"/>
  <c r="P273" i="14"/>
  <c r="P289" i="14"/>
  <c r="O289" i="14"/>
  <c r="L289" i="14"/>
  <c r="K289" i="14"/>
  <c r="N289" i="14"/>
  <c r="M289" i="14"/>
  <c r="L266" i="14"/>
  <c r="O266" i="14"/>
  <c r="K266" i="14"/>
  <c r="N266" i="14"/>
  <c r="M266" i="14"/>
  <c r="P266" i="14"/>
  <c r="L282" i="14"/>
  <c r="O282" i="14"/>
  <c r="K282" i="14"/>
  <c r="N282" i="14"/>
  <c r="M282" i="14"/>
  <c r="P282" i="14"/>
  <c r="K247" i="14"/>
  <c r="N247" i="14"/>
  <c r="M247" i="14"/>
  <c r="P247" i="14"/>
  <c r="L247" i="14"/>
  <c r="O247" i="14"/>
  <c r="K263" i="14"/>
  <c r="N263" i="14"/>
  <c r="M263" i="14"/>
  <c r="P263" i="14"/>
  <c r="L263" i="14"/>
  <c r="O263" i="14"/>
  <c r="K279" i="14"/>
  <c r="N279" i="14"/>
  <c r="M279" i="14"/>
  <c r="P279" i="14"/>
  <c r="L279" i="14"/>
  <c r="O279" i="14"/>
  <c r="P5" i="14"/>
  <c r="N8" i="14"/>
  <c r="L11" i="14"/>
  <c r="P13" i="14"/>
  <c r="N16" i="14"/>
  <c r="L19" i="14"/>
  <c r="P21" i="14"/>
  <c r="N24" i="14"/>
  <c r="L27" i="14"/>
  <c r="P29" i="14"/>
  <c r="N32" i="14"/>
  <c r="P37" i="14"/>
  <c r="N40" i="14"/>
  <c r="P45" i="14"/>
  <c r="N48" i="14"/>
  <c r="L51" i="14"/>
  <c r="P53" i="14"/>
  <c r="N56" i="14"/>
  <c r="L59" i="14"/>
  <c r="P61" i="14"/>
  <c r="N64" i="14"/>
  <c r="P69" i="14"/>
  <c r="N72" i="14"/>
  <c r="K4" i="14"/>
  <c r="O6" i="14"/>
  <c r="M9" i="14"/>
  <c r="K12" i="14"/>
  <c r="O14" i="14"/>
  <c r="M17" i="14"/>
  <c r="K20" i="14"/>
  <c r="O22" i="14"/>
  <c r="M25" i="14"/>
  <c r="K28" i="14"/>
  <c r="O30" i="14"/>
  <c r="M33" i="14"/>
  <c r="K36" i="14"/>
  <c r="O38" i="14"/>
  <c r="M41" i="14"/>
  <c r="K44" i="14"/>
  <c r="O46" i="14"/>
  <c r="M49" i="14"/>
  <c r="K52" i="14"/>
  <c r="O54" i="14"/>
  <c r="M57" i="14"/>
  <c r="K60" i="14"/>
  <c r="O62" i="14"/>
  <c r="M65" i="14"/>
  <c r="K68" i="14"/>
  <c r="O70" i="14"/>
  <c r="M73" i="14"/>
  <c r="K76" i="14"/>
  <c r="O78" i="14"/>
  <c r="P4" i="14"/>
  <c r="N7" i="14"/>
  <c r="L10" i="14"/>
  <c r="P12" i="14"/>
  <c r="N15" i="14"/>
  <c r="L18" i="14"/>
  <c r="P20" i="14"/>
  <c r="N23" i="14"/>
  <c r="L26" i="14"/>
  <c r="P28" i="14"/>
  <c r="N31" i="14"/>
  <c r="L34" i="14"/>
  <c r="P36" i="14"/>
  <c r="N39" i="14"/>
  <c r="L42" i="14"/>
  <c r="P44" i="14"/>
  <c r="N47" i="14"/>
  <c r="L50" i="14"/>
  <c r="P52" i="14"/>
  <c r="N55" i="14"/>
  <c r="L58" i="14"/>
  <c r="P60" i="14"/>
  <c r="N63" i="14"/>
  <c r="L66" i="14"/>
  <c r="P68" i="14"/>
  <c r="N71" i="14"/>
  <c r="M4" i="14"/>
  <c r="K7" i="14"/>
  <c r="O9" i="14"/>
  <c r="M12" i="14"/>
  <c r="K15" i="14"/>
  <c r="O17" i="14"/>
  <c r="M20" i="14"/>
  <c r="K23" i="14"/>
  <c r="O25" i="14"/>
  <c r="M28" i="14"/>
  <c r="K31" i="14"/>
  <c r="O33" i="14"/>
  <c r="M36" i="14"/>
  <c r="K39" i="14"/>
  <c r="O41" i="14"/>
  <c r="M44" i="14"/>
  <c r="K47" i="14"/>
  <c r="O49" i="14"/>
  <c r="M52" i="14"/>
  <c r="K55" i="14"/>
  <c r="O57" i="14"/>
  <c r="M60" i="14"/>
  <c r="K63" i="14"/>
  <c r="O65" i="14"/>
  <c r="M68" i="14"/>
  <c r="K71" i="14"/>
  <c r="O73" i="14"/>
  <c r="M76" i="14"/>
  <c r="K79" i="14"/>
  <c r="M81" i="14"/>
  <c r="K84" i="14"/>
  <c r="O86" i="14"/>
  <c r="M89" i="14"/>
  <c r="K92" i="14"/>
  <c r="O94" i="14"/>
  <c r="M97" i="14"/>
  <c r="K100" i="14"/>
  <c r="O102" i="14"/>
  <c r="M105" i="14"/>
  <c r="K108" i="14"/>
  <c r="O110" i="14"/>
  <c r="M113" i="14"/>
  <c r="K116" i="14"/>
  <c r="O118" i="14"/>
  <c r="M121" i="14"/>
  <c r="K124" i="14"/>
  <c r="O126" i="14"/>
  <c r="M129" i="14"/>
  <c r="K132" i="14"/>
  <c r="O134" i="14"/>
  <c r="M137" i="14"/>
  <c r="K140" i="14"/>
  <c r="O142" i="14"/>
  <c r="M145" i="14"/>
  <c r="K148" i="14"/>
  <c r="O150" i="14"/>
  <c r="M153" i="14"/>
  <c r="K156" i="14"/>
  <c r="O158" i="14"/>
  <c r="M161" i="14"/>
  <c r="K164" i="14"/>
  <c r="O166" i="14"/>
  <c r="M169" i="14"/>
  <c r="K172" i="14"/>
  <c r="O174" i="14"/>
  <c r="M177" i="14"/>
  <c r="K180" i="14"/>
  <c r="O182" i="14"/>
  <c r="M185" i="14"/>
  <c r="K188" i="14"/>
  <c r="L74" i="14"/>
  <c r="P76" i="14"/>
  <c r="N79" i="14"/>
  <c r="L82" i="14"/>
  <c r="P84" i="14"/>
  <c r="N87" i="14"/>
  <c r="L90" i="14"/>
  <c r="P92" i="14"/>
  <c r="N95" i="14"/>
  <c r="L98" i="14"/>
  <c r="P100" i="14"/>
  <c r="N103" i="14"/>
  <c r="L106" i="14"/>
  <c r="P108" i="14"/>
  <c r="N111" i="14"/>
  <c r="L114" i="14"/>
  <c r="P116" i="14"/>
  <c r="N119" i="14"/>
  <c r="L122" i="14"/>
  <c r="P124" i="14"/>
  <c r="N127" i="14"/>
  <c r="L130" i="14"/>
  <c r="P132" i="14"/>
  <c r="N135" i="14"/>
  <c r="L138" i="14"/>
  <c r="P140" i="14"/>
  <c r="N143" i="14"/>
  <c r="L146" i="14"/>
  <c r="P148" i="14"/>
  <c r="N151" i="14"/>
  <c r="L154" i="14"/>
  <c r="P156" i="14"/>
  <c r="N159" i="14"/>
  <c r="L162" i="14"/>
  <c r="P164" i="14"/>
  <c r="N167" i="14"/>
  <c r="L170" i="14"/>
  <c r="P172" i="14"/>
  <c r="N175" i="14"/>
  <c r="L178" i="14"/>
  <c r="P180" i="14"/>
  <c r="N183" i="14"/>
  <c r="M82" i="14"/>
  <c r="K85" i="14"/>
  <c r="O87" i="14"/>
  <c r="M90" i="14"/>
  <c r="K93" i="14"/>
  <c r="O95" i="14"/>
  <c r="M98" i="14"/>
  <c r="K101" i="14"/>
  <c r="O103" i="14"/>
  <c r="M106" i="14"/>
  <c r="K109" i="14"/>
  <c r="O111" i="14"/>
  <c r="M114" i="14"/>
  <c r="K117" i="14"/>
  <c r="O119" i="14"/>
  <c r="M122" i="14"/>
  <c r="K125" i="14"/>
  <c r="O127" i="14"/>
  <c r="M130" i="14"/>
  <c r="K133" i="14"/>
  <c r="O135" i="14"/>
  <c r="M138" i="14"/>
  <c r="K141" i="14"/>
  <c r="O143" i="14"/>
  <c r="M146" i="14"/>
  <c r="K149" i="14"/>
  <c r="O151" i="14"/>
  <c r="M154" i="14"/>
  <c r="O159" i="14"/>
  <c r="M162" i="14"/>
  <c r="K165" i="14"/>
  <c r="O167" i="14"/>
  <c r="M170" i="14"/>
  <c r="O175" i="14"/>
  <c r="M178" i="14"/>
  <c r="K181" i="14"/>
  <c r="M186" i="14"/>
  <c r="O191" i="14"/>
  <c r="L75" i="14"/>
  <c r="P77" i="14"/>
  <c r="N80" i="14"/>
  <c r="L83" i="14"/>
  <c r="P85" i="14"/>
  <c r="N88" i="14"/>
  <c r="L91" i="14"/>
  <c r="P93" i="14"/>
  <c r="N96" i="14"/>
  <c r="L99" i="14"/>
  <c r="P101" i="14"/>
  <c r="N104" i="14"/>
  <c r="L107" i="14"/>
  <c r="P109" i="14"/>
  <c r="N112" i="14"/>
  <c r="L115" i="14"/>
  <c r="P117" i="14"/>
  <c r="N120" i="14"/>
  <c r="L123" i="14"/>
  <c r="P125" i="14"/>
  <c r="N128" i="14"/>
  <c r="L131" i="14"/>
  <c r="P133" i="14"/>
  <c r="N136" i="14"/>
  <c r="L139" i="14"/>
  <c r="P141" i="14"/>
  <c r="N144" i="14"/>
  <c r="L147" i="14"/>
  <c r="P149" i="14"/>
  <c r="N152" i="14"/>
  <c r="N156" i="14"/>
  <c r="P161" i="14"/>
  <c r="L167" i="14"/>
  <c r="N172" i="14"/>
  <c r="P177" i="14"/>
  <c r="N192" i="14"/>
  <c r="P192" i="14"/>
  <c r="L192" i="14"/>
  <c r="N208" i="14"/>
  <c r="M208" i="14"/>
  <c r="P208" i="14"/>
  <c r="L208" i="14"/>
  <c r="N224" i="14"/>
  <c r="M224" i="14"/>
  <c r="P224" i="14"/>
  <c r="L224" i="14"/>
  <c r="N240" i="14"/>
  <c r="M240" i="14"/>
  <c r="P240" i="14"/>
  <c r="L240" i="14"/>
  <c r="P157" i="14"/>
  <c r="L157" i="14"/>
  <c r="P173" i="14"/>
  <c r="L173" i="14"/>
  <c r="P189" i="14"/>
  <c r="L189" i="14"/>
  <c r="N189" i="14"/>
  <c r="P205" i="14"/>
  <c r="L205" i="14"/>
  <c r="O205" i="14"/>
  <c r="K205" i="14"/>
  <c r="N205" i="14"/>
  <c r="P221" i="14"/>
  <c r="L221" i="14"/>
  <c r="O221" i="14"/>
  <c r="K221" i="14"/>
  <c r="N221" i="14"/>
  <c r="P237" i="14"/>
  <c r="L237" i="14"/>
  <c r="O237" i="14"/>
  <c r="K237" i="14"/>
  <c r="N237" i="14"/>
  <c r="M253" i="14"/>
  <c r="P253" i="14"/>
  <c r="L253" i="14"/>
  <c r="O253" i="14"/>
  <c r="K253" i="14"/>
  <c r="N253" i="14"/>
  <c r="N190" i="14"/>
  <c r="P190" i="14"/>
  <c r="L190" i="14"/>
  <c r="N206" i="14"/>
  <c r="M206" i="14"/>
  <c r="P206" i="14"/>
  <c r="L206" i="14"/>
  <c r="O206" i="14"/>
  <c r="N222" i="14"/>
  <c r="M222" i="14"/>
  <c r="P222" i="14"/>
  <c r="L222" i="14"/>
  <c r="O222" i="14"/>
  <c r="N238" i="14"/>
  <c r="M238" i="14"/>
  <c r="P238" i="14"/>
  <c r="L238" i="14"/>
  <c r="O238" i="14"/>
  <c r="N254" i="14"/>
  <c r="M254" i="14"/>
  <c r="P254" i="14"/>
  <c r="L254" i="14"/>
  <c r="O254" i="14"/>
  <c r="K254" i="14"/>
  <c r="P183" i="14"/>
  <c r="L183" i="14"/>
  <c r="K199" i="14"/>
  <c r="N199" i="14"/>
  <c r="M199" i="14"/>
  <c r="P199" i="14"/>
  <c r="L199" i="14"/>
  <c r="O199" i="14"/>
  <c r="K215" i="14"/>
  <c r="N215" i="14"/>
  <c r="M215" i="14"/>
  <c r="P215" i="14"/>
  <c r="L215" i="14"/>
  <c r="O215" i="14"/>
  <c r="K231" i="14"/>
  <c r="N231" i="14"/>
  <c r="M231" i="14"/>
  <c r="P231" i="14"/>
  <c r="L231" i="14"/>
  <c r="O231" i="14"/>
  <c r="N248" i="14"/>
  <c r="M248" i="14"/>
  <c r="P248" i="14"/>
  <c r="L248" i="14"/>
  <c r="K264" i="14"/>
  <c r="N264" i="14"/>
  <c r="M264" i="14"/>
  <c r="P264" i="14"/>
  <c r="L264" i="14"/>
  <c r="O264" i="14"/>
  <c r="K280" i="14"/>
  <c r="N280" i="14"/>
  <c r="M280" i="14"/>
  <c r="P280" i="14"/>
  <c r="L280" i="14"/>
  <c r="O280" i="14"/>
  <c r="M261" i="14"/>
  <c r="P261" i="14"/>
  <c r="L261" i="14"/>
  <c r="O261" i="14"/>
  <c r="K261" i="14"/>
  <c r="N261" i="14"/>
  <c r="M277" i="14"/>
  <c r="P277" i="14"/>
  <c r="L277" i="14"/>
  <c r="O277" i="14"/>
  <c r="K277" i="14"/>
  <c r="N277" i="14"/>
  <c r="L293" i="14"/>
  <c r="M293" i="14"/>
  <c r="O293" i="14"/>
  <c r="P293" i="14"/>
  <c r="K293" i="14"/>
  <c r="N293" i="14"/>
  <c r="N270" i="14"/>
  <c r="M270" i="14"/>
  <c r="P270" i="14"/>
  <c r="L270" i="14"/>
  <c r="O270" i="14"/>
  <c r="K270" i="14"/>
  <c r="N286" i="14"/>
  <c r="M286" i="14"/>
  <c r="P286" i="14"/>
  <c r="L286" i="14"/>
  <c r="O286" i="14"/>
  <c r="K286" i="14"/>
  <c r="P251" i="14"/>
  <c r="L251" i="14"/>
  <c r="O251" i="14"/>
  <c r="K251" i="14"/>
  <c r="N251" i="14"/>
  <c r="P267" i="14"/>
  <c r="L267" i="14"/>
  <c r="O267" i="14"/>
  <c r="K267" i="14"/>
  <c r="N267" i="14"/>
  <c r="M267" i="14"/>
  <c r="P283" i="14"/>
  <c r="L283" i="14"/>
  <c r="O283" i="14"/>
  <c r="K283" i="14"/>
  <c r="N283" i="14"/>
  <c r="M283" i="14"/>
  <c r="N6" i="14"/>
  <c r="L9" i="14"/>
  <c r="P11" i="14"/>
  <c r="N14" i="14"/>
  <c r="L17" i="14"/>
  <c r="P19" i="14"/>
  <c r="N22" i="14"/>
  <c r="L25" i="14"/>
  <c r="P27" i="14"/>
  <c r="N30" i="14"/>
  <c r="L33" i="14"/>
  <c r="P35" i="14"/>
  <c r="N38" i="14"/>
  <c r="L41" i="14"/>
  <c r="P43" i="14"/>
  <c r="N46" i="14"/>
  <c r="L49" i="14"/>
  <c r="P51" i="14"/>
  <c r="N54" i="14"/>
  <c r="L57" i="14"/>
  <c r="P59" i="14"/>
  <c r="N62" i="14"/>
  <c r="L65" i="14"/>
  <c r="P67" i="14"/>
  <c r="N70" i="14"/>
  <c r="L73" i="14"/>
  <c r="O4" i="14"/>
  <c r="M7" i="14"/>
  <c r="K10" i="14"/>
  <c r="O12" i="14"/>
  <c r="M15" i="14"/>
  <c r="K18" i="14"/>
  <c r="O20" i="14"/>
  <c r="M23" i="14"/>
  <c r="K26" i="14"/>
  <c r="O28" i="14"/>
  <c r="M31" i="14"/>
  <c r="K34" i="14"/>
  <c r="O36" i="14"/>
  <c r="M39" i="14"/>
  <c r="K42" i="14"/>
  <c r="O44" i="14"/>
  <c r="M47" i="14"/>
  <c r="K50" i="14"/>
  <c r="O52" i="14"/>
  <c r="M55" i="14"/>
  <c r="K58" i="14"/>
  <c r="O60" i="14"/>
  <c r="M63" i="14"/>
  <c r="K66" i="14"/>
  <c r="O68" i="14"/>
  <c r="M71" i="14"/>
  <c r="K74" i="14"/>
  <c r="O76" i="14"/>
  <c r="M79" i="14"/>
  <c r="N5" i="14"/>
  <c r="L8" i="14"/>
  <c r="P10" i="14"/>
  <c r="N13" i="14"/>
  <c r="L16" i="14"/>
  <c r="P18" i="14"/>
  <c r="N21" i="14"/>
  <c r="L24" i="14"/>
  <c r="P26" i="14"/>
  <c r="N29" i="14"/>
  <c r="L32" i="14"/>
  <c r="P34" i="14"/>
  <c r="N37" i="14"/>
  <c r="L40" i="14"/>
  <c r="P42" i="14"/>
  <c r="N45" i="14"/>
  <c r="L48" i="14"/>
  <c r="P50" i="14"/>
  <c r="N53" i="14"/>
  <c r="L56" i="14"/>
  <c r="P58" i="14"/>
  <c r="N61" i="14"/>
  <c r="L64" i="14"/>
  <c r="P66" i="14"/>
  <c r="N69" i="14"/>
  <c r="L72" i="14"/>
  <c r="K5" i="14"/>
  <c r="O7" i="14"/>
  <c r="M10" i="14"/>
  <c r="K13" i="14"/>
  <c r="O15" i="14"/>
  <c r="M18" i="14"/>
  <c r="K21" i="14"/>
  <c r="O23" i="14"/>
  <c r="M26" i="14"/>
  <c r="K29" i="14"/>
  <c r="O31" i="14"/>
  <c r="M34" i="14"/>
  <c r="K37" i="14"/>
  <c r="O39" i="14"/>
  <c r="M42" i="14"/>
  <c r="K45" i="14"/>
  <c r="O47" i="14"/>
  <c r="M50" i="14"/>
  <c r="K53" i="14"/>
  <c r="O55" i="14"/>
  <c r="M58" i="14"/>
  <c r="K61" i="14"/>
  <c r="O63" i="14"/>
  <c r="M66" i="14"/>
  <c r="K69" i="14"/>
  <c r="O71" i="14"/>
  <c r="M74" i="14"/>
  <c r="K77" i="14"/>
  <c r="O79" i="14"/>
  <c r="K82" i="14"/>
  <c r="O84" i="14"/>
  <c r="M87" i="14"/>
  <c r="K90" i="14"/>
  <c r="O92" i="14"/>
  <c r="M95" i="14"/>
  <c r="K98" i="14"/>
  <c r="O100" i="14"/>
  <c r="M103" i="14"/>
  <c r="K106" i="14"/>
  <c r="O108" i="14"/>
  <c r="M111" i="14"/>
  <c r="K114" i="14"/>
  <c r="O116" i="14"/>
  <c r="M119" i="14"/>
  <c r="K122" i="14"/>
  <c r="O124" i="14"/>
  <c r="M127" i="14"/>
  <c r="K130" i="14"/>
  <c r="O132" i="14"/>
  <c r="M135" i="14"/>
  <c r="K138" i="14"/>
  <c r="O140" i="14"/>
  <c r="M143" i="14"/>
  <c r="K146" i="14"/>
  <c r="O148" i="14"/>
  <c r="M151" i="14"/>
  <c r="K154" i="14"/>
  <c r="O156" i="14"/>
  <c r="M159" i="14"/>
  <c r="K162" i="14"/>
  <c r="O164" i="14"/>
  <c r="M167" i="14"/>
  <c r="K170" i="14"/>
  <c r="O172" i="14"/>
  <c r="M175" i="14"/>
  <c r="K178" i="14"/>
  <c r="O180" i="14"/>
  <c r="M183" i="14"/>
  <c r="K186" i="14"/>
  <c r="O188" i="14"/>
  <c r="P74" i="14"/>
  <c r="N77" i="14"/>
  <c r="L80" i="14"/>
  <c r="P82" i="14"/>
  <c r="N85" i="14"/>
  <c r="L88" i="14"/>
  <c r="P90" i="14"/>
  <c r="N93" i="14"/>
  <c r="L96" i="14"/>
  <c r="P98" i="14"/>
  <c r="N101" i="14"/>
  <c r="L104" i="14"/>
  <c r="P106" i="14"/>
  <c r="N109" i="14"/>
  <c r="L112" i="14"/>
  <c r="P114" i="14"/>
  <c r="N117" i="14"/>
  <c r="L120" i="14"/>
  <c r="P122" i="14"/>
  <c r="N125" i="14"/>
  <c r="L128" i="14"/>
  <c r="P130" i="14"/>
  <c r="N133" i="14"/>
  <c r="L136" i="14"/>
  <c r="P138" i="14"/>
  <c r="N141" i="14"/>
  <c r="L144" i="14"/>
  <c r="P146" i="14"/>
  <c r="N149" i="14"/>
  <c r="L152" i="14"/>
  <c r="P154" i="14"/>
  <c r="N157" i="14"/>
  <c r="L160" i="14"/>
  <c r="P162" i="14"/>
  <c r="N165" i="14"/>
  <c r="L168" i="14"/>
  <c r="P170" i="14"/>
  <c r="N173" i="14"/>
  <c r="L176" i="14"/>
  <c r="P178" i="14"/>
  <c r="N181" i="14"/>
  <c r="L184" i="14"/>
  <c r="K83" i="14"/>
  <c r="O85" i="14"/>
  <c r="M88" i="14"/>
  <c r="K91" i="14"/>
  <c r="O93" i="14"/>
  <c r="M96" i="14"/>
  <c r="K99" i="14"/>
  <c r="O101" i="14"/>
  <c r="M104" i="14"/>
  <c r="K107" i="14"/>
  <c r="O109" i="14"/>
  <c r="M112" i="14"/>
  <c r="K115" i="14"/>
  <c r="O117" i="14"/>
  <c r="M120" i="14"/>
  <c r="K123" i="14"/>
  <c r="O125" i="14"/>
  <c r="M128" i="14"/>
  <c r="K131" i="14"/>
  <c r="O133" i="14"/>
  <c r="M136" i="14"/>
  <c r="K139" i="14"/>
  <c r="O141" i="14"/>
  <c r="M144" i="14"/>
  <c r="K147" i="14"/>
  <c r="O149" i="14"/>
  <c r="M152" i="14"/>
  <c r="K155" i="14"/>
  <c r="O157" i="14"/>
  <c r="M160" i="14"/>
  <c r="K163" i="14"/>
  <c r="O165" i="14"/>
  <c r="M168" i="14"/>
  <c r="K171" i="14"/>
  <c r="O173" i="14"/>
  <c r="M176" i="14"/>
  <c r="K179" i="14"/>
  <c r="O181" i="14"/>
  <c r="M184" i="14"/>
  <c r="O189" i="14"/>
  <c r="M192" i="14"/>
  <c r="P75" i="14"/>
  <c r="N78" i="14"/>
  <c r="L81" i="14"/>
  <c r="P83" i="14"/>
  <c r="N86" i="14"/>
  <c r="L89" i="14"/>
  <c r="P91" i="14"/>
  <c r="N94" i="14"/>
  <c r="L97" i="14"/>
  <c r="P99" i="14"/>
  <c r="N102" i="14"/>
  <c r="L105" i="14"/>
  <c r="P107" i="14"/>
  <c r="N110" i="14"/>
  <c r="L113" i="14"/>
  <c r="P115" i="14"/>
  <c r="N118" i="14"/>
  <c r="L121" i="14"/>
  <c r="P123" i="14"/>
  <c r="N126" i="14"/>
  <c r="L129" i="14"/>
  <c r="P131" i="14"/>
  <c r="N134" i="14"/>
  <c r="L137" i="14"/>
  <c r="P139" i="14"/>
  <c r="N142" i="14"/>
  <c r="L145" i="14"/>
  <c r="P147" i="14"/>
  <c r="N150" i="14"/>
  <c r="L153" i="14"/>
  <c r="N158" i="14"/>
  <c r="P163" i="14"/>
  <c r="L169" i="14"/>
  <c r="N174" i="14"/>
  <c r="K200" i="14"/>
  <c r="M205" i="14"/>
  <c r="K216" i="14"/>
  <c r="M221" i="14"/>
  <c r="K232" i="14"/>
  <c r="M237" i="14"/>
  <c r="K248" i="14"/>
  <c r="M196" i="14"/>
  <c r="P196" i="14"/>
  <c r="L196" i="14"/>
  <c r="O196" i="14"/>
  <c r="K196" i="14"/>
  <c r="N196" i="14"/>
  <c r="M212" i="14"/>
  <c r="P212" i="14"/>
  <c r="L212" i="14"/>
  <c r="O212" i="14"/>
  <c r="K212" i="14"/>
  <c r="N212" i="14"/>
  <c r="M228" i="14"/>
  <c r="P228" i="14"/>
  <c r="L228" i="14"/>
  <c r="O228" i="14"/>
  <c r="K228" i="14"/>
  <c r="N228" i="14"/>
  <c r="M244" i="14"/>
  <c r="P244" i="14"/>
  <c r="L244" i="14"/>
  <c r="O244" i="14"/>
  <c r="K244" i="14"/>
  <c r="N244" i="14"/>
  <c r="L193" i="14"/>
  <c r="N193" i="14"/>
  <c r="M193" i="14"/>
  <c r="P193" i="14"/>
  <c r="L209" i="14"/>
  <c r="O209" i="14"/>
  <c r="K209" i="14"/>
  <c r="N209" i="14"/>
  <c r="M209" i="14"/>
  <c r="P209" i="14"/>
  <c r="L225" i="14"/>
  <c r="O225" i="14"/>
  <c r="K225" i="14"/>
  <c r="N225" i="14"/>
  <c r="M225" i="14"/>
  <c r="P225" i="14"/>
  <c r="L241" i="14"/>
  <c r="O241" i="14"/>
  <c r="K241" i="14"/>
  <c r="N241" i="14"/>
  <c r="M241" i="14"/>
  <c r="P241" i="14"/>
  <c r="L257" i="14"/>
  <c r="O257" i="14"/>
  <c r="K257" i="14"/>
  <c r="N257" i="14"/>
  <c r="M257" i="14"/>
  <c r="P257" i="14"/>
  <c r="L194" i="14"/>
  <c r="K194" i="14"/>
  <c r="N194" i="14"/>
  <c r="M194" i="14"/>
  <c r="P194" i="14"/>
  <c r="L210" i="14"/>
  <c r="K210" i="14"/>
  <c r="N210" i="14"/>
  <c r="M210" i="14"/>
  <c r="P210" i="14"/>
  <c r="L226" i="14"/>
  <c r="K226" i="14"/>
  <c r="N226" i="14"/>
  <c r="M226" i="14"/>
  <c r="P226" i="14"/>
  <c r="L242" i="14"/>
  <c r="K242" i="14"/>
  <c r="N242" i="14"/>
  <c r="M242" i="14"/>
  <c r="P242" i="14"/>
  <c r="P187" i="14"/>
  <c r="L187" i="14"/>
  <c r="N187" i="14"/>
  <c r="P203" i="14"/>
  <c r="L203" i="14"/>
  <c r="O203" i="14"/>
  <c r="K203" i="14"/>
  <c r="N203" i="14"/>
  <c r="P219" i="14"/>
  <c r="L219" i="14"/>
  <c r="O219" i="14"/>
  <c r="K219" i="14"/>
  <c r="N219" i="14"/>
  <c r="P235" i="14"/>
  <c r="L235" i="14"/>
  <c r="O235" i="14"/>
  <c r="K235" i="14"/>
  <c r="N235" i="14"/>
  <c r="M252" i="14"/>
  <c r="P252" i="14"/>
  <c r="L252" i="14"/>
  <c r="O252" i="14"/>
  <c r="K252" i="14"/>
  <c r="N252" i="14"/>
  <c r="M268" i="14"/>
  <c r="P268" i="14"/>
  <c r="L268" i="14"/>
  <c r="O268" i="14"/>
  <c r="K268" i="14"/>
  <c r="N268" i="14"/>
  <c r="M284" i="14"/>
  <c r="P284" i="14"/>
  <c r="L284" i="14"/>
  <c r="O284" i="14"/>
  <c r="K284" i="14"/>
  <c r="N284" i="14"/>
  <c r="L265" i="14"/>
  <c r="O265" i="14"/>
  <c r="K265" i="14"/>
  <c r="N265" i="14"/>
  <c r="M265" i="14"/>
  <c r="P265" i="14"/>
  <c r="L281" i="14"/>
  <c r="O281" i="14"/>
  <c r="K281" i="14"/>
  <c r="N281" i="14"/>
  <c r="M281" i="14"/>
  <c r="P281" i="14"/>
  <c r="L258" i="14"/>
  <c r="O258" i="14"/>
  <c r="K258" i="14"/>
  <c r="N258" i="14"/>
  <c r="M258" i="14"/>
  <c r="P258" i="14"/>
  <c r="L274" i="14"/>
  <c r="O274" i="14"/>
  <c r="K274" i="14"/>
  <c r="N274" i="14"/>
  <c r="M274" i="14"/>
  <c r="P274" i="14"/>
  <c r="L290" i="14"/>
  <c r="O290" i="14"/>
  <c r="K290" i="14"/>
  <c r="N290" i="14"/>
  <c r="M290" i="14"/>
  <c r="P290" i="14"/>
  <c r="K255" i="14"/>
  <c r="N255" i="14"/>
  <c r="M255" i="14"/>
  <c r="P255" i="14"/>
  <c r="L255" i="14"/>
  <c r="O255" i="14"/>
  <c r="K271" i="14"/>
  <c r="N271" i="14"/>
  <c r="M271" i="14"/>
  <c r="P271" i="14"/>
  <c r="L271" i="14"/>
  <c r="O271" i="14"/>
  <c r="P287" i="14"/>
  <c r="K287" i="14"/>
  <c r="N287" i="14"/>
  <c r="M287" i="14"/>
  <c r="L287" i="14"/>
  <c r="O287" i="14"/>
  <c r="N4" i="14"/>
  <c r="L7" i="14"/>
  <c r="P9" i="14"/>
  <c r="N12" i="14"/>
  <c r="L15" i="14"/>
  <c r="P17" i="14"/>
  <c r="N20" i="14"/>
  <c r="L23" i="14"/>
  <c r="P25" i="14"/>
  <c r="N28" i="14"/>
  <c r="L31" i="14"/>
  <c r="P33" i="14"/>
  <c r="N36" i="14"/>
  <c r="L39" i="14"/>
  <c r="P41" i="14"/>
  <c r="N44" i="14"/>
  <c r="L47" i="14"/>
  <c r="P49" i="14"/>
  <c r="N52" i="14"/>
  <c r="L55" i="14"/>
  <c r="P57" i="14"/>
  <c r="N60" i="14"/>
  <c r="L63" i="14"/>
  <c r="P65" i="14"/>
  <c r="N68" i="14"/>
  <c r="L71" i="14"/>
  <c r="P73" i="14"/>
  <c r="M5" i="14"/>
  <c r="K8" i="14"/>
  <c r="O10" i="14"/>
  <c r="M13" i="14"/>
  <c r="K16" i="14"/>
  <c r="O18" i="14"/>
  <c r="M21" i="14"/>
  <c r="K24" i="14"/>
  <c r="O26" i="14"/>
  <c r="M29" i="14"/>
  <c r="K32" i="14"/>
  <c r="O34" i="14"/>
  <c r="M37" i="14"/>
  <c r="K40" i="14"/>
  <c r="O42" i="14"/>
  <c r="M45" i="14"/>
  <c r="K48" i="14"/>
  <c r="O50" i="14"/>
  <c r="M53" i="14"/>
  <c r="K56" i="14"/>
  <c r="O58" i="14"/>
  <c r="M61" i="14"/>
  <c r="K64" i="14"/>
  <c r="O66" i="14"/>
  <c r="M69" i="14"/>
  <c r="K72" i="14"/>
  <c r="O74" i="14"/>
  <c r="M77" i="14"/>
  <c r="K80" i="14"/>
  <c r="L6" i="14"/>
  <c r="P8" i="14"/>
  <c r="N11" i="14"/>
  <c r="L14" i="14"/>
  <c r="P16" i="14"/>
  <c r="N19" i="14"/>
  <c r="L22" i="14"/>
  <c r="P24" i="14"/>
  <c r="N27" i="14"/>
  <c r="L30" i="14"/>
  <c r="P32" i="14"/>
  <c r="N35" i="14"/>
  <c r="L38" i="14"/>
  <c r="P40" i="14"/>
  <c r="N43" i="14"/>
  <c r="L46" i="14"/>
  <c r="P48" i="14"/>
  <c r="N51" i="14"/>
  <c r="L54" i="14"/>
  <c r="P56" i="14"/>
  <c r="N59" i="14"/>
  <c r="L62" i="14"/>
  <c r="P64" i="14"/>
  <c r="N67" i="14"/>
  <c r="L70" i="14"/>
  <c r="P72" i="14"/>
  <c r="O5" i="14"/>
  <c r="M8" i="14"/>
  <c r="K11" i="14"/>
  <c r="O13" i="14"/>
  <c r="M16" i="14"/>
  <c r="K19" i="14"/>
  <c r="O21" i="14"/>
  <c r="M24" i="14"/>
  <c r="K27" i="14"/>
  <c r="O29" i="14"/>
  <c r="M32" i="14"/>
  <c r="K35" i="14"/>
  <c r="O37" i="14"/>
  <c r="M40" i="14"/>
  <c r="K43" i="14"/>
  <c r="O45" i="14"/>
  <c r="M48" i="14"/>
  <c r="K51" i="14"/>
  <c r="O53" i="14"/>
  <c r="M56" i="14"/>
  <c r="K59" i="14"/>
  <c r="O61" i="14"/>
  <c r="M64" i="14"/>
  <c r="K67" i="14"/>
  <c r="O69" i="14"/>
  <c r="M72" i="14"/>
  <c r="K75" i="14"/>
  <c r="O77" i="14"/>
  <c r="M80" i="14"/>
  <c r="O82" i="14"/>
  <c r="M85" i="14"/>
  <c r="K88" i="14"/>
  <c r="O90" i="14"/>
  <c r="M93" i="14"/>
  <c r="K96" i="14"/>
  <c r="O98" i="14"/>
  <c r="M101" i="14"/>
  <c r="K104" i="14"/>
  <c r="O106" i="14"/>
  <c r="M109" i="14"/>
  <c r="K112" i="14"/>
  <c r="O114" i="14"/>
  <c r="M117" i="14"/>
  <c r="K120" i="14"/>
  <c r="O122" i="14"/>
  <c r="M125" i="14"/>
  <c r="K128" i="14"/>
  <c r="O130" i="14"/>
  <c r="M133" i="14"/>
  <c r="K136" i="14"/>
  <c r="O138" i="14"/>
  <c r="M141" i="14"/>
  <c r="K144" i="14"/>
  <c r="O146" i="14"/>
  <c r="M149" i="14"/>
  <c r="K152" i="14"/>
  <c r="O154" i="14"/>
  <c r="M157" i="14"/>
  <c r="K160" i="14"/>
  <c r="O162" i="14"/>
  <c r="K168" i="14"/>
  <c r="O170" i="14"/>
  <c r="M173" i="14"/>
  <c r="K176" i="14"/>
  <c r="O178" i="14"/>
  <c r="O186" i="14"/>
  <c r="M189" i="14"/>
  <c r="K192" i="14"/>
  <c r="N75" i="14"/>
  <c r="L78" i="14"/>
  <c r="P80" i="14"/>
  <c r="N83" i="14"/>
  <c r="L86" i="14"/>
  <c r="P88" i="14"/>
  <c r="N91" i="14"/>
  <c r="L94" i="14"/>
  <c r="P96" i="14"/>
  <c r="N99" i="14"/>
  <c r="L102" i="14"/>
  <c r="P104" i="14"/>
  <c r="N107" i="14"/>
  <c r="L110" i="14"/>
  <c r="P112" i="14"/>
  <c r="N115" i="14"/>
  <c r="L118" i="14"/>
  <c r="P120" i="14"/>
  <c r="N123" i="14"/>
  <c r="L126" i="14"/>
  <c r="P128" i="14"/>
  <c r="N131" i="14"/>
  <c r="L134" i="14"/>
  <c r="P136" i="14"/>
  <c r="N139" i="14"/>
  <c r="L142" i="14"/>
  <c r="P144" i="14"/>
  <c r="N147" i="14"/>
  <c r="L150" i="14"/>
  <c r="P152" i="14"/>
  <c r="N155" i="14"/>
  <c r="L158" i="14"/>
  <c r="P160" i="14"/>
  <c r="N163" i="14"/>
  <c r="L166" i="14"/>
  <c r="P168" i="14"/>
  <c r="N171" i="14"/>
  <c r="L174" i="14"/>
  <c r="P176" i="14"/>
  <c r="N179" i="14"/>
  <c r="L182" i="14"/>
  <c r="K81" i="14"/>
  <c r="O83" i="14"/>
  <c r="M86" i="14"/>
  <c r="K89" i="14"/>
  <c r="O91" i="14"/>
  <c r="M94" i="14"/>
  <c r="K97" i="14"/>
  <c r="O99" i="14"/>
  <c r="M102" i="14"/>
  <c r="K105" i="14"/>
  <c r="O107" i="14"/>
  <c r="M110" i="14"/>
  <c r="K113" i="14"/>
  <c r="O115" i="14"/>
  <c r="M118" i="14"/>
  <c r="K121" i="14"/>
  <c r="O123" i="14"/>
  <c r="M126" i="14"/>
  <c r="K129" i="14"/>
  <c r="O131" i="14"/>
  <c r="M134" i="14"/>
  <c r="K137" i="14"/>
  <c r="O139" i="14"/>
  <c r="M142" i="14"/>
  <c r="K145" i="14"/>
  <c r="O147" i="14"/>
  <c r="M150" i="14"/>
  <c r="K153" i="14"/>
  <c r="O155" i="14"/>
  <c r="M158" i="14"/>
  <c r="K161" i="14"/>
  <c r="O163" i="14"/>
  <c r="M166" i="14"/>
  <c r="K169" i="14"/>
  <c r="O171" i="14"/>
  <c r="M174" i="14"/>
  <c r="K177" i="14"/>
  <c r="O179" i="14"/>
  <c r="M182" i="14"/>
  <c r="K185" i="14"/>
  <c r="O187" i="14"/>
  <c r="M190" i="14"/>
  <c r="K193" i="14"/>
  <c r="N76" i="14"/>
  <c r="L79" i="14"/>
  <c r="P81" i="14"/>
  <c r="N84" i="14"/>
  <c r="L87" i="14"/>
  <c r="P89" i="14"/>
  <c r="N92" i="14"/>
  <c r="L95" i="14"/>
  <c r="P97" i="14"/>
  <c r="N100" i="14"/>
  <c r="L103" i="14"/>
  <c r="P105" i="14"/>
  <c r="N108" i="14"/>
  <c r="L111" i="14"/>
  <c r="P113" i="14"/>
  <c r="N116" i="14"/>
  <c r="L119" i="14"/>
  <c r="P121" i="14"/>
  <c r="N124" i="14"/>
  <c r="L127" i="14"/>
  <c r="P129" i="14"/>
  <c r="N132" i="14"/>
  <c r="L135" i="14"/>
  <c r="P137" i="14"/>
  <c r="N140" i="14"/>
  <c r="L143" i="14"/>
  <c r="P145" i="14"/>
  <c r="N148" i="14"/>
  <c r="L151" i="14"/>
  <c r="P153" i="14"/>
  <c r="L159" i="14"/>
  <c r="N164" i="14"/>
  <c r="P169" i="14"/>
  <c r="L175" i="14"/>
  <c r="M195" i="14"/>
  <c r="K206" i="14"/>
  <c r="M211" i="14"/>
  <c r="K222" i="14"/>
  <c r="M227" i="14"/>
  <c r="K238" i="14"/>
  <c r="M243" i="14"/>
  <c r="O248" i="14"/>
  <c r="N184" i="14"/>
  <c r="P184" i="14"/>
  <c r="N200" i="14"/>
  <c r="M200" i="14"/>
  <c r="P200" i="14"/>
  <c r="L200" i="14"/>
  <c r="N216" i="14"/>
  <c r="M216" i="14"/>
  <c r="P216" i="14"/>
  <c r="L216" i="14"/>
  <c r="N232" i="14"/>
  <c r="M232" i="14"/>
  <c r="P232" i="14"/>
  <c r="L232" i="14"/>
  <c r="P165" i="14"/>
  <c r="L165" i="14"/>
  <c r="P181" i="14"/>
  <c r="L181" i="14"/>
  <c r="P197" i="14"/>
  <c r="L197" i="14"/>
  <c r="O197" i="14"/>
  <c r="K197" i="14"/>
  <c r="N197" i="14"/>
  <c r="P213" i="14"/>
  <c r="L213" i="14"/>
  <c r="O213" i="14"/>
  <c r="K213" i="14"/>
  <c r="N213" i="14"/>
  <c r="P229" i="14"/>
  <c r="L229" i="14"/>
  <c r="O229" i="14"/>
  <c r="K229" i="14"/>
  <c r="N229" i="14"/>
  <c r="P245" i="14"/>
  <c r="L245" i="14"/>
  <c r="O245" i="14"/>
  <c r="K245" i="14"/>
  <c r="N245" i="14"/>
  <c r="N198" i="14"/>
  <c r="M198" i="14"/>
  <c r="P198" i="14"/>
  <c r="L198" i="14"/>
  <c r="O198" i="14"/>
  <c r="N214" i="14"/>
  <c r="M214" i="14"/>
  <c r="P214" i="14"/>
  <c r="L214" i="14"/>
  <c r="O214" i="14"/>
  <c r="N230" i="14"/>
  <c r="M230" i="14"/>
  <c r="P230" i="14"/>
  <c r="L230" i="14"/>
  <c r="O230" i="14"/>
  <c r="N246" i="14"/>
  <c r="M246" i="14"/>
  <c r="P246" i="14"/>
  <c r="L246" i="14"/>
  <c r="O246" i="14"/>
  <c r="N191" i="14"/>
  <c r="P191" i="14"/>
  <c r="L191" i="14"/>
  <c r="K207" i="14"/>
  <c r="N207" i="14"/>
  <c r="M207" i="14"/>
  <c r="P207" i="14"/>
  <c r="L207" i="14"/>
  <c r="O207" i="14"/>
  <c r="K223" i="14"/>
  <c r="N223" i="14"/>
  <c r="M223" i="14"/>
  <c r="P223" i="14"/>
  <c r="L223" i="14"/>
  <c r="O223" i="14"/>
  <c r="K239" i="14"/>
  <c r="N239" i="14"/>
  <c r="M239" i="14"/>
  <c r="P239" i="14"/>
  <c r="L239" i="14"/>
  <c r="O239" i="14"/>
  <c r="K256" i="14"/>
  <c r="N256" i="14"/>
  <c r="M256" i="14"/>
  <c r="P256" i="14"/>
  <c r="L256" i="14"/>
  <c r="O256" i="14"/>
  <c r="K272" i="14"/>
  <c r="N272" i="14"/>
  <c r="M272" i="14"/>
  <c r="P272" i="14"/>
  <c r="L272" i="14"/>
  <c r="O272" i="14"/>
  <c r="K288" i="14"/>
  <c r="N288" i="14"/>
  <c r="M288" i="14"/>
  <c r="P288" i="14"/>
  <c r="L288" i="14"/>
  <c r="O288" i="14"/>
  <c r="M269" i="14"/>
  <c r="P269" i="14"/>
  <c r="L269" i="14"/>
  <c r="O269" i="14"/>
  <c r="K269" i="14"/>
  <c r="N269" i="14"/>
  <c r="M285" i="14"/>
  <c r="P285" i="14"/>
  <c r="L285" i="14"/>
  <c r="O285" i="14"/>
  <c r="K285" i="14"/>
  <c r="N285" i="14"/>
  <c r="N262" i="14"/>
  <c r="M262" i="14"/>
  <c r="P262" i="14"/>
  <c r="L262" i="14"/>
  <c r="O262" i="14"/>
  <c r="K262" i="14"/>
  <c r="N278" i="14"/>
  <c r="M278" i="14"/>
  <c r="P278" i="14"/>
  <c r="L278" i="14"/>
  <c r="O278" i="14"/>
  <c r="K278" i="14"/>
  <c r="N3" i="14"/>
  <c r="K3" i="14"/>
  <c r="O3" i="14"/>
  <c r="P3" i="14"/>
  <c r="P259" i="14"/>
  <c r="L259" i="14"/>
  <c r="O259" i="14"/>
  <c r="K259" i="14"/>
  <c r="N259" i="14"/>
  <c r="M259" i="14"/>
  <c r="P275" i="14"/>
  <c r="L275" i="14"/>
  <c r="O275" i="14"/>
  <c r="K275" i="14"/>
  <c r="N275" i="14"/>
  <c r="M275" i="14"/>
  <c r="P291" i="14"/>
  <c r="O291" i="14"/>
  <c r="L291" i="14"/>
  <c r="K291" i="14"/>
  <c r="N291" i="14"/>
  <c r="M291" i="14"/>
  <c r="K6" i="14"/>
  <c r="M11" i="14"/>
  <c r="K14" i="14"/>
  <c r="M19" i="14"/>
  <c r="K22" i="14"/>
  <c r="M27" i="14"/>
  <c r="K30" i="14"/>
  <c r="M35" i="14"/>
  <c r="K38" i="14"/>
  <c r="M43" i="14"/>
  <c r="K46" i="14"/>
  <c r="M51" i="14"/>
  <c r="K54" i="14"/>
  <c r="M59" i="14"/>
  <c r="K62" i="14"/>
  <c r="M67" i="14"/>
  <c r="K70" i="14"/>
  <c r="M75" i="14"/>
  <c r="K78" i="14"/>
  <c r="P6" i="14"/>
  <c r="N9" i="14"/>
  <c r="P14" i="14"/>
  <c r="N17" i="14"/>
  <c r="P22" i="14"/>
  <c r="N25" i="14"/>
  <c r="P30" i="14"/>
  <c r="N33" i="14"/>
  <c r="P38" i="14"/>
  <c r="N41" i="14"/>
  <c r="P46" i="14"/>
  <c r="N49" i="14"/>
  <c r="P54" i="14"/>
  <c r="N57" i="14"/>
  <c r="P62" i="14"/>
  <c r="N65" i="14"/>
  <c r="P70" i="14"/>
  <c r="N73" i="14"/>
  <c r="M78" i="14"/>
  <c r="K86" i="14"/>
  <c r="K94" i="14"/>
  <c r="K102" i="14"/>
  <c r="K110" i="14"/>
  <c r="K118" i="14"/>
  <c r="K126" i="14"/>
  <c r="K134" i="14"/>
  <c r="K142" i="14"/>
  <c r="K150" i="14"/>
  <c r="M155" i="14"/>
  <c r="K158" i="14"/>
  <c r="O160" i="14"/>
  <c r="M163" i="14"/>
  <c r="K166" i="14"/>
  <c r="O168" i="14"/>
  <c r="M171" i="14"/>
  <c r="K174" i="14"/>
  <c r="O176" i="14"/>
  <c r="M179" i="14"/>
  <c r="K182" i="14"/>
  <c r="O184" i="14"/>
  <c r="M187" i="14"/>
  <c r="K190" i="14"/>
  <c r="O192" i="14"/>
  <c r="N81" i="14"/>
  <c r="L84" i="14"/>
  <c r="N89" i="14"/>
  <c r="L92" i="14"/>
  <c r="N97" i="14"/>
  <c r="L100" i="14"/>
  <c r="N105" i="14"/>
  <c r="L108" i="14"/>
  <c r="N113" i="14"/>
  <c r="L116" i="14"/>
  <c r="N121" i="14"/>
  <c r="L124" i="14"/>
  <c r="N129" i="14"/>
  <c r="L132" i="14"/>
  <c r="N137" i="14"/>
  <c r="L140" i="14"/>
  <c r="N145" i="14"/>
  <c r="L148" i="14"/>
  <c r="N153" i="14"/>
  <c r="L156" i="14"/>
  <c r="N161" i="14"/>
  <c r="L164" i="14"/>
  <c r="P166" i="14"/>
  <c r="N169" i="14"/>
  <c r="L172" i="14"/>
  <c r="N177" i="14"/>
  <c r="L180" i="14"/>
  <c r="P182" i="14"/>
  <c r="K87" i="14"/>
  <c r="K95" i="14"/>
  <c r="K103" i="14"/>
  <c r="K111" i="14"/>
  <c r="K119" i="14"/>
  <c r="K127" i="14"/>
  <c r="K135" i="14"/>
  <c r="K143" i="14"/>
  <c r="K151" i="14"/>
  <c r="K159" i="14"/>
  <c r="O161" i="14"/>
  <c r="K167" i="14"/>
  <c r="K175" i="14"/>
  <c r="O177" i="14"/>
  <c r="M180" i="14"/>
  <c r="K183" i="14"/>
  <c r="O185" i="14"/>
  <c r="M188" i="14"/>
  <c r="K191" i="14"/>
  <c r="O193" i="14"/>
  <c r="P155" i="14"/>
  <c r="P171" i="14"/>
  <c r="M197" i="14"/>
  <c r="O202" i="14"/>
  <c r="K208" i="14"/>
  <c r="M213" i="14"/>
  <c r="O218" i="14"/>
  <c r="K224" i="14"/>
  <c r="M229" i="14"/>
  <c r="O234" i="14"/>
  <c r="K240" i="14"/>
  <c r="M245" i="14"/>
  <c r="M251" i="14"/>
  <c r="M3" i="14"/>
  <c r="L3" i="14"/>
</calcChain>
</file>

<file path=xl/sharedStrings.xml><?xml version="1.0" encoding="utf-8"?>
<sst xmlns="http://schemas.openxmlformats.org/spreadsheetml/2006/main" count="474" uniqueCount="427">
  <si>
    <t>Data dell'osservazione</t>
  </si>
  <si>
    <t>Cassa</t>
  </si>
  <si>
    <t>Prestiti</t>
  </si>
  <si>
    <t>Titoli diversi da Azioni</t>
  </si>
  <si>
    <t>Residenti in altri paesi aerea Euro</t>
  </si>
  <si>
    <t xml:space="preserve">Altri residenti </t>
  </si>
  <si>
    <t>Amministrazioni Pubbliche</t>
  </si>
  <si>
    <t>IFM</t>
  </si>
  <si>
    <t>Residenti in Italia</t>
  </si>
  <si>
    <t xml:space="preserve">Amministrazioni Pubbliche </t>
  </si>
  <si>
    <t>Resto del Mondo</t>
  </si>
  <si>
    <t>Immobilizzazioni</t>
  </si>
  <si>
    <t>Altre Attività</t>
  </si>
  <si>
    <t>Quote di partecipazione in fondi monetari</t>
  </si>
  <si>
    <t>Azioni e Partecipazioni</t>
  </si>
  <si>
    <t>Altri Residenti</t>
  </si>
  <si>
    <t>Residenti in altri paesi area Euro</t>
  </si>
  <si>
    <t>Altri residenti</t>
  </si>
  <si>
    <t>Residenti</t>
  </si>
  <si>
    <t>Residenti EU</t>
  </si>
  <si>
    <t>Titoli Diversi da Azioni</t>
  </si>
  <si>
    <t>Azioni</t>
  </si>
  <si>
    <t>Data</t>
  </si>
  <si>
    <t>Depositi</t>
  </si>
  <si>
    <t>Obbligazioni</t>
  </si>
  <si>
    <t>Capitale e Riserve</t>
  </si>
  <si>
    <t>Altre Passività</t>
  </si>
  <si>
    <t>Totale</t>
  </si>
  <si>
    <t>In Euro</t>
  </si>
  <si>
    <t>Amministrazioni Pubblica</t>
  </si>
  <si>
    <t>Di cui in Euro</t>
  </si>
  <si>
    <t>Residenti in Altri Paesi EU</t>
  </si>
  <si>
    <t>Depositi Esteri</t>
  </si>
  <si>
    <t>Depositi Nazionali</t>
  </si>
  <si>
    <t>Inflation</t>
  </si>
  <si>
    <t>Revaluation Coeff</t>
  </si>
  <si>
    <t>Altro</t>
  </si>
  <si>
    <t>Estero</t>
  </si>
  <si>
    <t>Nazionali</t>
  </si>
  <si>
    <t>Resto del mondo</t>
  </si>
  <si>
    <t>CC</t>
  </si>
  <si>
    <t>Fino a 2 anni</t>
  </si>
  <si>
    <t>Oltre 2 anni</t>
  </si>
  <si>
    <t>Con preavviso</t>
  </si>
  <si>
    <t>Repo</t>
  </si>
  <si>
    <t>2023-03-31</t>
  </si>
  <si>
    <t>2023-02-28</t>
  </si>
  <si>
    <t>2023-01-31</t>
  </si>
  <si>
    <t>2022-12-31</t>
  </si>
  <si>
    <t>2022-11-30</t>
  </si>
  <si>
    <t>2022-10-31</t>
  </si>
  <si>
    <t>2022-09-30</t>
  </si>
  <si>
    <t>2022-08-31</t>
  </si>
  <si>
    <t>2022-07-31</t>
  </si>
  <si>
    <t>2022-06-30</t>
  </si>
  <si>
    <t>2022-05-31</t>
  </si>
  <si>
    <t>2022-04-30</t>
  </si>
  <si>
    <t>2022-03-31</t>
  </si>
  <si>
    <t>2022-02-28</t>
  </si>
  <si>
    <t>2022-01-31</t>
  </si>
  <si>
    <t>2021-12-31</t>
  </si>
  <si>
    <t>2021-11-30</t>
  </si>
  <si>
    <t>2021-10-31</t>
  </si>
  <si>
    <t>2021-09-30</t>
  </si>
  <si>
    <t>2021-08-31</t>
  </si>
  <si>
    <t>2021-07-31</t>
  </si>
  <si>
    <t>2021-06-30</t>
  </si>
  <si>
    <t>2021-05-31</t>
  </si>
  <si>
    <t>2021-04-30</t>
  </si>
  <si>
    <t>2021-03-31</t>
  </si>
  <si>
    <t>2021-02-28</t>
  </si>
  <si>
    <t>2021-01-31</t>
  </si>
  <si>
    <t>2020-12-31</t>
  </si>
  <si>
    <t>2020-11-30</t>
  </si>
  <si>
    <t>2020-10-31</t>
  </si>
  <si>
    <t>2020-09-30</t>
  </si>
  <si>
    <t>2020-08-31</t>
  </si>
  <si>
    <t>2020-07-31</t>
  </si>
  <si>
    <t>2020-06-30</t>
  </si>
  <si>
    <t>2020-05-31</t>
  </si>
  <si>
    <t>2020-04-30</t>
  </si>
  <si>
    <t>2020-03-31</t>
  </si>
  <si>
    <t>2020-02-29</t>
  </si>
  <si>
    <t>2020-01-31</t>
  </si>
  <si>
    <t>2019-12-31</t>
  </si>
  <si>
    <t>2019-11-30</t>
  </si>
  <si>
    <t>2019-10-31</t>
  </si>
  <si>
    <t>2019-09-30</t>
  </si>
  <si>
    <t>2019-08-31</t>
  </si>
  <si>
    <t>2019-07-31</t>
  </si>
  <si>
    <t>2019-06-30</t>
  </si>
  <si>
    <t>2019-05-31</t>
  </si>
  <si>
    <t>2019-04-30</t>
  </si>
  <si>
    <t>2019-03-31</t>
  </si>
  <si>
    <t>2019-02-28</t>
  </si>
  <si>
    <t>2019-01-31</t>
  </si>
  <si>
    <t>2018-12-31</t>
  </si>
  <si>
    <t>2018-11-30</t>
  </si>
  <si>
    <t>2018-10-31</t>
  </si>
  <si>
    <t>2018-09-30</t>
  </si>
  <si>
    <t>2018-08-31</t>
  </si>
  <si>
    <t>2018-07-31</t>
  </si>
  <si>
    <t>2018-06-30</t>
  </si>
  <si>
    <t>2018-05-31</t>
  </si>
  <si>
    <t>2018-04-30</t>
  </si>
  <si>
    <t>2018-03-31</t>
  </si>
  <si>
    <t>2018-02-28</t>
  </si>
  <si>
    <t>2018-01-31</t>
  </si>
  <si>
    <t>2017-12-31</t>
  </si>
  <si>
    <t>2017-11-30</t>
  </si>
  <si>
    <t>2017-10-31</t>
  </si>
  <si>
    <t>2017-09-30</t>
  </si>
  <si>
    <t>2017-08-31</t>
  </si>
  <si>
    <t>2017-07-31</t>
  </si>
  <si>
    <t>2017-06-30</t>
  </si>
  <si>
    <t>2017-05-31</t>
  </si>
  <si>
    <t>2017-04-30</t>
  </si>
  <si>
    <t>2017-03-31</t>
  </si>
  <si>
    <t>2017-02-28</t>
  </si>
  <si>
    <t>2017-01-31</t>
  </si>
  <si>
    <t>2016-12-31</t>
  </si>
  <si>
    <t>2016-11-30</t>
  </si>
  <si>
    <t>2016-10-31</t>
  </si>
  <si>
    <t>2016-09-30</t>
  </si>
  <si>
    <t>2016-08-31</t>
  </si>
  <si>
    <t>2016-07-31</t>
  </si>
  <si>
    <t>2016-06-30</t>
  </si>
  <si>
    <t>2016-05-31</t>
  </si>
  <si>
    <t>2016-04-30</t>
  </si>
  <si>
    <t>2016-03-31</t>
  </si>
  <si>
    <t>2016-02-29</t>
  </si>
  <si>
    <t>2016-01-31</t>
  </si>
  <si>
    <t>2015-12-31</t>
  </si>
  <si>
    <t>2015-11-30</t>
  </si>
  <si>
    <t>2015-10-31</t>
  </si>
  <si>
    <t>2015-09-30</t>
  </si>
  <si>
    <t>2015-08-31</t>
  </si>
  <si>
    <t>2015-07-31</t>
  </si>
  <si>
    <t>2015-06-30</t>
  </si>
  <si>
    <t>2015-05-31</t>
  </si>
  <si>
    <t>2015-04-30</t>
  </si>
  <si>
    <t>2015-03-31</t>
  </si>
  <si>
    <t>2015-02-28</t>
  </si>
  <si>
    <t>2015-01-31</t>
  </si>
  <si>
    <t>2014-12-31</t>
  </si>
  <si>
    <t>2014-11-30</t>
  </si>
  <si>
    <t>2014-10-31</t>
  </si>
  <si>
    <t>2014-09-30</t>
  </si>
  <si>
    <t>2014-08-31</t>
  </si>
  <si>
    <t>2014-07-31</t>
  </si>
  <si>
    <t>2014-06-30</t>
  </si>
  <si>
    <t>2014-05-31</t>
  </si>
  <si>
    <t>2014-04-30</t>
  </si>
  <si>
    <t>2014-03-31</t>
  </si>
  <si>
    <t>2014-02-28</t>
  </si>
  <si>
    <t>2014-01-31</t>
  </si>
  <si>
    <t>2013-12-31</t>
  </si>
  <si>
    <t>2013-11-30</t>
  </si>
  <si>
    <t>2013-10-31</t>
  </si>
  <si>
    <t>2013-09-30</t>
  </si>
  <si>
    <t>2013-08-31</t>
  </si>
  <si>
    <t>2013-07-31</t>
  </si>
  <si>
    <t>2013-06-30</t>
  </si>
  <si>
    <t>2013-05-31</t>
  </si>
  <si>
    <t>2013-04-30</t>
  </si>
  <si>
    <t>2013-03-31</t>
  </si>
  <si>
    <t>2013-02-28</t>
  </si>
  <si>
    <t>2013-01-31</t>
  </si>
  <si>
    <t>2012-12-31</t>
  </si>
  <si>
    <t>2012-11-30</t>
  </si>
  <si>
    <t>2012-10-31</t>
  </si>
  <si>
    <t>2012-09-30</t>
  </si>
  <si>
    <t>2012-08-31</t>
  </si>
  <si>
    <t>2012-07-31</t>
  </si>
  <si>
    <t>2012-06-30</t>
  </si>
  <si>
    <t>2012-05-31</t>
  </si>
  <si>
    <t>2012-04-30</t>
  </si>
  <si>
    <t>2012-03-31</t>
  </si>
  <si>
    <t>2012-02-29</t>
  </si>
  <si>
    <t>2012-01-31</t>
  </si>
  <si>
    <t>2011-12-31</t>
  </si>
  <si>
    <t>2011-11-30</t>
  </si>
  <si>
    <t>2011-10-31</t>
  </si>
  <si>
    <t>2011-09-30</t>
  </si>
  <si>
    <t>2011-08-31</t>
  </si>
  <si>
    <t>2011-07-31</t>
  </si>
  <si>
    <t>2011-06-30</t>
  </si>
  <si>
    <t>2011-05-31</t>
  </si>
  <si>
    <t>2011-04-30</t>
  </si>
  <si>
    <t>2011-03-31</t>
  </si>
  <si>
    <t>2011-02-28</t>
  </si>
  <si>
    <t>2011-01-31</t>
  </si>
  <si>
    <t>2010-12-31</t>
  </si>
  <si>
    <t>2010-11-30</t>
  </si>
  <si>
    <t>2010-10-31</t>
  </si>
  <si>
    <t>2010-09-30</t>
  </si>
  <si>
    <t>2010-08-31</t>
  </si>
  <si>
    <t>2010-07-31</t>
  </si>
  <si>
    <t>2010-06-30</t>
  </si>
  <si>
    <t>2010-05-31</t>
  </si>
  <si>
    <t>2010-04-30</t>
  </si>
  <si>
    <t>2010-03-31</t>
  </si>
  <si>
    <t>2010-02-28</t>
  </si>
  <si>
    <t>2010-01-31</t>
  </si>
  <si>
    <t>2009-12-31</t>
  </si>
  <si>
    <t>2009-11-30</t>
  </si>
  <si>
    <t>2009-10-31</t>
  </si>
  <si>
    <t>2009-09-30</t>
  </si>
  <si>
    <t>2009-08-31</t>
  </si>
  <si>
    <t>2009-07-31</t>
  </si>
  <si>
    <t>2009-06-30</t>
  </si>
  <si>
    <t>2009-05-31</t>
  </si>
  <si>
    <t>2009-04-30</t>
  </si>
  <si>
    <t>2009-03-31</t>
  </si>
  <si>
    <t>2009-02-28</t>
  </si>
  <si>
    <t>2009-01-31</t>
  </si>
  <si>
    <t>2008-12-31</t>
  </si>
  <si>
    <t>2008-11-30</t>
  </si>
  <si>
    <t>2008-10-31</t>
  </si>
  <si>
    <t>2008-09-30</t>
  </si>
  <si>
    <t>2008-08-31</t>
  </si>
  <si>
    <t>2008-07-31</t>
  </si>
  <si>
    <t>2008-06-30</t>
  </si>
  <si>
    <t>2008-05-31</t>
  </si>
  <si>
    <t>2008-04-30</t>
  </si>
  <si>
    <t>2008-03-31</t>
  </si>
  <si>
    <t>2008-02-29</t>
  </si>
  <si>
    <t>2008-01-31</t>
  </si>
  <si>
    <t>2007-12-31</t>
  </si>
  <si>
    <t>2007-11-30</t>
  </si>
  <si>
    <t>2007-10-31</t>
  </si>
  <si>
    <t>2007-09-30</t>
  </si>
  <si>
    <t>2007-08-31</t>
  </si>
  <si>
    <t>2007-07-31</t>
  </si>
  <si>
    <t>2007-06-30</t>
  </si>
  <si>
    <t>2007-05-31</t>
  </si>
  <si>
    <t>2007-04-30</t>
  </si>
  <si>
    <t>2007-03-31</t>
  </si>
  <si>
    <t>2007-02-28</t>
  </si>
  <si>
    <t>2007-01-31</t>
  </si>
  <si>
    <t>2006-12-31</t>
  </si>
  <si>
    <t>2006-11-30</t>
  </si>
  <si>
    <t>2006-10-31</t>
  </si>
  <si>
    <t>2006-09-30</t>
  </si>
  <si>
    <t>2006-08-31</t>
  </si>
  <si>
    <t>2006-07-31</t>
  </si>
  <si>
    <t>2006-06-30</t>
  </si>
  <si>
    <t>2006-05-31</t>
  </si>
  <si>
    <t>2006-04-30</t>
  </si>
  <si>
    <t>2006-03-31</t>
  </si>
  <si>
    <t>2006-02-28</t>
  </si>
  <si>
    <t>2006-01-31</t>
  </si>
  <si>
    <t>2005-12-31</t>
  </si>
  <si>
    <t>2005-11-30</t>
  </si>
  <si>
    <t>2005-10-31</t>
  </si>
  <si>
    <t>2005-09-30</t>
  </si>
  <si>
    <t>2005-08-31</t>
  </si>
  <si>
    <t>2005-07-31</t>
  </si>
  <si>
    <t>2005-06-30</t>
  </si>
  <si>
    <t>2005-05-31</t>
  </si>
  <si>
    <t>2005-04-30</t>
  </si>
  <si>
    <t>2005-03-31</t>
  </si>
  <si>
    <t>2005-02-28</t>
  </si>
  <si>
    <t>2005-01-31</t>
  </si>
  <si>
    <t>2004-12-31</t>
  </si>
  <si>
    <t>2004-11-30</t>
  </si>
  <si>
    <t>2004-10-31</t>
  </si>
  <si>
    <t>2004-09-30</t>
  </si>
  <si>
    <t>2004-08-31</t>
  </si>
  <si>
    <t>2004-07-31</t>
  </si>
  <si>
    <t>2004-06-30</t>
  </si>
  <si>
    <t>2004-05-31</t>
  </si>
  <si>
    <t>2004-04-30</t>
  </si>
  <si>
    <t>2004-03-31</t>
  </si>
  <si>
    <t>2004-02-29</t>
  </si>
  <si>
    <t>2004-01-31</t>
  </si>
  <si>
    <t>2003-12-31</t>
  </si>
  <si>
    <t>2003-11-30</t>
  </si>
  <si>
    <t>2003-10-31</t>
  </si>
  <si>
    <t>2003-09-30</t>
  </si>
  <si>
    <t>2003-08-31</t>
  </si>
  <si>
    <t>2003-07-31</t>
  </si>
  <si>
    <t>2003-06-30</t>
  </si>
  <si>
    <t>2003-05-31</t>
  </si>
  <si>
    <t>2003-04-30</t>
  </si>
  <si>
    <t>2003-03-31</t>
  </si>
  <si>
    <t>2003-02-28</t>
  </si>
  <si>
    <t>2003-01-31</t>
  </si>
  <si>
    <t>2002-12-31</t>
  </si>
  <si>
    <t>2002-11-30</t>
  </si>
  <si>
    <t>2002-10-31</t>
  </si>
  <si>
    <t>2002-09-30</t>
  </si>
  <si>
    <t>2002-08-31</t>
  </si>
  <si>
    <t>2002-07-31</t>
  </si>
  <si>
    <t>2002-06-30</t>
  </si>
  <si>
    <t>2002-05-31</t>
  </si>
  <si>
    <t>2002-04-30</t>
  </si>
  <si>
    <t>2002-03-31</t>
  </si>
  <si>
    <t>2002-02-28</t>
  </si>
  <si>
    <t>2002-01-31</t>
  </si>
  <si>
    <t>2001-12-31</t>
  </si>
  <si>
    <t>2001-11-30</t>
  </si>
  <si>
    <t>2001-10-31</t>
  </si>
  <si>
    <t>2001-09-30</t>
  </si>
  <si>
    <t>2001-08-31</t>
  </si>
  <si>
    <t>2001-07-31</t>
  </si>
  <si>
    <t>2001-06-30</t>
  </si>
  <si>
    <t>2001-05-31</t>
  </si>
  <si>
    <t>2001-04-30</t>
  </si>
  <si>
    <t>2001-03-31</t>
  </si>
  <si>
    <t>2001-02-28</t>
  </si>
  <si>
    <t>2001-01-31</t>
  </si>
  <si>
    <t>2000-12-31</t>
  </si>
  <si>
    <t>2000-11-30</t>
  </si>
  <si>
    <t>2000-10-31</t>
  </si>
  <si>
    <t>2000-09-30</t>
  </si>
  <si>
    <t>2000-08-31</t>
  </si>
  <si>
    <t>2000-07-31</t>
  </si>
  <si>
    <t>2000-06-30</t>
  </si>
  <si>
    <t>2000-05-31</t>
  </si>
  <si>
    <t>2000-04-30</t>
  </si>
  <si>
    <t>2000-03-31</t>
  </si>
  <si>
    <t>2000-02-29</t>
  </si>
  <si>
    <t>2000-01-31</t>
  </si>
  <si>
    <t>1999-12-31</t>
  </si>
  <si>
    <t>1999-11-30</t>
  </si>
  <si>
    <t>1999-10-31</t>
  </si>
  <si>
    <t>1999-09-30</t>
  </si>
  <si>
    <t>1999-08-31</t>
  </si>
  <si>
    <t>1999-07-31</t>
  </si>
  <si>
    <t>1999-06-30</t>
  </si>
  <si>
    <t>1999-05-31</t>
  </si>
  <si>
    <t>1999-04-30</t>
  </si>
  <si>
    <t>1999-03-31</t>
  </si>
  <si>
    <t>1999-02-28</t>
  </si>
  <si>
    <t>1999-01-31</t>
  </si>
  <si>
    <t>1998-12-31</t>
  </si>
  <si>
    <t>1998-11-30</t>
  </si>
  <si>
    <t>1998-10-31</t>
  </si>
  <si>
    <t>1998-09-30</t>
  </si>
  <si>
    <t>1998-08-31</t>
  </si>
  <si>
    <t>1998-07-31</t>
  </si>
  <si>
    <t>1998-06-30</t>
  </si>
  <si>
    <t>1998-05-31</t>
  </si>
  <si>
    <t>1998-04-30</t>
  </si>
  <si>
    <t>1998-03-31</t>
  </si>
  <si>
    <t>1998-02-28</t>
  </si>
  <si>
    <t>1998-01-31</t>
  </si>
  <si>
    <t>1997-12-31</t>
  </si>
  <si>
    <t>1997-11-30</t>
  </si>
  <si>
    <t>1997-10-31</t>
  </si>
  <si>
    <t>1997-09-30</t>
  </si>
  <si>
    <t>1997-08-31</t>
  </si>
  <si>
    <t>1997-07-31</t>
  </si>
  <si>
    <t>1997-06-30</t>
  </si>
  <si>
    <t>1997-05-31</t>
  </si>
  <si>
    <t>1997-04-30</t>
  </si>
  <si>
    <t>1997-03-31</t>
  </si>
  <si>
    <t>1997-02-28</t>
  </si>
  <si>
    <t>1997-01-31</t>
  </si>
  <si>
    <t>1996-12-31</t>
  </si>
  <si>
    <t>1996-11-30</t>
  </si>
  <si>
    <t>1996-10-31</t>
  </si>
  <si>
    <t>1996-09-30</t>
  </si>
  <si>
    <t>1996-08-31</t>
  </si>
  <si>
    <t>1996-07-31</t>
  </si>
  <si>
    <t>1996-06-30</t>
  </si>
  <si>
    <t>1996-05-31</t>
  </si>
  <si>
    <t>1996-04-30</t>
  </si>
  <si>
    <t>1996-03-31</t>
  </si>
  <si>
    <t>1996-02-29</t>
  </si>
  <si>
    <t>1996-01-31</t>
  </si>
  <si>
    <t>1995-12-31</t>
  </si>
  <si>
    <t>Tempo</t>
  </si>
  <si>
    <t>Tasso Depositi</t>
  </si>
  <si>
    <t>Tasso CC</t>
  </si>
  <si>
    <t>Tasso Tempo</t>
  </si>
  <si>
    <t>Lungo Termine</t>
  </si>
  <si>
    <t>Breve Termine</t>
  </si>
  <si>
    <t>Interessi attivi</t>
  </si>
  <si>
    <t>Interessi passivi</t>
  </si>
  <si>
    <t>Interessi netti da derivati - contabilizzazione delle operazioni di copertura, rischio di tasso di interesse</t>
  </si>
  <si>
    <t>Margine di interesse</t>
  </si>
  <si>
    <t>Altri ricavi netti</t>
  </si>
  <si>
    <t>Utili o perdite (-) su attività detenute per negoziazione, al netto</t>
  </si>
  <si>
    <t>Utili o perdite (-) da commissioni e compensi, al netto</t>
  </si>
  <si>
    <t>Margine di intermediazione</t>
  </si>
  <si>
    <t>Costi operativi</t>
  </si>
  <si>
    <t>Costi per il personale</t>
  </si>
  <si>
    <t>Imposte indirette</t>
  </si>
  <si>
    <t>Risultato di gestione</t>
  </si>
  <si>
    <t>Utili o perdite da modifica</t>
  </si>
  <si>
    <t>Accantonamenti</t>
  </si>
  <si>
    <t>Riduzione di valore su attività finanziarie</t>
  </si>
  <si>
    <t>Utili o (-) perdite straordinarie</t>
  </si>
  <si>
    <t>Utile o (-) perdita lordi</t>
  </si>
  <si>
    <t>Imposte dirette a debito o (-) a credito</t>
  </si>
  <si>
    <t>Utile o (-) perdita netti</t>
  </si>
  <si>
    <t>Dividendi, distribuiti</t>
  </si>
  <si>
    <t>Totale attività</t>
  </si>
  <si>
    <t>Totale attivo, media annuale</t>
  </si>
  <si>
    <t>Capitale e riserve</t>
  </si>
  <si>
    <t>Capitale e riserve, media annuale</t>
  </si>
  <si>
    <t>Dipendenti</t>
  </si>
  <si>
    <t>Numero di dipendenti, media annuale</t>
  </si>
  <si>
    <t>Numero di banche segnalanti</t>
  </si>
  <si>
    <t>Costo unitario del personale (euro)</t>
  </si>
  <si>
    <t>IFM resid. in altri stati membri UEM</t>
  </si>
  <si>
    <t>Amministrioni pubbliche residenti in altri stati membri UEM</t>
  </si>
  <si>
    <t>Assicurazioni, fondi pensione e altre istituzioni finanziarie di altri paesi dell'area euro - tutte le valute</t>
  </si>
  <si>
    <t>Famiglie</t>
  </si>
  <si>
    <t>Imprese non finanziarie</t>
  </si>
  <si>
    <t>Altre amm.pubbliche italiane</t>
  </si>
  <si>
    <t>Amministrazione centrale</t>
  </si>
  <si>
    <t>Altre istituzioni finanziarie</t>
  </si>
  <si>
    <t>Assicurazioni e fondi pensione</t>
  </si>
  <si>
    <t>Società non finanziarie</t>
  </si>
  <si>
    <t>Famiglie consumatrici</t>
  </si>
  <si>
    <t>Famiglie produttrici</t>
  </si>
  <si>
    <t>Istituzioni senza scopo di lucro</t>
  </si>
  <si>
    <t>EU</t>
  </si>
  <si>
    <t>Altro EU</t>
  </si>
  <si>
    <t>Mondo</t>
  </si>
  <si>
    <t>ITA</t>
  </si>
  <si>
    <t>ITA Fin</t>
  </si>
  <si>
    <t>ITA Gov</t>
  </si>
  <si>
    <t>ITA+EU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</si>
</sst>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8"/>
      <color rgb="FF000000"/>
      <name val="SansSerif"/>
      <family val="2"/>
    </font>
    <font>
      <b/>
      <sz val="10"/>
      <color rgb="FF000000"/>
      <name val="Sanserif"/>
    </font>
    <font>
      <sz val="11"/>
      <color theme="1"/>
      <name val="Sanserif"/>
    </font>
    <font>
      <b/>
      <sz val="8"/>
      <color rgb="FF000000"/>
      <name val="SansSerif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C8FF"/>
      </patternFill>
    </fill>
    <fill>
      <patternFill patternType="solid">
        <fgColor rgb="FFC8C8FF"/>
        <bgColor rgb="FF000000"/>
      </patternFill>
    </fill>
    <fill>
      <patternFill patternType="solid">
        <fgColor rgb="FFF0F0F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right" vertical="justify" wrapText="1"/>
    </xf>
    <xf numFmtId="1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0" xfId="0" applyFont="1"/>
    <xf numFmtId="2" fontId="2" fillId="0" borderId="0" xfId="0" applyNumberFormat="1" applyFont="1" applyAlignment="1">
      <alignment horizontal="right" vertical="justify"/>
    </xf>
    <xf numFmtId="0" fontId="2" fillId="0" borderId="0" xfId="0" applyFont="1" applyAlignment="1">
      <alignment horizontal="right" vertical="justify"/>
    </xf>
    <xf numFmtId="0" fontId="2" fillId="0" borderId="0" xfId="0" applyFont="1" applyAlignment="1">
      <alignment horizontal="right" vertical="justify" wrapText="1"/>
    </xf>
    <xf numFmtId="2" fontId="0" fillId="0" borderId="0" xfId="0" applyNumberFormat="1"/>
    <xf numFmtId="14" fontId="5" fillId="0" borderId="0" xfId="0" applyNumberFormat="1" applyFont="1" applyAlignment="1">
      <alignment horizontal="right" vertical="justify" wrapText="1"/>
    </xf>
    <xf numFmtId="0" fontId="6" fillId="0" borderId="0" xfId="0" applyFont="1"/>
    <xf numFmtId="0" fontId="2" fillId="0" borderId="5" xfId="0" applyFont="1" applyBorder="1" applyAlignment="1">
      <alignment horizontal="right" vertical="justify" wrapText="1"/>
    </xf>
    <xf numFmtId="0" fontId="2" fillId="4" borderId="6" xfId="0" applyFont="1" applyFill="1" applyBorder="1" applyAlignment="1">
      <alignment horizontal="right" vertical="justify" wrapText="1"/>
    </xf>
    <xf numFmtId="0" fontId="2" fillId="0" borderId="6" xfId="0" applyFont="1" applyBorder="1" applyAlignment="1">
      <alignment horizontal="right" vertical="justify" wrapText="1"/>
    </xf>
    <xf numFmtId="0" fontId="1" fillId="2" borderId="6" xfId="0" applyFont="1" applyFill="1" applyBorder="1" applyAlignment="1">
      <alignment horizontal="center" vertical="center" wrapText="1"/>
    </xf>
    <xf numFmtId="14" fontId="2" fillId="4" borderId="6" xfId="0" applyNumberFormat="1" applyFont="1" applyFill="1" applyBorder="1" applyAlignment="1">
      <alignment horizontal="right" vertical="justify" wrapText="1"/>
    </xf>
    <xf numFmtId="14" fontId="2" fillId="0" borderId="6" xfId="0" applyNumberFormat="1" applyFont="1" applyBorder="1" applyAlignment="1">
      <alignment horizontal="right" vertical="justify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justify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DB43-D73B-054D-B42D-790F27B9112D}">
  <dimension ref="A1:T331"/>
  <sheetViews>
    <sheetView zoomScale="289" workbookViewId="0">
      <selection activeCell="C3" sqref="C1:C1048576"/>
    </sheetView>
  </sheetViews>
  <sheetFormatPr baseColWidth="10" defaultRowHeight="15"/>
  <sheetData>
    <row r="1" spans="1:20">
      <c r="C1" s="22" t="s">
        <v>2</v>
      </c>
      <c r="D1" s="22"/>
      <c r="E1" s="22"/>
      <c r="F1" s="22" t="s">
        <v>3</v>
      </c>
      <c r="G1" s="22"/>
      <c r="H1" s="22"/>
      <c r="I1" s="22"/>
      <c r="J1" s="22"/>
      <c r="K1" s="22"/>
      <c r="L1" s="22"/>
      <c r="M1" s="22" t="s">
        <v>14</v>
      </c>
      <c r="N1" s="22"/>
      <c r="O1" s="22"/>
      <c r="P1" s="22"/>
      <c r="Q1" s="22"/>
    </row>
    <row r="2" spans="1:20">
      <c r="C2" s="23"/>
      <c r="D2" s="23"/>
      <c r="E2" s="23"/>
      <c r="F2" s="23" t="s">
        <v>4</v>
      </c>
      <c r="G2" s="23"/>
      <c r="H2" s="23"/>
      <c r="I2" s="23" t="s">
        <v>8</v>
      </c>
      <c r="J2" s="23"/>
      <c r="K2" s="23"/>
      <c r="L2" t="s">
        <v>10</v>
      </c>
      <c r="M2" s="23" t="s">
        <v>16</v>
      </c>
      <c r="N2" s="23"/>
      <c r="O2" t="s">
        <v>10</v>
      </c>
      <c r="P2" s="23" t="s">
        <v>8</v>
      </c>
      <c r="Q2" s="23"/>
    </row>
    <row r="3" spans="1:20" ht="56">
      <c r="A3" s="1" t="s">
        <v>22</v>
      </c>
      <c r="B3" s="1" t="s">
        <v>1</v>
      </c>
      <c r="C3" s="1" t="s">
        <v>18</v>
      </c>
      <c r="D3" s="1" t="s">
        <v>19</v>
      </c>
      <c r="E3" s="1" t="s">
        <v>10</v>
      </c>
      <c r="F3" s="1" t="s">
        <v>5</v>
      </c>
      <c r="G3" s="1" t="s">
        <v>6</v>
      </c>
      <c r="H3" s="1" t="s">
        <v>7</v>
      </c>
      <c r="I3" s="1" t="s">
        <v>5</v>
      </c>
      <c r="J3" s="1" t="s">
        <v>7</v>
      </c>
      <c r="K3" s="1" t="s">
        <v>9</v>
      </c>
      <c r="L3" s="1" t="s">
        <v>10</v>
      </c>
      <c r="M3" s="1" t="s">
        <v>17</v>
      </c>
      <c r="N3" s="1" t="s">
        <v>7</v>
      </c>
      <c r="O3" s="1" t="s">
        <v>10</v>
      </c>
      <c r="P3" s="1" t="s">
        <v>15</v>
      </c>
      <c r="Q3" s="1" t="s">
        <v>7</v>
      </c>
      <c r="R3" s="1" t="s">
        <v>13</v>
      </c>
      <c r="S3" s="1" t="s">
        <v>11</v>
      </c>
      <c r="T3" s="1" t="s">
        <v>12</v>
      </c>
    </row>
    <row r="4" spans="1:20">
      <c r="A4" s="3">
        <v>45016</v>
      </c>
      <c r="B4" s="4">
        <v>8989.16</v>
      </c>
      <c r="C4" s="4">
        <v>2267648.7999999998</v>
      </c>
      <c r="D4" s="4">
        <v>156661.39000000001</v>
      </c>
      <c r="E4" s="4">
        <v>98985.95</v>
      </c>
      <c r="F4" s="4">
        <v>13658.43</v>
      </c>
      <c r="G4" s="4">
        <v>81647.22</v>
      </c>
      <c r="H4" s="4">
        <v>26861.86</v>
      </c>
      <c r="I4" s="4">
        <v>150777.09</v>
      </c>
      <c r="J4" s="4">
        <v>48302.11</v>
      </c>
      <c r="K4" s="4">
        <v>392317.89</v>
      </c>
      <c r="L4" s="4">
        <v>66422.320000000007</v>
      </c>
      <c r="M4" s="4">
        <v>14258.39</v>
      </c>
      <c r="N4" s="4">
        <v>40344.71</v>
      </c>
      <c r="O4" s="4">
        <v>15485.63</v>
      </c>
      <c r="P4" s="4">
        <v>79392.31</v>
      </c>
      <c r="Q4" s="4">
        <v>20839.37</v>
      </c>
      <c r="R4" s="4">
        <v>2.75</v>
      </c>
      <c r="S4" s="4">
        <v>81479.19</v>
      </c>
      <c r="T4" s="4">
        <v>362158.69</v>
      </c>
    </row>
    <row r="5" spans="1:20">
      <c r="A5" s="3">
        <f>EDATE(A4,-1)</f>
        <v>44985</v>
      </c>
      <c r="B5" s="4">
        <v>9270.75</v>
      </c>
      <c r="C5" s="4">
        <v>2296578.12</v>
      </c>
      <c r="D5" s="4">
        <v>148806.54</v>
      </c>
      <c r="E5" s="4">
        <v>96147.31</v>
      </c>
      <c r="F5" s="4">
        <v>14002.07</v>
      </c>
      <c r="G5" s="4">
        <v>80313.320000000007</v>
      </c>
      <c r="H5" s="4">
        <v>26179.03</v>
      </c>
      <c r="I5" s="4">
        <v>151880.63</v>
      </c>
      <c r="J5" s="4">
        <v>48296.07</v>
      </c>
      <c r="K5" s="4">
        <v>390899.29</v>
      </c>
      <c r="L5" s="4">
        <v>65485.3</v>
      </c>
      <c r="M5" s="4">
        <v>14265.93</v>
      </c>
      <c r="N5" s="4">
        <v>40276.25</v>
      </c>
      <c r="O5" s="4">
        <v>15796.89</v>
      </c>
      <c r="P5" s="4">
        <v>78845.27</v>
      </c>
      <c r="Q5" s="4">
        <v>20691.29</v>
      </c>
      <c r="R5" s="4">
        <v>2.75</v>
      </c>
      <c r="S5" s="4">
        <v>81301.02</v>
      </c>
      <c r="T5" s="4">
        <v>382118.37</v>
      </c>
    </row>
    <row r="6" spans="1:20">
      <c r="A6" s="3">
        <f t="shared" ref="A6:A69" si="0">EDATE(A5,-1)</f>
        <v>44954</v>
      </c>
      <c r="B6" s="4">
        <v>9481.6</v>
      </c>
      <c r="C6" s="4">
        <v>2311968.12</v>
      </c>
      <c r="D6" s="4">
        <v>151801.88</v>
      </c>
      <c r="E6" s="4">
        <v>97087.27</v>
      </c>
      <c r="F6" s="4">
        <v>14431.09</v>
      </c>
      <c r="G6" s="4">
        <v>78643.820000000007</v>
      </c>
      <c r="H6" s="4">
        <v>25933.95</v>
      </c>
      <c r="I6" s="4">
        <v>152634.82</v>
      </c>
      <c r="J6" s="4">
        <v>48129.86</v>
      </c>
      <c r="K6" s="4">
        <v>384523.19</v>
      </c>
      <c r="L6" s="4">
        <v>63622.19</v>
      </c>
      <c r="M6" s="4">
        <v>14304.53</v>
      </c>
      <c r="N6" s="4">
        <v>40269.83</v>
      </c>
      <c r="O6" s="4">
        <v>15438.08</v>
      </c>
      <c r="P6" s="4">
        <v>78956.67</v>
      </c>
      <c r="Q6" s="4">
        <v>20678.009999999998</v>
      </c>
      <c r="R6" s="4">
        <v>2.6</v>
      </c>
      <c r="S6" s="4">
        <v>81247.570000000007</v>
      </c>
      <c r="T6" s="4">
        <v>356912.47</v>
      </c>
    </row>
    <row r="7" spans="1:20">
      <c r="A7" s="3">
        <f t="shared" si="0"/>
        <v>44923</v>
      </c>
      <c r="B7" s="4">
        <v>10441.82</v>
      </c>
      <c r="C7" s="4">
        <v>2303400.56</v>
      </c>
      <c r="D7" s="4">
        <v>158324.48000000001</v>
      </c>
      <c r="E7" s="4">
        <v>96472.69</v>
      </c>
      <c r="F7" s="4">
        <v>13600.17</v>
      </c>
      <c r="G7" s="4">
        <v>75609.399999999994</v>
      </c>
      <c r="H7" s="4">
        <v>24711.34</v>
      </c>
      <c r="I7" s="4">
        <v>154292.76999999999</v>
      </c>
      <c r="J7" s="4">
        <v>47909.45</v>
      </c>
      <c r="K7" s="4">
        <v>376284.33</v>
      </c>
      <c r="L7" s="4">
        <v>62954.14</v>
      </c>
      <c r="M7" s="4">
        <v>14242.67</v>
      </c>
      <c r="N7" s="4">
        <v>38244.58</v>
      </c>
      <c r="O7" s="4">
        <v>17264.79</v>
      </c>
      <c r="P7" s="4">
        <v>79004.990000000005</v>
      </c>
      <c r="Q7" s="4">
        <v>20593.330000000002</v>
      </c>
      <c r="R7" s="4">
        <v>2.12</v>
      </c>
      <c r="S7" s="4">
        <v>81232.33</v>
      </c>
      <c r="T7" s="4">
        <v>390169.11</v>
      </c>
    </row>
    <row r="8" spans="1:20">
      <c r="A8" s="3">
        <f t="shared" si="0"/>
        <v>44893</v>
      </c>
      <c r="B8" s="4">
        <v>9565.69</v>
      </c>
      <c r="C8" s="4">
        <v>2401369.0099999998</v>
      </c>
      <c r="D8" s="4">
        <v>152531.51999999999</v>
      </c>
      <c r="E8" s="4">
        <v>103328.72</v>
      </c>
      <c r="F8" s="4">
        <v>14965.7</v>
      </c>
      <c r="G8" s="4">
        <v>77588.490000000005</v>
      </c>
      <c r="H8" s="4">
        <v>25381.48</v>
      </c>
      <c r="I8" s="4">
        <v>139166.32</v>
      </c>
      <c r="J8" s="4">
        <v>49491.37</v>
      </c>
      <c r="K8" s="4">
        <v>393130.8</v>
      </c>
      <c r="L8" s="4">
        <v>64082.29</v>
      </c>
      <c r="M8" s="4">
        <v>14379.48</v>
      </c>
      <c r="N8" s="4">
        <v>38292.239999999998</v>
      </c>
      <c r="O8" s="4">
        <v>18303.64</v>
      </c>
      <c r="P8" s="4">
        <v>79489.95</v>
      </c>
      <c r="Q8" s="4">
        <v>20644.560000000001</v>
      </c>
      <c r="R8" s="4">
        <v>2.11</v>
      </c>
      <c r="S8" s="4">
        <v>81027.199999999997</v>
      </c>
      <c r="T8" s="4">
        <v>359372.38</v>
      </c>
    </row>
    <row r="9" spans="1:20">
      <c r="A9" s="3">
        <f t="shared" si="0"/>
        <v>44862</v>
      </c>
      <c r="B9" s="4">
        <v>9651.3799999999992</v>
      </c>
      <c r="C9" s="4">
        <v>2394365.02</v>
      </c>
      <c r="D9" s="4">
        <v>154065.04999999999</v>
      </c>
      <c r="E9" s="4">
        <v>107267.57</v>
      </c>
      <c r="F9" s="4">
        <v>14807.49</v>
      </c>
      <c r="G9" s="4">
        <v>76162.45</v>
      </c>
      <c r="H9" s="4">
        <v>23541.89</v>
      </c>
      <c r="I9" s="4">
        <v>136868.31</v>
      </c>
      <c r="J9" s="4">
        <v>48284.39</v>
      </c>
      <c r="K9" s="4">
        <v>395375.28</v>
      </c>
      <c r="L9" s="4">
        <v>64171.33</v>
      </c>
      <c r="M9" s="4">
        <v>14266.91</v>
      </c>
      <c r="N9" s="4">
        <v>38436.99</v>
      </c>
      <c r="O9" s="4">
        <v>18509.689999999999</v>
      </c>
      <c r="P9" s="4">
        <v>79551.429999999993</v>
      </c>
      <c r="Q9" s="4">
        <v>21728.99</v>
      </c>
      <c r="R9" s="4">
        <v>2.11</v>
      </c>
      <c r="S9" s="4">
        <v>80209.59</v>
      </c>
      <c r="T9" s="4">
        <v>369994.15</v>
      </c>
    </row>
    <row r="10" spans="1:20">
      <c r="A10" s="3">
        <f t="shared" si="0"/>
        <v>44832</v>
      </c>
      <c r="B10" s="4">
        <v>9837.7800000000007</v>
      </c>
      <c r="C10" s="4">
        <v>2387757.02</v>
      </c>
      <c r="D10" s="4">
        <v>160999.73000000001</v>
      </c>
      <c r="E10" s="4">
        <v>109517.28</v>
      </c>
      <c r="F10" s="4">
        <v>15244.88</v>
      </c>
      <c r="G10" s="4">
        <v>73858.350000000006</v>
      </c>
      <c r="H10" s="4">
        <v>24222.560000000001</v>
      </c>
      <c r="I10" s="4">
        <v>140023.07999999999</v>
      </c>
      <c r="J10" s="4">
        <v>48455.49</v>
      </c>
      <c r="K10" s="4">
        <v>386992.69</v>
      </c>
      <c r="L10" s="4">
        <v>64261.85</v>
      </c>
      <c r="M10" s="4">
        <v>14062.62</v>
      </c>
      <c r="N10" s="4">
        <v>38388.019999999997</v>
      </c>
      <c r="O10" s="4">
        <v>18728.650000000001</v>
      </c>
      <c r="P10" s="4">
        <v>79469.38</v>
      </c>
      <c r="Q10" s="4">
        <v>21674.57</v>
      </c>
      <c r="R10" s="4">
        <v>2.11</v>
      </c>
      <c r="S10" s="4">
        <v>75757.17</v>
      </c>
      <c r="T10" s="4">
        <v>381434.46</v>
      </c>
    </row>
    <row r="11" spans="1:20">
      <c r="A11" s="3">
        <f t="shared" si="0"/>
        <v>44801</v>
      </c>
      <c r="B11" s="4">
        <v>9907.1</v>
      </c>
      <c r="C11" s="4">
        <v>2406655.94</v>
      </c>
      <c r="D11" s="4">
        <v>151076.94</v>
      </c>
      <c r="E11" s="4">
        <v>111041</v>
      </c>
      <c r="F11" s="4">
        <v>15240.63</v>
      </c>
      <c r="G11" s="4">
        <v>74327.48</v>
      </c>
      <c r="H11" s="4">
        <v>24489.07</v>
      </c>
      <c r="I11" s="4">
        <v>140123.5</v>
      </c>
      <c r="J11" s="4">
        <v>48813.39</v>
      </c>
      <c r="K11" s="4">
        <v>403268.28</v>
      </c>
      <c r="L11" s="4">
        <v>65942.91</v>
      </c>
      <c r="M11" s="4">
        <v>14557.89</v>
      </c>
      <c r="N11" s="4">
        <v>38380.26</v>
      </c>
      <c r="O11" s="4">
        <v>18456.38</v>
      </c>
      <c r="P11" s="4">
        <v>79617.52</v>
      </c>
      <c r="Q11" s="4">
        <v>22012.37</v>
      </c>
      <c r="R11" s="4">
        <v>2.11</v>
      </c>
      <c r="S11" s="4">
        <v>75876.02</v>
      </c>
      <c r="T11" s="4">
        <v>338346.61</v>
      </c>
    </row>
    <row r="12" spans="1:20">
      <c r="A12" s="3">
        <f t="shared" si="0"/>
        <v>44770</v>
      </c>
      <c r="B12" s="4">
        <v>9848.02</v>
      </c>
      <c r="C12" s="4">
        <v>2411086.8199999998</v>
      </c>
      <c r="D12" s="4">
        <v>156631.47</v>
      </c>
      <c r="E12" s="4">
        <v>111996.35</v>
      </c>
      <c r="F12" s="4">
        <v>15463.59</v>
      </c>
      <c r="G12" s="4">
        <v>76913.14</v>
      </c>
      <c r="H12" s="4">
        <v>25161.32</v>
      </c>
      <c r="I12" s="4">
        <v>143341.29999999999</v>
      </c>
      <c r="J12" s="4">
        <v>48589.66</v>
      </c>
      <c r="K12" s="4">
        <v>415174.91</v>
      </c>
      <c r="L12" s="4">
        <v>65747.77</v>
      </c>
      <c r="M12" s="4">
        <v>14619.26</v>
      </c>
      <c r="N12" s="4">
        <v>38374.080000000002</v>
      </c>
      <c r="O12" s="4">
        <v>18400.02</v>
      </c>
      <c r="P12" s="4">
        <v>79881.45</v>
      </c>
      <c r="Q12" s="4">
        <v>21956.3</v>
      </c>
      <c r="R12" s="4">
        <v>1.87</v>
      </c>
      <c r="S12" s="4">
        <v>75881.8</v>
      </c>
      <c r="T12" s="4">
        <v>306824.40000000002</v>
      </c>
    </row>
    <row r="13" spans="1:20">
      <c r="A13" s="3">
        <f t="shared" si="0"/>
        <v>44740</v>
      </c>
      <c r="B13" s="4">
        <v>9828.7199999999993</v>
      </c>
      <c r="C13" s="4">
        <v>2411094.34</v>
      </c>
      <c r="D13" s="4">
        <v>146377.98000000001</v>
      </c>
      <c r="E13" s="4">
        <v>109812.72</v>
      </c>
      <c r="F13" s="4">
        <v>15351.88</v>
      </c>
      <c r="G13" s="4">
        <v>76332.929999999993</v>
      </c>
      <c r="H13" s="4">
        <v>24640.560000000001</v>
      </c>
      <c r="I13" s="4">
        <v>145029.16</v>
      </c>
      <c r="J13" s="4">
        <v>48277.27</v>
      </c>
      <c r="K13" s="4">
        <v>412083.74</v>
      </c>
      <c r="L13" s="4">
        <v>62730.37</v>
      </c>
      <c r="M13" s="4">
        <v>14896.36</v>
      </c>
      <c r="N13" s="4">
        <v>38355.980000000003</v>
      </c>
      <c r="O13" s="4">
        <v>18577.03</v>
      </c>
      <c r="P13" s="4">
        <v>76948.039999999994</v>
      </c>
      <c r="Q13" s="4">
        <v>21809.39</v>
      </c>
      <c r="R13" s="4">
        <v>1.87</v>
      </c>
      <c r="S13" s="4">
        <v>75625.73</v>
      </c>
      <c r="T13" s="4">
        <v>314752.15000000002</v>
      </c>
    </row>
    <row r="14" spans="1:20">
      <c r="A14" s="3">
        <f t="shared" si="0"/>
        <v>44709</v>
      </c>
      <c r="B14" s="4">
        <v>9648.5499999999993</v>
      </c>
      <c r="C14" s="4">
        <v>2479511.15</v>
      </c>
      <c r="D14" s="4">
        <v>148699.03</v>
      </c>
      <c r="E14" s="4">
        <v>105181.75</v>
      </c>
      <c r="F14" s="4">
        <v>15963.19</v>
      </c>
      <c r="G14" s="4">
        <v>77703.56</v>
      </c>
      <c r="H14" s="4">
        <v>24755.03</v>
      </c>
      <c r="I14" s="4">
        <v>146047.1</v>
      </c>
      <c r="J14" s="4">
        <v>49756.72</v>
      </c>
      <c r="K14" s="4">
        <v>417449.46</v>
      </c>
      <c r="L14" s="4">
        <v>62766.35</v>
      </c>
      <c r="M14" s="4">
        <v>15200.36</v>
      </c>
      <c r="N14" s="4">
        <v>38338.39</v>
      </c>
      <c r="O14" s="4">
        <v>18016.59</v>
      </c>
      <c r="P14" s="4">
        <v>78063.94</v>
      </c>
      <c r="Q14" s="4">
        <v>21273.42</v>
      </c>
      <c r="R14" s="4">
        <v>1.88</v>
      </c>
      <c r="S14" s="4">
        <v>76004.69</v>
      </c>
      <c r="T14" s="4">
        <v>292044.96000000002</v>
      </c>
    </row>
    <row r="15" spans="1:20">
      <c r="A15" s="3">
        <f t="shared" si="0"/>
        <v>44679</v>
      </c>
      <c r="B15" s="4">
        <v>9889.5300000000007</v>
      </c>
      <c r="C15" s="4">
        <v>2470412.15</v>
      </c>
      <c r="D15" s="4">
        <v>149426.07999999999</v>
      </c>
      <c r="E15" s="4">
        <v>106279.21</v>
      </c>
      <c r="F15" s="4">
        <v>16045.94</v>
      </c>
      <c r="G15" s="4">
        <v>75961.86</v>
      </c>
      <c r="H15" s="4">
        <v>24475.02</v>
      </c>
      <c r="I15" s="4">
        <v>146990.28</v>
      </c>
      <c r="J15" s="4">
        <v>50040.13</v>
      </c>
      <c r="K15" s="4">
        <v>422164.52</v>
      </c>
      <c r="L15" s="4">
        <v>62057.42</v>
      </c>
      <c r="M15" s="4">
        <v>15078.32</v>
      </c>
      <c r="N15" s="4">
        <v>38334.28</v>
      </c>
      <c r="O15" s="4">
        <v>17844.330000000002</v>
      </c>
      <c r="P15" s="4">
        <v>74203.33</v>
      </c>
      <c r="Q15" s="4">
        <v>21308.3</v>
      </c>
      <c r="R15" s="4">
        <v>1.88</v>
      </c>
      <c r="S15" s="4">
        <v>75851.490000000005</v>
      </c>
      <c r="T15" s="4">
        <v>287868.89</v>
      </c>
    </row>
    <row r="16" spans="1:20">
      <c r="A16" s="3">
        <f t="shared" si="0"/>
        <v>44648</v>
      </c>
      <c r="B16" s="4">
        <v>9241.69</v>
      </c>
      <c r="C16" s="4">
        <v>2460271.85</v>
      </c>
      <c r="D16" s="4">
        <v>146765.75</v>
      </c>
      <c r="E16" s="4">
        <v>107190.69</v>
      </c>
      <c r="F16" s="4">
        <v>15878.75</v>
      </c>
      <c r="G16" s="4">
        <v>78282.070000000007</v>
      </c>
      <c r="H16" s="4">
        <v>24487.51</v>
      </c>
      <c r="I16" s="4">
        <v>143764.17000000001</v>
      </c>
      <c r="J16" s="4">
        <v>51036.17</v>
      </c>
      <c r="K16" s="4">
        <v>426263.69</v>
      </c>
      <c r="L16" s="4">
        <v>62140.07</v>
      </c>
      <c r="M16" s="4">
        <v>14919.11</v>
      </c>
      <c r="N16" s="4">
        <v>38250.050000000003</v>
      </c>
      <c r="O16" s="4">
        <v>17592.16</v>
      </c>
      <c r="P16" s="4">
        <v>74448.87</v>
      </c>
      <c r="Q16" s="4">
        <v>22045.15</v>
      </c>
      <c r="R16" s="4">
        <v>1.64</v>
      </c>
      <c r="S16" s="4">
        <v>75441.84</v>
      </c>
      <c r="T16" s="4">
        <v>259946.97</v>
      </c>
    </row>
    <row r="17" spans="1:20">
      <c r="A17" s="3">
        <f t="shared" si="0"/>
        <v>44620</v>
      </c>
      <c r="B17" s="4">
        <v>9395.0499999999993</v>
      </c>
      <c r="C17" s="4">
        <v>2458369.5</v>
      </c>
      <c r="D17" s="4">
        <v>144805.41</v>
      </c>
      <c r="E17" s="4">
        <v>104590.61</v>
      </c>
      <c r="F17" s="4">
        <v>15829.77</v>
      </c>
      <c r="G17" s="4">
        <v>78981.429999999993</v>
      </c>
      <c r="H17" s="4">
        <v>24156.16</v>
      </c>
      <c r="I17" s="4">
        <v>145073.4</v>
      </c>
      <c r="J17" s="4">
        <v>51890.55</v>
      </c>
      <c r="K17" s="4">
        <v>427673.01</v>
      </c>
      <c r="L17" s="4">
        <v>61315.86</v>
      </c>
      <c r="M17" s="4">
        <v>15227.36</v>
      </c>
      <c r="N17" s="4">
        <v>38223.339999999997</v>
      </c>
      <c r="O17" s="4">
        <v>17078.39</v>
      </c>
      <c r="P17" s="4">
        <v>78325.61</v>
      </c>
      <c r="Q17" s="4">
        <v>22158.52</v>
      </c>
      <c r="R17" s="4">
        <v>190.22</v>
      </c>
      <c r="S17" s="4">
        <v>75546.53</v>
      </c>
      <c r="T17" s="4">
        <v>243210.86</v>
      </c>
    </row>
    <row r="18" spans="1:20">
      <c r="A18" s="3">
        <f t="shared" si="0"/>
        <v>44589</v>
      </c>
      <c r="B18" s="4">
        <v>9686.92</v>
      </c>
      <c r="C18" s="4">
        <v>2472661.64</v>
      </c>
      <c r="D18" s="4">
        <v>147011.70000000001</v>
      </c>
      <c r="E18" s="4">
        <v>106644.41</v>
      </c>
      <c r="F18" s="4">
        <v>15900.62</v>
      </c>
      <c r="G18" s="4">
        <v>76210.62</v>
      </c>
      <c r="H18" s="4">
        <v>24005.49</v>
      </c>
      <c r="I18" s="4">
        <v>147437.07</v>
      </c>
      <c r="J18" s="4">
        <v>51513.98</v>
      </c>
      <c r="K18" s="4">
        <v>418533.13</v>
      </c>
      <c r="L18" s="4">
        <v>60395.28</v>
      </c>
      <c r="M18" s="4">
        <v>15639.39</v>
      </c>
      <c r="N18" s="4">
        <v>38216.33</v>
      </c>
      <c r="O18" s="4">
        <v>17462.41</v>
      </c>
      <c r="P18" s="4">
        <v>78555.649999999994</v>
      </c>
      <c r="Q18" s="4">
        <v>23040.59</v>
      </c>
      <c r="R18" s="4">
        <v>190.22</v>
      </c>
      <c r="S18" s="4">
        <v>74214.759999999995</v>
      </c>
      <c r="T18" s="4">
        <v>238791.77</v>
      </c>
    </row>
    <row r="19" spans="1:20">
      <c r="A19" s="3">
        <f t="shared" si="0"/>
        <v>44558</v>
      </c>
      <c r="B19" s="4">
        <v>10796.7</v>
      </c>
      <c r="C19" s="4">
        <v>2453374.12</v>
      </c>
      <c r="D19" s="4">
        <v>146775.92000000001</v>
      </c>
      <c r="E19" s="4">
        <v>106212.3</v>
      </c>
      <c r="F19" s="4">
        <v>15808.51</v>
      </c>
      <c r="G19" s="4">
        <v>71450.16</v>
      </c>
      <c r="H19" s="4">
        <v>23675.43</v>
      </c>
      <c r="I19" s="4">
        <v>150422.32999999999</v>
      </c>
      <c r="J19" s="4">
        <v>52047.77</v>
      </c>
      <c r="K19" s="4">
        <v>409342.75</v>
      </c>
      <c r="L19" s="4">
        <v>59292.68</v>
      </c>
      <c r="M19" s="4">
        <v>15418.24</v>
      </c>
      <c r="N19" s="4">
        <v>38161.449999999997</v>
      </c>
      <c r="O19" s="4">
        <v>17536.55</v>
      </c>
      <c r="P19" s="4">
        <v>79625.14</v>
      </c>
      <c r="Q19" s="4">
        <v>23157.34</v>
      </c>
      <c r="R19" s="4">
        <v>190.69</v>
      </c>
      <c r="S19" s="4">
        <v>73930.990000000005</v>
      </c>
      <c r="T19" s="4">
        <v>233978.23999999999</v>
      </c>
    </row>
    <row r="20" spans="1:20">
      <c r="A20" s="3">
        <f t="shared" si="0"/>
        <v>44528</v>
      </c>
      <c r="B20" s="4">
        <v>9641.76</v>
      </c>
      <c r="C20" s="4">
        <v>2470850.7400000002</v>
      </c>
      <c r="D20" s="4">
        <v>148280.60999999999</v>
      </c>
      <c r="E20" s="4">
        <v>104921.60000000001</v>
      </c>
      <c r="F20" s="4">
        <v>15958.18</v>
      </c>
      <c r="G20" s="4">
        <v>74166.990000000005</v>
      </c>
      <c r="H20" s="4">
        <v>22941.23</v>
      </c>
      <c r="I20" s="4">
        <v>141134.04</v>
      </c>
      <c r="J20" s="4">
        <v>50501.51</v>
      </c>
      <c r="K20" s="4">
        <v>417914.64</v>
      </c>
      <c r="L20" s="4">
        <v>58301.57</v>
      </c>
      <c r="M20" s="4">
        <v>15418.69</v>
      </c>
      <c r="N20" s="4">
        <v>38205.910000000003</v>
      </c>
      <c r="O20" s="4">
        <v>17757.53</v>
      </c>
      <c r="P20" s="4">
        <v>80818.7</v>
      </c>
      <c r="Q20" s="4">
        <v>23380.720000000001</v>
      </c>
      <c r="R20" s="4">
        <v>190.51</v>
      </c>
      <c r="S20" s="4">
        <v>74120.11</v>
      </c>
      <c r="T20" s="4">
        <v>238052.46</v>
      </c>
    </row>
    <row r="21" spans="1:20">
      <c r="A21" s="3">
        <f t="shared" si="0"/>
        <v>44497</v>
      </c>
      <c r="B21" s="4">
        <v>9582.1</v>
      </c>
      <c r="C21" s="4">
        <v>2459810.65</v>
      </c>
      <c r="D21" s="4">
        <v>151830.88</v>
      </c>
      <c r="E21" s="4">
        <v>104411.6</v>
      </c>
      <c r="F21" s="4">
        <v>15454.55</v>
      </c>
      <c r="G21" s="4">
        <v>67735</v>
      </c>
      <c r="H21" s="4">
        <v>22511.61</v>
      </c>
      <c r="I21" s="4">
        <v>140773.03</v>
      </c>
      <c r="J21" s="4">
        <v>50364.35</v>
      </c>
      <c r="K21" s="4">
        <v>421520.71</v>
      </c>
      <c r="L21" s="4">
        <v>52295.73</v>
      </c>
      <c r="M21" s="4">
        <v>15517.58</v>
      </c>
      <c r="N21" s="4">
        <v>40312.129999999997</v>
      </c>
      <c r="O21" s="4">
        <v>17825.07</v>
      </c>
      <c r="P21" s="4">
        <v>80554.990000000005</v>
      </c>
      <c r="Q21" s="4">
        <v>23871.93</v>
      </c>
      <c r="R21" s="4">
        <v>190.39</v>
      </c>
      <c r="S21" s="4">
        <v>73956.5</v>
      </c>
      <c r="T21" s="4">
        <v>230208.52</v>
      </c>
    </row>
    <row r="22" spans="1:20">
      <c r="A22" s="3">
        <f t="shared" si="0"/>
        <v>44467</v>
      </c>
      <c r="B22" s="4">
        <v>9562.23</v>
      </c>
      <c r="C22" s="4">
        <v>2446309.7000000002</v>
      </c>
      <c r="D22" s="4">
        <v>145213.43</v>
      </c>
      <c r="E22" s="4">
        <v>104267.51</v>
      </c>
      <c r="F22" s="4">
        <v>15175.98</v>
      </c>
      <c r="G22" s="4">
        <v>69241.740000000005</v>
      </c>
      <c r="H22" s="4">
        <v>22758.46</v>
      </c>
      <c r="I22" s="4">
        <v>142269.35999999999</v>
      </c>
      <c r="J22" s="4">
        <v>50803.08</v>
      </c>
      <c r="K22" s="4">
        <v>422471.62</v>
      </c>
      <c r="L22" s="4">
        <v>49251.71</v>
      </c>
      <c r="M22" s="4">
        <v>15554.11</v>
      </c>
      <c r="N22" s="4">
        <v>40370.47</v>
      </c>
      <c r="O22" s="4">
        <v>17913.97</v>
      </c>
      <c r="P22" s="4">
        <v>80026.97</v>
      </c>
      <c r="Q22" s="4">
        <v>23823.360000000001</v>
      </c>
      <c r="R22" s="4">
        <v>202.54</v>
      </c>
      <c r="S22" s="4">
        <v>73901.279999999999</v>
      </c>
      <c r="T22" s="4">
        <v>224711.99</v>
      </c>
    </row>
    <row r="23" spans="1:20">
      <c r="A23" s="3">
        <f t="shared" si="0"/>
        <v>44436</v>
      </c>
      <c r="B23" s="4">
        <v>9676.3700000000008</v>
      </c>
      <c r="C23" s="4">
        <v>2449388.12</v>
      </c>
      <c r="D23" s="4">
        <v>145246.10999999999</v>
      </c>
      <c r="E23" s="4">
        <v>103204.69</v>
      </c>
      <c r="F23" s="4">
        <v>14437.8</v>
      </c>
      <c r="G23" s="4">
        <v>69361.149999999994</v>
      </c>
      <c r="H23" s="4">
        <v>22516.86</v>
      </c>
      <c r="I23" s="4">
        <v>142841.79</v>
      </c>
      <c r="J23" s="4">
        <v>51104.91</v>
      </c>
      <c r="K23" s="4">
        <v>428421.52</v>
      </c>
      <c r="L23" s="4">
        <v>48830.65</v>
      </c>
      <c r="M23" s="4">
        <v>15496.8</v>
      </c>
      <c r="N23" s="4">
        <v>40309.050000000003</v>
      </c>
      <c r="O23" s="4">
        <v>17193.77</v>
      </c>
      <c r="P23" s="4">
        <v>80048.289999999994</v>
      </c>
      <c r="Q23" s="4">
        <v>23604.01</v>
      </c>
      <c r="R23" s="4">
        <v>190.39</v>
      </c>
      <c r="S23" s="4">
        <v>74288.13</v>
      </c>
      <c r="T23" s="4">
        <v>224045.08</v>
      </c>
    </row>
    <row r="24" spans="1:20">
      <c r="A24" s="3">
        <f t="shared" si="0"/>
        <v>44405</v>
      </c>
      <c r="B24" s="4">
        <v>9487.56</v>
      </c>
      <c r="C24" s="4">
        <v>2461063.4700000002</v>
      </c>
      <c r="D24" s="4">
        <v>143980.04999999999</v>
      </c>
      <c r="E24" s="4">
        <v>104475.19</v>
      </c>
      <c r="F24" s="4">
        <v>14404.47</v>
      </c>
      <c r="G24" s="4">
        <v>70419.66</v>
      </c>
      <c r="H24" s="4">
        <v>23228.98</v>
      </c>
      <c r="I24" s="4">
        <v>143331.89000000001</v>
      </c>
      <c r="J24" s="4">
        <v>49972.69</v>
      </c>
      <c r="K24" s="4">
        <v>426868.52</v>
      </c>
      <c r="L24" s="4">
        <v>48955.73</v>
      </c>
      <c r="M24" s="4">
        <v>15275.78</v>
      </c>
      <c r="N24" s="4">
        <v>40303.65</v>
      </c>
      <c r="O24" s="4">
        <v>17161.82</v>
      </c>
      <c r="P24" s="4">
        <v>80166.399999999994</v>
      </c>
      <c r="Q24" s="4">
        <v>23586.959999999999</v>
      </c>
      <c r="R24" s="4">
        <v>190.39</v>
      </c>
      <c r="S24" s="4">
        <v>74195.179999999993</v>
      </c>
      <c r="T24" s="4">
        <v>226689.82</v>
      </c>
    </row>
    <row r="25" spans="1:20">
      <c r="A25" s="3">
        <f t="shared" si="0"/>
        <v>44375</v>
      </c>
      <c r="B25" s="4">
        <v>9386.74</v>
      </c>
      <c r="C25" s="4">
        <v>2447210.81</v>
      </c>
      <c r="D25" s="4">
        <v>143415.32999999999</v>
      </c>
      <c r="E25" s="4">
        <v>100770.34</v>
      </c>
      <c r="F25" s="4">
        <v>14475.32</v>
      </c>
      <c r="G25" s="4">
        <v>71568.55</v>
      </c>
      <c r="H25" s="4">
        <v>23132.83</v>
      </c>
      <c r="I25" s="4">
        <v>143920.56</v>
      </c>
      <c r="J25" s="4">
        <v>49665.440000000002</v>
      </c>
      <c r="K25" s="4">
        <v>421886.37</v>
      </c>
      <c r="L25" s="4">
        <v>49911.37</v>
      </c>
      <c r="M25" s="4">
        <v>15261.12</v>
      </c>
      <c r="N25" s="4">
        <v>40318.620000000003</v>
      </c>
      <c r="O25" s="4">
        <v>16855.59</v>
      </c>
      <c r="P25" s="4">
        <v>80448.02</v>
      </c>
      <c r="Q25" s="4">
        <v>23591.39</v>
      </c>
      <c r="R25" s="4">
        <v>190.21</v>
      </c>
      <c r="S25" s="4">
        <v>73845.17</v>
      </c>
      <c r="T25" s="4">
        <v>222390.78</v>
      </c>
    </row>
    <row r="26" spans="1:20">
      <c r="A26" s="3">
        <f t="shared" si="0"/>
        <v>44344</v>
      </c>
      <c r="B26" s="4">
        <v>9497.91</v>
      </c>
      <c r="C26" s="4">
        <v>2436570.98</v>
      </c>
      <c r="D26" s="4">
        <v>140766.78</v>
      </c>
      <c r="E26" s="4">
        <v>97218.3</v>
      </c>
      <c r="F26" s="4">
        <v>13987.58</v>
      </c>
      <c r="G26" s="4">
        <v>68921.58</v>
      </c>
      <c r="H26" s="4">
        <v>21247</v>
      </c>
      <c r="I26" s="4">
        <v>147350.9</v>
      </c>
      <c r="J26" s="4">
        <v>48628.37</v>
      </c>
      <c r="K26" s="4">
        <v>429749.82</v>
      </c>
      <c r="L26" s="4">
        <v>47097.18</v>
      </c>
      <c r="M26" s="4">
        <v>15602.8</v>
      </c>
      <c r="N26" s="4">
        <v>40277.82</v>
      </c>
      <c r="O26" s="4">
        <v>16574.32</v>
      </c>
      <c r="P26" s="4">
        <v>80798.8</v>
      </c>
      <c r="Q26" s="4">
        <v>23581.23</v>
      </c>
      <c r="R26" s="4">
        <v>191.65</v>
      </c>
      <c r="S26" s="4">
        <v>73718.59</v>
      </c>
      <c r="T26" s="4">
        <v>222397.15</v>
      </c>
    </row>
    <row r="27" spans="1:20">
      <c r="A27" s="3">
        <f t="shared" si="0"/>
        <v>44314</v>
      </c>
      <c r="B27" s="4">
        <v>9051.1200000000008</v>
      </c>
      <c r="C27" s="4">
        <v>2434493.12</v>
      </c>
      <c r="D27" s="4">
        <v>135717.32999999999</v>
      </c>
      <c r="E27" s="4">
        <v>98246.84</v>
      </c>
      <c r="F27" s="4">
        <v>13391.8</v>
      </c>
      <c r="G27" s="4">
        <v>67056.649999999994</v>
      </c>
      <c r="H27" s="4">
        <v>21170.87</v>
      </c>
      <c r="I27" s="4">
        <v>150071.69</v>
      </c>
      <c r="J27" s="4">
        <v>47688.06</v>
      </c>
      <c r="K27" s="4">
        <v>426322.46</v>
      </c>
      <c r="L27" s="4">
        <v>46067.92</v>
      </c>
      <c r="M27" s="4">
        <v>15278.29</v>
      </c>
      <c r="N27" s="4">
        <v>40227.33</v>
      </c>
      <c r="O27" s="4">
        <v>16366.75</v>
      </c>
      <c r="P27" s="4">
        <v>81507.14</v>
      </c>
      <c r="Q27" s="4">
        <v>23426.639999999999</v>
      </c>
      <c r="R27" s="4">
        <v>191.67</v>
      </c>
      <c r="S27" s="4">
        <v>73716.92</v>
      </c>
      <c r="T27" s="4">
        <v>221142.32</v>
      </c>
    </row>
    <row r="28" spans="1:20">
      <c r="A28" s="3">
        <f t="shared" si="0"/>
        <v>44283</v>
      </c>
      <c r="B28" s="4">
        <v>9293.4599999999991</v>
      </c>
      <c r="C28" s="4">
        <v>2413522.4</v>
      </c>
      <c r="D28" s="4">
        <v>134573.37</v>
      </c>
      <c r="E28" s="4">
        <v>99358.96</v>
      </c>
      <c r="F28" s="4">
        <v>13254.43</v>
      </c>
      <c r="G28" s="4">
        <v>69345.34</v>
      </c>
      <c r="H28" s="4">
        <v>21615.34</v>
      </c>
      <c r="I28" s="4">
        <v>145742.16</v>
      </c>
      <c r="J28" s="4">
        <v>47991.19</v>
      </c>
      <c r="K28" s="4">
        <v>425830.34</v>
      </c>
      <c r="L28" s="4">
        <v>46322.34</v>
      </c>
      <c r="M28" s="4">
        <v>15394.65</v>
      </c>
      <c r="N28" s="4">
        <v>40238.76</v>
      </c>
      <c r="O28" s="4">
        <v>16013.69</v>
      </c>
      <c r="P28" s="4">
        <v>80158.77</v>
      </c>
      <c r="Q28" s="4">
        <v>26040.82</v>
      </c>
      <c r="R28" s="4">
        <v>191.51</v>
      </c>
      <c r="S28" s="4">
        <v>73580.73</v>
      </c>
      <c r="T28" s="4">
        <v>231021.92</v>
      </c>
    </row>
    <row r="29" spans="1:20">
      <c r="A29" s="3">
        <f t="shared" si="0"/>
        <v>44255</v>
      </c>
      <c r="B29" s="4">
        <v>9429.3799999999992</v>
      </c>
      <c r="C29" s="4">
        <v>2358199.21</v>
      </c>
      <c r="D29" s="4">
        <v>128528.35</v>
      </c>
      <c r="E29" s="4">
        <v>95674.559999999998</v>
      </c>
      <c r="F29" s="4">
        <v>12742.85</v>
      </c>
      <c r="G29" s="4">
        <v>66527.16</v>
      </c>
      <c r="H29" s="4">
        <v>21382.39</v>
      </c>
      <c r="I29" s="4">
        <v>146041.51999999999</v>
      </c>
      <c r="J29" s="4">
        <v>47808.66</v>
      </c>
      <c r="K29" s="4">
        <v>434865.62</v>
      </c>
      <c r="L29" s="4">
        <v>42871.34</v>
      </c>
      <c r="M29" s="4">
        <v>15124.1</v>
      </c>
      <c r="N29" s="4">
        <v>40252.17</v>
      </c>
      <c r="O29" s="4">
        <v>15767.83</v>
      </c>
      <c r="P29" s="4">
        <v>79147.19</v>
      </c>
      <c r="Q29" s="4">
        <v>26076.58</v>
      </c>
      <c r="R29" s="4">
        <v>206.38</v>
      </c>
      <c r="S29" s="4">
        <v>75493.34</v>
      </c>
      <c r="T29" s="4">
        <v>238650.97</v>
      </c>
    </row>
    <row r="30" spans="1:20">
      <c r="A30" s="3">
        <f t="shared" si="0"/>
        <v>44224</v>
      </c>
      <c r="B30" s="4">
        <v>9531.5</v>
      </c>
      <c r="C30" s="4">
        <v>2349287.02</v>
      </c>
      <c r="D30" s="4">
        <v>133088.59</v>
      </c>
      <c r="E30" s="4">
        <v>99895.18</v>
      </c>
      <c r="F30" s="4">
        <v>12789.67</v>
      </c>
      <c r="G30" s="4">
        <v>65382.58</v>
      </c>
      <c r="H30" s="4">
        <v>21461.54</v>
      </c>
      <c r="I30" s="4">
        <v>147821.84</v>
      </c>
      <c r="J30" s="4">
        <v>48415.48</v>
      </c>
      <c r="K30" s="4">
        <v>426543.38</v>
      </c>
      <c r="L30" s="4">
        <v>42304.03</v>
      </c>
      <c r="M30" s="4">
        <v>15157.85</v>
      </c>
      <c r="N30" s="4">
        <v>40290.11</v>
      </c>
      <c r="O30" s="4">
        <v>15940.9</v>
      </c>
      <c r="P30" s="4">
        <v>78503.570000000007</v>
      </c>
      <c r="Q30" s="4">
        <v>26057.14</v>
      </c>
      <c r="R30" s="4">
        <v>60.17</v>
      </c>
      <c r="S30" s="4">
        <v>75595.08</v>
      </c>
      <c r="T30" s="4">
        <v>247481.49</v>
      </c>
    </row>
    <row r="31" spans="1:20">
      <c r="A31" s="3">
        <f t="shared" si="0"/>
        <v>44193</v>
      </c>
      <c r="B31" s="4">
        <v>11453.98</v>
      </c>
      <c r="C31" s="4">
        <v>2335224.86</v>
      </c>
      <c r="D31" s="4">
        <v>140617.21</v>
      </c>
      <c r="E31" s="4">
        <v>102896.9</v>
      </c>
      <c r="F31" s="4">
        <v>11986.46</v>
      </c>
      <c r="G31" s="4">
        <v>67472.75</v>
      </c>
      <c r="H31" s="4">
        <v>20792.11</v>
      </c>
      <c r="I31" s="4">
        <v>150977.32</v>
      </c>
      <c r="J31" s="4">
        <v>49247.14</v>
      </c>
      <c r="K31" s="4">
        <v>418235.92</v>
      </c>
      <c r="L31" s="4">
        <v>41521.96</v>
      </c>
      <c r="M31" s="4">
        <v>15080.64</v>
      </c>
      <c r="N31" s="4">
        <v>40459.74</v>
      </c>
      <c r="O31" s="4">
        <v>15587.82</v>
      </c>
      <c r="P31" s="4">
        <v>77952.899999999994</v>
      </c>
      <c r="Q31" s="4">
        <v>25537.46</v>
      </c>
      <c r="R31" s="4">
        <v>16.329999999999998</v>
      </c>
      <c r="S31" s="4">
        <v>76604.740000000005</v>
      </c>
      <c r="T31" s="4">
        <v>243724.73</v>
      </c>
    </row>
    <row r="32" spans="1:20">
      <c r="A32" s="3">
        <f t="shared" si="0"/>
        <v>44163</v>
      </c>
      <c r="B32" s="4">
        <v>9637.69</v>
      </c>
      <c r="C32" s="4">
        <v>2362155.46</v>
      </c>
      <c r="D32" s="4">
        <v>145731.6</v>
      </c>
      <c r="E32" s="4">
        <v>102376.63</v>
      </c>
      <c r="F32" s="4">
        <v>11917.28</v>
      </c>
      <c r="G32" s="4">
        <v>68279.17</v>
      </c>
      <c r="H32" s="4">
        <v>20870.36</v>
      </c>
      <c r="I32" s="4">
        <v>155801.92000000001</v>
      </c>
      <c r="J32" s="4">
        <v>51823</v>
      </c>
      <c r="K32" s="4">
        <v>433095.58</v>
      </c>
      <c r="L32" s="4">
        <v>41398.14</v>
      </c>
      <c r="M32" s="4">
        <v>14571.3</v>
      </c>
      <c r="N32" s="4">
        <v>40347.769999999997</v>
      </c>
      <c r="O32" s="4">
        <v>15371.29</v>
      </c>
      <c r="P32" s="4">
        <v>77200.62</v>
      </c>
      <c r="Q32" s="4">
        <v>25480.43</v>
      </c>
      <c r="R32" s="4">
        <v>31.12</v>
      </c>
      <c r="S32" s="4">
        <v>76763.63</v>
      </c>
      <c r="T32" s="4">
        <v>250082.36</v>
      </c>
    </row>
    <row r="33" spans="1:20">
      <c r="A33" s="3">
        <f t="shared" si="0"/>
        <v>44132</v>
      </c>
      <c r="B33" s="4">
        <v>9530.93</v>
      </c>
      <c r="C33" s="4">
        <v>2309724.88</v>
      </c>
      <c r="D33" s="4">
        <v>139352.89000000001</v>
      </c>
      <c r="E33" s="4">
        <v>102737.35</v>
      </c>
      <c r="F33" s="4">
        <v>11962.1</v>
      </c>
      <c r="G33" s="4">
        <v>73896</v>
      </c>
      <c r="H33" s="4">
        <v>20757.38</v>
      </c>
      <c r="I33" s="4">
        <v>148256.76</v>
      </c>
      <c r="J33" s="4">
        <v>51577.2</v>
      </c>
      <c r="K33" s="4">
        <v>443968.3</v>
      </c>
      <c r="L33" s="4">
        <v>40523.56</v>
      </c>
      <c r="M33" s="4">
        <v>14283.81</v>
      </c>
      <c r="N33" s="4">
        <v>40365.519999999997</v>
      </c>
      <c r="O33" s="4">
        <v>15367.34</v>
      </c>
      <c r="P33" s="4">
        <v>75393.820000000007</v>
      </c>
      <c r="Q33" s="4">
        <v>25428.02</v>
      </c>
      <c r="R33" s="4">
        <v>38.19</v>
      </c>
      <c r="S33" s="4">
        <v>76556.800000000003</v>
      </c>
      <c r="T33" s="4">
        <v>248395.53</v>
      </c>
    </row>
    <row r="34" spans="1:20">
      <c r="A34" s="3">
        <f t="shared" si="0"/>
        <v>44102</v>
      </c>
      <c r="B34" s="4">
        <v>10011.66</v>
      </c>
      <c r="C34" s="4">
        <v>2255748.02</v>
      </c>
      <c r="D34" s="4">
        <v>139020.44</v>
      </c>
      <c r="E34" s="4">
        <v>104317.5</v>
      </c>
      <c r="F34" s="4">
        <v>11602.53</v>
      </c>
      <c r="G34" s="4">
        <v>74905.88</v>
      </c>
      <c r="H34" s="4">
        <v>19049.400000000001</v>
      </c>
      <c r="I34" s="4">
        <v>146432.94</v>
      </c>
      <c r="J34" s="4">
        <v>51808.04</v>
      </c>
      <c r="K34" s="4">
        <v>450867.35</v>
      </c>
      <c r="L34" s="4">
        <v>39977.79</v>
      </c>
      <c r="M34" s="4">
        <v>14161.05</v>
      </c>
      <c r="N34" s="4">
        <v>40351.71</v>
      </c>
      <c r="O34" s="4">
        <v>15336.75</v>
      </c>
      <c r="P34" s="4">
        <v>75489.95</v>
      </c>
      <c r="Q34" s="4">
        <v>25439.48</v>
      </c>
      <c r="R34" s="4">
        <v>31.72</v>
      </c>
      <c r="S34" s="4">
        <v>75852.41</v>
      </c>
      <c r="T34" s="4">
        <v>248489.84</v>
      </c>
    </row>
    <row r="35" spans="1:20">
      <c r="A35" s="3">
        <f t="shared" si="0"/>
        <v>44071</v>
      </c>
      <c r="B35" s="4">
        <v>10039.83</v>
      </c>
      <c r="C35" s="4">
        <v>2227387.62</v>
      </c>
      <c r="D35" s="4">
        <v>134305.18</v>
      </c>
      <c r="E35" s="4">
        <v>108944.8</v>
      </c>
      <c r="F35" s="4">
        <v>11282.05</v>
      </c>
      <c r="G35" s="4">
        <v>75465.42</v>
      </c>
      <c r="H35" s="4">
        <v>18399.39</v>
      </c>
      <c r="I35" s="4">
        <v>147135.88</v>
      </c>
      <c r="J35" s="4">
        <v>51522.07</v>
      </c>
      <c r="K35" s="4">
        <v>450865.8</v>
      </c>
      <c r="L35" s="4">
        <v>39909.22</v>
      </c>
      <c r="M35" s="4">
        <v>13936.55</v>
      </c>
      <c r="N35" s="4">
        <v>40330.339999999997</v>
      </c>
      <c r="O35" s="4">
        <v>15741.05</v>
      </c>
      <c r="P35" s="4">
        <v>75583.59</v>
      </c>
      <c r="Q35" s="4">
        <v>24729.43</v>
      </c>
      <c r="R35" s="4">
        <v>31.56</v>
      </c>
      <c r="S35" s="4">
        <v>76996.45</v>
      </c>
      <c r="T35" s="4">
        <v>245504.53</v>
      </c>
    </row>
    <row r="36" spans="1:20">
      <c r="A36" s="3">
        <f t="shared" si="0"/>
        <v>44040</v>
      </c>
      <c r="B36" s="4">
        <v>9973.44</v>
      </c>
      <c r="C36" s="4">
        <v>2228890.7999999998</v>
      </c>
      <c r="D36" s="4">
        <v>142078.45000000001</v>
      </c>
      <c r="E36" s="4">
        <v>125394.38</v>
      </c>
      <c r="F36" s="4">
        <v>11300.5</v>
      </c>
      <c r="G36" s="4">
        <v>74955.149999999994</v>
      </c>
      <c r="H36" s="4">
        <v>18612.72</v>
      </c>
      <c r="I36" s="4">
        <v>148393.85</v>
      </c>
      <c r="J36" s="4">
        <v>51537.48</v>
      </c>
      <c r="K36" s="4">
        <v>447458.69</v>
      </c>
      <c r="L36" s="4">
        <v>41341.58</v>
      </c>
      <c r="M36" s="4">
        <v>13739.67</v>
      </c>
      <c r="N36" s="4">
        <v>40139.410000000003</v>
      </c>
      <c r="O36" s="4">
        <v>15748.32</v>
      </c>
      <c r="P36" s="4">
        <v>75461.87</v>
      </c>
      <c r="Q36" s="4">
        <v>20944.41</v>
      </c>
      <c r="R36" s="4">
        <v>26.51</v>
      </c>
      <c r="S36" s="4">
        <v>76977.960000000006</v>
      </c>
      <c r="T36" s="4">
        <v>258423.17</v>
      </c>
    </row>
    <row r="37" spans="1:20">
      <c r="A37" s="3">
        <f t="shared" si="0"/>
        <v>44010</v>
      </c>
      <c r="B37" s="4">
        <v>10077.120000000001</v>
      </c>
      <c r="C37" s="4">
        <v>2359960.5699999998</v>
      </c>
      <c r="D37" s="4">
        <v>137038.88</v>
      </c>
      <c r="E37" s="4">
        <v>107713.65</v>
      </c>
      <c r="F37" s="4">
        <v>13037.26</v>
      </c>
      <c r="G37" s="4">
        <v>72003.41</v>
      </c>
      <c r="H37" s="4">
        <v>18897.87</v>
      </c>
      <c r="I37" s="4">
        <v>148408.95000000001</v>
      </c>
      <c r="J37" s="4">
        <v>59469.29</v>
      </c>
      <c r="K37" s="4">
        <v>440972.3</v>
      </c>
      <c r="L37" s="4">
        <v>45556.04</v>
      </c>
      <c r="M37" s="4">
        <v>13884.69</v>
      </c>
      <c r="N37" s="4">
        <v>40308.25</v>
      </c>
      <c r="O37" s="4">
        <v>16009.67</v>
      </c>
      <c r="P37" s="4">
        <v>75584.66</v>
      </c>
      <c r="Q37" s="4">
        <v>23941.38</v>
      </c>
      <c r="R37" s="4">
        <v>26.56</v>
      </c>
      <c r="S37" s="4">
        <v>76808.570000000007</v>
      </c>
      <c r="T37" s="4">
        <v>291540.58</v>
      </c>
    </row>
    <row r="38" spans="1:20">
      <c r="A38" s="3">
        <f t="shared" si="0"/>
        <v>43979</v>
      </c>
      <c r="B38" s="4">
        <v>9816.1299999999992</v>
      </c>
      <c r="C38" s="4">
        <v>2306092.23</v>
      </c>
      <c r="D38" s="4">
        <v>135832.38</v>
      </c>
      <c r="E38" s="4">
        <v>114571.98</v>
      </c>
      <c r="F38" s="4">
        <v>12680.77</v>
      </c>
      <c r="G38" s="4">
        <v>70394.179999999993</v>
      </c>
      <c r="H38" s="4">
        <v>16951.669999999998</v>
      </c>
      <c r="I38" s="4">
        <v>139424.68</v>
      </c>
      <c r="J38" s="4">
        <v>58935.31</v>
      </c>
      <c r="K38" s="4">
        <v>440842.67</v>
      </c>
      <c r="L38" s="4">
        <v>45268.66</v>
      </c>
      <c r="M38" s="4">
        <v>13852.31</v>
      </c>
      <c r="N38" s="4">
        <v>40313.480000000003</v>
      </c>
      <c r="O38" s="4">
        <v>15791.42</v>
      </c>
      <c r="P38" s="4">
        <v>73970.42</v>
      </c>
      <c r="Q38" s="4">
        <v>23482.53</v>
      </c>
      <c r="R38" s="4">
        <v>21.83</v>
      </c>
      <c r="S38" s="4">
        <v>77306.62</v>
      </c>
      <c r="T38" s="4">
        <v>292089.37</v>
      </c>
    </row>
    <row r="39" spans="1:20">
      <c r="A39" s="3">
        <f t="shared" si="0"/>
        <v>43949</v>
      </c>
      <c r="B39" s="4">
        <v>9723.17</v>
      </c>
      <c r="C39" s="4">
        <v>2270287.94</v>
      </c>
      <c r="D39" s="4">
        <v>143439.87</v>
      </c>
      <c r="E39" s="4">
        <v>116243.51</v>
      </c>
      <c r="F39" s="4">
        <v>12042.41</v>
      </c>
      <c r="G39" s="4">
        <v>67187.360000000001</v>
      </c>
      <c r="H39" s="4">
        <v>16792.57</v>
      </c>
      <c r="I39" s="4">
        <v>141076.29</v>
      </c>
      <c r="J39" s="4">
        <v>58911.92</v>
      </c>
      <c r="K39" s="4">
        <v>426028.15</v>
      </c>
      <c r="L39" s="4">
        <v>44333.63</v>
      </c>
      <c r="M39" s="4">
        <v>13676.2</v>
      </c>
      <c r="N39" s="4">
        <v>40318.519999999997</v>
      </c>
      <c r="O39" s="4">
        <v>15481.28</v>
      </c>
      <c r="P39" s="4">
        <v>73559.13</v>
      </c>
      <c r="Q39" s="4">
        <v>23443.42</v>
      </c>
      <c r="R39" s="4">
        <v>2.0099999999999998</v>
      </c>
      <c r="S39" s="4">
        <v>77113.73</v>
      </c>
      <c r="T39" s="4">
        <v>296876.52</v>
      </c>
    </row>
    <row r="40" spans="1:20">
      <c r="A40" s="3">
        <f t="shared" si="0"/>
        <v>43918</v>
      </c>
      <c r="B40" s="4">
        <v>9561.93</v>
      </c>
      <c r="C40" s="4">
        <v>2267711.54</v>
      </c>
      <c r="D40" s="4">
        <v>143669.37</v>
      </c>
      <c r="E40" s="4">
        <v>117935.67999999999</v>
      </c>
      <c r="F40" s="4">
        <v>11568.07</v>
      </c>
      <c r="G40" s="4">
        <v>62191.56</v>
      </c>
      <c r="H40" s="4">
        <v>16201.93</v>
      </c>
      <c r="I40" s="4">
        <v>143599.56</v>
      </c>
      <c r="J40" s="4">
        <v>59310.73</v>
      </c>
      <c r="K40" s="4">
        <v>403904.47</v>
      </c>
      <c r="L40" s="4">
        <v>44308.13</v>
      </c>
      <c r="M40" s="4">
        <v>13417.82</v>
      </c>
      <c r="N40" s="4">
        <v>40319.79</v>
      </c>
      <c r="O40" s="4">
        <v>15321.63</v>
      </c>
      <c r="P40" s="4">
        <v>73450.98</v>
      </c>
      <c r="Q40" s="4">
        <v>23451.46</v>
      </c>
      <c r="R40" s="4">
        <v>1.97</v>
      </c>
      <c r="S40" s="4">
        <v>77004.31</v>
      </c>
      <c r="T40" s="4">
        <v>286580.8</v>
      </c>
    </row>
    <row r="41" spans="1:20">
      <c r="A41" s="3">
        <f t="shared" si="0"/>
        <v>43889</v>
      </c>
      <c r="B41" s="4">
        <v>9531.65</v>
      </c>
      <c r="C41" s="4">
        <v>2239362.2000000002</v>
      </c>
      <c r="D41" s="4">
        <v>132463.24</v>
      </c>
      <c r="E41" s="4">
        <v>106441.17</v>
      </c>
      <c r="F41" s="4">
        <v>11596.32</v>
      </c>
      <c r="G41" s="4">
        <v>61805.279999999999</v>
      </c>
      <c r="H41" s="4">
        <v>16455.919999999998</v>
      </c>
      <c r="I41" s="4">
        <v>144931.75</v>
      </c>
      <c r="J41" s="4">
        <v>61271.34</v>
      </c>
      <c r="K41" s="4">
        <v>390370.4</v>
      </c>
      <c r="L41" s="4">
        <v>45090.42</v>
      </c>
      <c r="M41" s="4">
        <v>14437.66</v>
      </c>
      <c r="N41" s="4">
        <v>40358.03</v>
      </c>
      <c r="O41" s="4">
        <v>17004.71</v>
      </c>
      <c r="P41" s="4">
        <v>74783.740000000005</v>
      </c>
      <c r="Q41" s="4">
        <v>23710.59</v>
      </c>
      <c r="R41" s="4">
        <v>0.35</v>
      </c>
      <c r="S41" s="4">
        <v>77920.600000000006</v>
      </c>
      <c r="T41" s="4">
        <v>300071.15000000002</v>
      </c>
    </row>
    <row r="42" spans="1:20">
      <c r="A42" s="3">
        <f t="shared" si="0"/>
        <v>43858</v>
      </c>
      <c r="B42" s="4">
        <v>9808.08</v>
      </c>
      <c r="C42" s="4">
        <v>2239802.59</v>
      </c>
      <c r="D42" s="4">
        <v>130552.78</v>
      </c>
      <c r="E42" s="4">
        <v>106432.75</v>
      </c>
      <c r="F42" s="4">
        <v>11745.38</v>
      </c>
      <c r="G42" s="4">
        <v>60939.01</v>
      </c>
      <c r="H42" s="4">
        <v>16448.71</v>
      </c>
      <c r="I42" s="4">
        <v>145775.41</v>
      </c>
      <c r="J42" s="4">
        <v>60698.6</v>
      </c>
      <c r="K42" s="4">
        <v>387243.29</v>
      </c>
      <c r="L42" s="4">
        <v>43108.34</v>
      </c>
      <c r="M42" s="4">
        <v>14963.72</v>
      </c>
      <c r="N42" s="4">
        <v>40351.53</v>
      </c>
      <c r="O42" s="4">
        <v>17457.97</v>
      </c>
      <c r="P42" s="4">
        <v>74520.679999999993</v>
      </c>
      <c r="Q42" s="4">
        <v>23865.18</v>
      </c>
      <c r="R42" s="4">
        <v>0.35</v>
      </c>
      <c r="S42" s="4">
        <v>77689.75</v>
      </c>
      <c r="T42" s="4">
        <v>286167.52</v>
      </c>
    </row>
    <row r="43" spans="1:20">
      <c r="A43" s="3">
        <f t="shared" si="0"/>
        <v>43827</v>
      </c>
      <c r="B43" s="4">
        <v>12633.91</v>
      </c>
      <c r="C43" s="4">
        <v>2236127.13</v>
      </c>
      <c r="D43" s="4">
        <v>127070.92</v>
      </c>
      <c r="E43" s="4">
        <v>103302.21</v>
      </c>
      <c r="F43" s="4">
        <v>12031.98</v>
      </c>
      <c r="G43" s="4">
        <v>58966.42</v>
      </c>
      <c r="H43" s="4">
        <v>15794.15</v>
      </c>
      <c r="I43" s="4">
        <v>147977.75</v>
      </c>
      <c r="J43" s="4">
        <v>62424.81</v>
      </c>
      <c r="K43" s="4">
        <v>383811.98</v>
      </c>
      <c r="L43" s="4">
        <v>41812.71</v>
      </c>
      <c r="M43" s="4">
        <v>15042.46</v>
      </c>
      <c r="N43" s="4">
        <v>40546.230000000003</v>
      </c>
      <c r="O43" s="4">
        <v>17589.71</v>
      </c>
      <c r="P43" s="4">
        <v>74288.19</v>
      </c>
      <c r="Q43" s="4">
        <v>23872.68</v>
      </c>
      <c r="R43" s="4">
        <v>0.35</v>
      </c>
      <c r="S43" s="4">
        <v>77499.539999999994</v>
      </c>
      <c r="T43" s="4">
        <v>269789.55</v>
      </c>
    </row>
    <row r="44" spans="1:20">
      <c r="A44" s="3">
        <f t="shared" si="0"/>
        <v>43797</v>
      </c>
      <c r="B44" s="4">
        <v>9796.83</v>
      </c>
      <c r="C44" s="4">
        <v>2297994.09</v>
      </c>
      <c r="D44" s="4">
        <v>132920.28</v>
      </c>
      <c r="E44" s="4">
        <v>102749.82</v>
      </c>
      <c r="F44" s="4">
        <v>11991.29</v>
      </c>
      <c r="G44" s="4">
        <v>56095.01</v>
      </c>
      <c r="H44" s="4">
        <v>15256.33</v>
      </c>
      <c r="I44" s="4">
        <v>145923.43</v>
      </c>
      <c r="J44" s="4">
        <v>61854.02</v>
      </c>
      <c r="K44" s="4">
        <v>394552.28</v>
      </c>
      <c r="L44" s="4">
        <v>41778.53</v>
      </c>
      <c r="M44" s="4">
        <v>15231.42</v>
      </c>
      <c r="N44" s="4">
        <v>40591.08</v>
      </c>
      <c r="O44" s="4">
        <v>18875.009999999998</v>
      </c>
      <c r="P44" s="4">
        <v>73661.27</v>
      </c>
      <c r="Q44" s="4">
        <v>23500.34</v>
      </c>
      <c r="R44" s="4">
        <v>72.569999999999993</v>
      </c>
      <c r="S44" s="4">
        <v>76159.05</v>
      </c>
      <c r="T44" s="4">
        <v>293449.74</v>
      </c>
    </row>
    <row r="45" spans="1:20">
      <c r="A45" s="3">
        <f t="shared" si="0"/>
        <v>43766</v>
      </c>
      <c r="B45" s="4">
        <v>10216.969999999999</v>
      </c>
      <c r="C45" s="4">
        <v>2341790.75</v>
      </c>
      <c r="D45" s="4">
        <v>133858.64000000001</v>
      </c>
      <c r="E45" s="4">
        <v>100849.58</v>
      </c>
      <c r="F45" s="4">
        <v>11675.3</v>
      </c>
      <c r="G45" s="4">
        <v>54752.54</v>
      </c>
      <c r="H45" s="4">
        <v>15049.26</v>
      </c>
      <c r="I45" s="4">
        <v>128156.65</v>
      </c>
      <c r="J45" s="4">
        <v>61710.27</v>
      </c>
      <c r="K45" s="4">
        <v>404391.26</v>
      </c>
      <c r="L45" s="4">
        <v>40814.68</v>
      </c>
      <c r="M45" s="4">
        <v>15096.53</v>
      </c>
      <c r="N45" s="4">
        <v>40481.65</v>
      </c>
      <c r="O45" s="4">
        <v>18763.64</v>
      </c>
      <c r="P45" s="4">
        <v>73257.84</v>
      </c>
      <c r="Q45" s="4">
        <v>27094.720000000001</v>
      </c>
      <c r="R45" s="4">
        <v>72.569999999999993</v>
      </c>
      <c r="S45" s="4">
        <v>75857.539999999994</v>
      </c>
      <c r="T45" s="4">
        <v>288524.01</v>
      </c>
    </row>
    <row r="46" spans="1:20">
      <c r="A46" s="3">
        <f t="shared" si="0"/>
        <v>43736</v>
      </c>
      <c r="B46" s="4">
        <v>10163.64</v>
      </c>
      <c r="C46" s="4">
        <v>2310531.09</v>
      </c>
      <c r="D46" s="4">
        <v>138281.98000000001</v>
      </c>
      <c r="E46" s="4">
        <v>103239.03</v>
      </c>
      <c r="F46" s="4">
        <v>11456.92</v>
      </c>
      <c r="G46" s="4">
        <v>55223.14</v>
      </c>
      <c r="H46" s="4">
        <v>14680.74</v>
      </c>
      <c r="I46" s="4">
        <v>125976.77</v>
      </c>
      <c r="J46" s="4">
        <v>61262.95</v>
      </c>
      <c r="K46" s="4">
        <v>409991.57</v>
      </c>
      <c r="L46" s="4">
        <v>41654.9</v>
      </c>
      <c r="M46" s="4">
        <v>15685.37</v>
      </c>
      <c r="N46" s="4">
        <v>40220.94</v>
      </c>
      <c r="O46" s="4">
        <v>18431.259999999998</v>
      </c>
      <c r="P46" s="4">
        <v>72999.94</v>
      </c>
      <c r="Q46" s="4">
        <v>27000.26</v>
      </c>
      <c r="R46" s="4">
        <v>105.14</v>
      </c>
      <c r="S46" s="4">
        <v>75605.56</v>
      </c>
      <c r="T46" s="4">
        <v>307131.98</v>
      </c>
    </row>
    <row r="47" spans="1:20">
      <c r="A47" s="3">
        <f t="shared" si="0"/>
        <v>43705</v>
      </c>
      <c r="B47" s="4">
        <v>9797.1200000000008</v>
      </c>
      <c r="C47" s="4">
        <v>2288379.96</v>
      </c>
      <c r="D47" s="4">
        <v>139004.69</v>
      </c>
      <c r="E47" s="4">
        <v>101547.57</v>
      </c>
      <c r="F47" s="4">
        <v>10915.97</v>
      </c>
      <c r="G47" s="4">
        <v>52713.99</v>
      </c>
      <c r="H47" s="4">
        <v>14435.14</v>
      </c>
      <c r="I47" s="4">
        <v>127215.34</v>
      </c>
      <c r="J47" s="4">
        <v>60152.26</v>
      </c>
      <c r="K47" s="4">
        <v>409315.52</v>
      </c>
      <c r="L47" s="4">
        <v>43483.43</v>
      </c>
      <c r="M47" s="4">
        <v>12290.72</v>
      </c>
      <c r="N47" s="4">
        <v>40184.25</v>
      </c>
      <c r="O47" s="4">
        <v>17886.71</v>
      </c>
      <c r="P47" s="4">
        <v>73156.95</v>
      </c>
      <c r="Q47" s="4">
        <v>26838.67</v>
      </c>
      <c r="R47" s="4">
        <v>119.14</v>
      </c>
      <c r="S47" s="4">
        <v>75376.45</v>
      </c>
      <c r="T47" s="4">
        <v>314727</v>
      </c>
    </row>
    <row r="48" spans="1:20">
      <c r="A48" s="3">
        <f t="shared" si="0"/>
        <v>43674</v>
      </c>
      <c r="B48" s="4">
        <v>11681.74</v>
      </c>
      <c r="C48" s="4">
        <v>2293967.4700000002</v>
      </c>
      <c r="D48" s="4">
        <v>137568.14000000001</v>
      </c>
      <c r="E48" s="4">
        <v>96086.43</v>
      </c>
      <c r="F48" s="4">
        <v>10828.88</v>
      </c>
      <c r="G48" s="4">
        <v>47587.19</v>
      </c>
      <c r="H48" s="4">
        <v>14432.73</v>
      </c>
      <c r="I48" s="4">
        <v>127901.57</v>
      </c>
      <c r="J48" s="4">
        <v>59992.01</v>
      </c>
      <c r="K48" s="4">
        <v>408486.1</v>
      </c>
      <c r="L48" s="4">
        <v>41374.54</v>
      </c>
      <c r="M48" s="4">
        <v>12348.68</v>
      </c>
      <c r="N48" s="4">
        <v>40213.46</v>
      </c>
      <c r="O48" s="4">
        <v>18372.71</v>
      </c>
      <c r="P48" s="4">
        <v>73315.78</v>
      </c>
      <c r="Q48" s="4">
        <v>26825.279999999999</v>
      </c>
      <c r="R48" s="4">
        <v>119.14</v>
      </c>
      <c r="S48" s="4">
        <v>75172</v>
      </c>
      <c r="T48" s="4">
        <v>296723.58</v>
      </c>
    </row>
    <row r="49" spans="1:20">
      <c r="A49" s="3">
        <f t="shared" si="0"/>
        <v>43644</v>
      </c>
      <c r="B49" s="4">
        <v>9869.51</v>
      </c>
      <c r="C49" s="4">
        <v>2292546.9</v>
      </c>
      <c r="D49" s="4">
        <v>139283.49</v>
      </c>
      <c r="E49" s="4">
        <v>94029.81</v>
      </c>
      <c r="F49" s="4">
        <v>10549.74</v>
      </c>
      <c r="G49" s="4">
        <v>43631.68</v>
      </c>
      <c r="H49" s="4">
        <v>14040.6</v>
      </c>
      <c r="I49" s="4">
        <v>128514.55</v>
      </c>
      <c r="J49" s="4">
        <v>59069.03</v>
      </c>
      <c r="K49" s="4">
        <v>397150.92</v>
      </c>
      <c r="L49" s="4">
        <v>38533.89</v>
      </c>
      <c r="M49" s="4">
        <v>12111.49</v>
      </c>
      <c r="N49" s="4">
        <v>40510.839999999997</v>
      </c>
      <c r="O49" s="4">
        <v>18142.16</v>
      </c>
      <c r="P49" s="4">
        <v>73099.88</v>
      </c>
      <c r="Q49" s="4">
        <v>27993.84</v>
      </c>
      <c r="R49" s="4">
        <v>109.18</v>
      </c>
      <c r="S49" s="4">
        <v>74409.179999999993</v>
      </c>
      <c r="T49" s="4">
        <v>293543.27</v>
      </c>
    </row>
    <row r="50" spans="1:20">
      <c r="A50" s="3">
        <f t="shared" si="0"/>
        <v>43613</v>
      </c>
      <c r="B50" s="4">
        <v>9675.11</v>
      </c>
      <c r="C50" s="4">
        <v>2277807.0099999998</v>
      </c>
      <c r="D50" s="4">
        <v>138317.60999999999</v>
      </c>
      <c r="E50" s="4">
        <v>93830.13</v>
      </c>
      <c r="F50" s="4">
        <v>9816.14</v>
      </c>
      <c r="G50" s="4">
        <v>49959.01</v>
      </c>
      <c r="H50" s="4">
        <v>13670.9</v>
      </c>
      <c r="I50" s="4">
        <v>127848.46</v>
      </c>
      <c r="J50" s="4">
        <v>58983.22</v>
      </c>
      <c r="K50" s="4">
        <v>398746.65</v>
      </c>
      <c r="L50" s="4">
        <v>36647.21</v>
      </c>
      <c r="M50" s="4">
        <v>11901</v>
      </c>
      <c r="N50" s="4">
        <v>40137.660000000003</v>
      </c>
      <c r="O50" s="4">
        <v>18017.82</v>
      </c>
      <c r="P50" s="4">
        <v>72731.72</v>
      </c>
      <c r="Q50" s="4">
        <v>28055.59</v>
      </c>
      <c r="R50" s="4">
        <v>104.2</v>
      </c>
      <c r="S50" s="4">
        <v>73814.61</v>
      </c>
      <c r="T50" s="4">
        <v>285788.71999999997</v>
      </c>
    </row>
    <row r="51" spans="1:20">
      <c r="A51" s="3">
        <f t="shared" si="0"/>
        <v>43583</v>
      </c>
      <c r="B51" s="4">
        <v>11193.85</v>
      </c>
      <c r="C51" s="4">
        <v>2276544.66</v>
      </c>
      <c r="D51" s="4">
        <v>134805.43</v>
      </c>
      <c r="E51" s="4">
        <v>93155.76</v>
      </c>
      <c r="F51" s="4">
        <v>9751.39</v>
      </c>
      <c r="G51" s="4">
        <v>45694.18</v>
      </c>
      <c r="H51" s="4">
        <v>13136.07</v>
      </c>
      <c r="I51" s="4">
        <v>129070.97</v>
      </c>
      <c r="J51" s="4">
        <v>59404.15</v>
      </c>
      <c r="K51" s="4">
        <v>402057.42</v>
      </c>
      <c r="L51" s="4">
        <v>34729.94</v>
      </c>
      <c r="M51" s="4">
        <v>12037.52</v>
      </c>
      <c r="N51" s="4">
        <v>40235.01</v>
      </c>
      <c r="O51" s="4">
        <v>18115.54</v>
      </c>
      <c r="P51" s="4">
        <v>73028.42</v>
      </c>
      <c r="Q51" s="4">
        <v>27895.93</v>
      </c>
      <c r="R51" s="4">
        <v>114.3</v>
      </c>
      <c r="S51" s="4">
        <v>73001.070000000007</v>
      </c>
      <c r="T51" s="4">
        <v>280109.28000000003</v>
      </c>
    </row>
    <row r="52" spans="1:20">
      <c r="A52" s="3">
        <f t="shared" si="0"/>
        <v>43552</v>
      </c>
      <c r="B52" s="4">
        <v>9480.39</v>
      </c>
      <c r="C52" s="4">
        <v>2277790.5</v>
      </c>
      <c r="D52" s="4">
        <v>128503.42</v>
      </c>
      <c r="E52" s="4">
        <v>96672.04</v>
      </c>
      <c r="F52" s="4">
        <v>9245.66</v>
      </c>
      <c r="G52" s="4">
        <v>49300.77</v>
      </c>
      <c r="H52" s="4">
        <v>12931.71</v>
      </c>
      <c r="I52" s="4">
        <v>131952.68</v>
      </c>
      <c r="J52" s="4">
        <v>59944.41</v>
      </c>
      <c r="K52" s="4">
        <v>394475.44</v>
      </c>
      <c r="L52" s="4">
        <v>33111.85</v>
      </c>
      <c r="M52" s="4">
        <v>11556.86</v>
      </c>
      <c r="N52" s="4">
        <v>40117.86</v>
      </c>
      <c r="O52" s="4">
        <v>18317.04</v>
      </c>
      <c r="P52" s="4">
        <v>72934.52</v>
      </c>
      <c r="Q52" s="4">
        <v>27240.32</v>
      </c>
      <c r="R52" s="4">
        <v>119.39</v>
      </c>
      <c r="S52" s="4">
        <v>72527.44</v>
      </c>
      <c r="T52" s="4">
        <v>285966.07</v>
      </c>
    </row>
    <row r="53" spans="1:20">
      <c r="A53" s="3">
        <f t="shared" si="0"/>
        <v>43524</v>
      </c>
      <c r="B53" s="4">
        <v>9624.08</v>
      </c>
      <c r="C53" s="4">
        <v>2250070.0499999998</v>
      </c>
      <c r="D53" s="4">
        <v>123993.35</v>
      </c>
      <c r="E53" s="4">
        <v>103157.99</v>
      </c>
      <c r="F53" s="4">
        <v>9217.49</v>
      </c>
      <c r="G53" s="4">
        <v>50050.96</v>
      </c>
      <c r="H53" s="4">
        <v>12961.74</v>
      </c>
      <c r="I53" s="4">
        <v>131906.28</v>
      </c>
      <c r="J53" s="4">
        <v>56971.64</v>
      </c>
      <c r="K53" s="4">
        <v>394510.24</v>
      </c>
      <c r="L53" s="4">
        <v>33213.81</v>
      </c>
      <c r="M53" s="4">
        <v>11488.6</v>
      </c>
      <c r="N53" s="4">
        <v>40302.39</v>
      </c>
      <c r="O53" s="4">
        <v>17893.689999999999</v>
      </c>
      <c r="P53" s="4">
        <v>72339.34</v>
      </c>
      <c r="Q53" s="4">
        <v>27114.67</v>
      </c>
      <c r="R53" s="4">
        <v>100.22</v>
      </c>
      <c r="S53" s="4">
        <v>72429.06</v>
      </c>
      <c r="T53" s="4">
        <v>273476.65000000002</v>
      </c>
    </row>
    <row r="54" spans="1:20">
      <c r="A54" s="3">
        <f t="shared" si="0"/>
        <v>43493</v>
      </c>
      <c r="B54" s="4">
        <v>10245.31</v>
      </c>
      <c r="C54" s="4">
        <v>2264393.44</v>
      </c>
      <c r="D54" s="4">
        <v>114986.67</v>
      </c>
      <c r="E54" s="4">
        <v>104025.2</v>
      </c>
      <c r="F54" s="4">
        <v>8918.18</v>
      </c>
      <c r="G54" s="4">
        <v>46995.57</v>
      </c>
      <c r="H54" s="4">
        <v>12817.3</v>
      </c>
      <c r="I54" s="4">
        <v>131765.81</v>
      </c>
      <c r="J54" s="4">
        <v>57053.4</v>
      </c>
      <c r="K54" s="4">
        <v>389338.31</v>
      </c>
      <c r="L54" s="4">
        <v>32304.59</v>
      </c>
      <c r="M54" s="4">
        <v>11489.96</v>
      </c>
      <c r="N54" s="4">
        <v>39965.870000000003</v>
      </c>
      <c r="O54" s="4">
        <v>18006.66</v>
      </c>
      <c r="P54" s="4">
        <v>71890.19</v>
      </c>
      <c r="Q54" s="4">
        <v>29511.07</v>
      </c>
      <c r="R54" s="4">
        <v>0.35</v>
      </c>
      <c r="S54" s="4">
        <v>70284.44</v>
      </c>
      <c r="T54" s="4">
        <v>272721.52</v>
      </c>
    </row>
    <row r="55" spans="1:20">
      <c r="A55" s="3">
        <f t="shared" si="0"/>
        <v>43462</v>
      </c>
      <c r="B55" s="4">
        <v>12212.11</v>
      </c>
      <c r="C55" s="4">
        <v>2273149.17</v>
      </c>
      <c r="D55" s="4">
        <v>114852.44</v>
      </c>
      <c r="E55" s="4">
        <v>105874.62</v>
      </c>
      <c r="F55" s="4">
        <v>8777.6</v>
      </c>
      <c r="G55" s="4">
        <v>44584.29</v>
      </c>
      <c r="H55" s="4">
        <v>12389.15</v>
      </c>
      <c r="I55" s="4">
        <v>133431.95000000001</v>
      </c>
      <c r="J55" s="4">
        <v>56709.120000000003</v>
      </c>
      <c r="K55" s="4">
        <v>375629.5</v>
      </c>
      <c r="L55" s="4">
        <v>36031.07</v>
      </c>
      <c r="M55" s="4">
        <v>11335.86</v>
      </c>
      <c r="N55" s="4">
        <v>40050.46</v>
      </c>
      <c r="O55" s="4">
        <v>17752.25</v>
      </c>
      <c r="P55" s="4">
        <v>72365.06</v>
      </c>
      <c r="Q55" s="4">
        <v>30138.959999999999</v>
      </c>
      <c r="R55" s="4">
        <v>7.79</v>
      </c>
      <c r="S55" s="4">
        <v>57569.7</v>
      </c>
      <c r="T55" s="4">
        <v>262937.33</v>
      </c>
    </row>
    <row r="56" spans="1:20">
      <c r="A56" s="3">
        <f t="shared" si="0"/>
        <v>43432</v>
      </c>
      <c r="B56" s="4">
        <v>9790.4</v>
      </c>
      <c r="C56" s="4">
        <v>2274602.65</v>
      </c>
      <c r="D56" s="4">
        <v>115598.32</v>
      </c>
      <c r="E56" s="4">
        <v>108800.23</v>
      </c>
      <c r="F56" s="4">
        <v>8623.01</v>
      </c>
      <c r="G56" s="4">
        <v>45852.43</v>
      </c>
      <c r="H56" s="4">
        <v>12307.1</v>
      </c>
      <c r="I56" s="4">
        <v>128020.42</v>
      </c>
      <c r="J56" s="4">
        <v>57866.48</v>
      </c>
      <c r="K56" s="4">
        <v>386309.41</v>
      </c>
      <c r="L56" s="4">
        <v>37844.6</v>
      </c>
      <c r="M56" s="4">
        <v>11453.84</v>
      </c>
      <c r="N56" s="4">
        <v>40100.379999999997</v>
      </c>
      <c r="O56" s="4">
        <v>17499.900000000001</v>
      </c>
      <c r="P56" s="4">
        <v>72184.56</v>
      </c>
      <c r="Q56" s="4">
        <v>30258.82</v>
      </c>
      <c r="R56" s="4">
        <v>8.69</v>
      </c>
      <c r="S56" s="4">
        <v>57369.36</v>
      </c>
      <c r="T56" s="4">
        <v>273741.82</v>
      </c>
    </row>
    <row r="57" spans="1:20">
      <c r="A57" s="3">
        <f t="shared" si="0"/>
        <v>43401</v>
      </c>
      <c r="B57" s="4">
        <v>9949.9699999999993</v>
      </c>
      <c r="C57" s="4">
        <v>2299612.1</v>
      </c>
      <c r="D57" s="4">
        <v>115700.88</v>
      </c>
      <c r="E57" s="4">
        <v>109488.78</v>
      </c>
      <c r="F57" s="4">
        <v>8458.26</v>
      </c>
      <c r="G57" s="4">
        <v>50877.86</v>
      </c>
      <c r="H57" s="4">
        <v>12303.72</v>
      </c>
      <c r="I57" s="4">
        <v>125357.62</v>
      </c>
      <c r="J57" s="4">
        <v>61942.61</v>
      </c>
      <c r="K57" s="4">
        <v>380379.35</v>
      </c>
      <c r="L57" s="4">
        <v>37903.51</v>
      </c>
      <c r="M57" s="4">
        <v>11575.91</v>
      </c>
      <c r="N57" s="4">
        <v>40100.25</v>
      </c>
      <c r="O57" s="4">
        <v>17497.63</v>
      </c>
      <c r="P57" s="4">
        <v>71828.78</v>
      </c>
      <c r="Q57" s="4">
        <v>36512.57</v>
      </c>
      <c r="R57" s="4">
        <v>7.69</v>
      </c>
      <c r="S57" s="4">
        <v>56728.35</v>
      </c>
      <c r="T57" s="4">
        <v>272703.03999999998</v>
      </c>
    </row>
    <row r="58" spans="1:20">
      <c r="A58" s="3">
        <f t="shared" si="0"/>
        <v>43371</v>
      </c>
      <c r="B58" s="4">
        <v>9671.2000000000007</v>
      </c>
      <c r="C58" s="4">
        <v>2328955.91</v>
      </c>
      <c r="D58" s="4">
        <v>114953.98</v>
      </c>
      <c r="E58" s="4">
        <v>108011.94</v>
      </c>
      <c r="F58" s="4">
        <v>8298.19</v>
      </c>
      <c r="G58" s="4">
        <v>53755.21</v>
      </c>
      <c r="H58" s="4">
        <v>11855.01</v>
      </c>
      <c r="I58" s="4">
        <v>127616.22</v>
      </c>
      <c r="J58" s="4">
        <v>62787.71</v>
      </c>
      <c r="K58" s="4">
        <v>376667.37</v>
      </c>
      <c r="L58" s="4">
        <v>37077.089999999997</v>
      </c>
      <c r="M58" s="4">
        <v>11818.82</v>
      </c>
      <c r="N58" s="4">
        <v>40110.199999999997</v>
      </c>
      <c r="O58" s="4">
        <v>17370.54</v>
      </c>
      <c r="P58" s="4">
        <v>72803.990000000005</v>
      </c>
      <c r="Q58" s="4">
        <v>36570.57</v>
      </c>
      <c r="R58" s="4">
        <v>7.7</v>
      </c>
      <c r="S58" s="4">
        <v>56597.760000000002</v>
      </c>
      <c r="T58" s="4">
        <v>264557.95</v>
      </c>
    </row>
    <row r="59" spans="1:20">
      <c r="A59" s="3">
        <f t="shared" si="0"/>
        <v>43340</v>
      </c>
      <c r="B59" s="4">
        <v>9679.74</v>
      </c>
      <c r="C59" s="4">
        <v>2300377.1800000002</v>
      </c>
      <c r="D59" s="4">
        <v>115861.3</v>
      </c>
      <c r="E59" s="4">
        <v>113055.55</v>
      </c>
      <c r="F59" s="4">
        <v>8120.27</v>
      </c>
      <c r="G59" s="4">
        <v>53791.17</v>
      </c>
      <c r="H59" s="4">
        <v>10724.06</v>
      </c>
      <c r="I59" s="4">
        <v>128996.66</v>
      </c>
      <c r="J59" s="4">
        <v>63414.1</v>
      </c>
      <c r="K59" s="4">
        <v>371929.67</v>
      </c>
      <c r="L59" s="4">
        <v>35545.58</v>
      </c>
      <c r="M59" s="4">
        <v>11521.11</v>
      </c>
      <c r="N59" s="4">
        <v>40047.49</v>
      </c>
      <c r="O59" s="4">
        <v>17026.310000000001</v>
      </c>
      <c r="P59" s="4">
        <v>72454.210000000006</v>
      </c>
      <c r="Q59" s="4">
        <v>36625.279999999999</v>
      </c>
      <c r="R59" s="4">
        <v>7.69</v>
      </c>
      <c r="S59" s="4">
        <v>56504.09</v>
      </c>
      <c r="T59" s="4">
        <v>268707.32</v>
      </c>
    </row>
    <row r="60" spans="1:20">
      <c r="A60" s="3">
        <f t="shared" si="0"/>
        <v>43309</v>
      </c>
      <c r="B60" s="4">
        <v>10013.15</v>
      </c>
      <c r="C60" s="4">
        <v>2309831.62</v>
      </c>
      <c r="D60" s="4">
        <v>116507.18</v>
      </c>
      <c r="E60" s="4">
        <v>112994</v>
      </c>
      <c r="F60" s="4">
        <v>8229.2000000000007</v>
      </c>
      <c r="G60" s="4">
        <v>51677.2</v>
      </c>
      <c r="H60" s="4">
        <v>10804.36</v>
      </c>
      <c r="I60" s="4">
        <v>129676.57</v>
      </c>
      <c r="J60" s="4">
        <v>63474.36</v>
      </c>
      <c r="K60" s="4">
        <v>380642.01</v>
      </c>
      <c r="L60" s="4">
        <v>31889.11</v>
      </c>
      <c r="M60" s="4">
        <v>11718.35</v>
      </c>
      <c r="N60" s="4">
        <v>40054.32</v>
      </c>
      <c r="O60" s="4">
        <v>17748.36</v>
      </c>
      <c r="P60" s="4">
        <v>72737.67</v>
      </c>
      <c r="Q60" s="4">
        <v>36680.230000000003</v>
      </c>
      <c r="R60" s="4">
        <v>7.72</v>
      </c>
      <c r="S60" s="4">
        <v>56395.8</v>
      </c>
      <c r="T60" s="4">
        <v>261422.56</v>
      </c>
    </row>
    <row r="61" spans="1:20">
      <c r="A61" s="3">
        <f t="shared" si="0"/>
        <v>43279</v>
      </c>
      <c r="B61" s="4">
        <v>9737.7000000000007</v>
      </c>
      <c r="C61" s="4">
        <v>2332473.89</v>
      </c>
      <c r="D61" s="4">
        <v>115242.54</v>
      </c>
      <c r="E61" s="4">
        <v>111807.65</v>
      </c>
      <c r="F61" s="4">
        <v>7571.85</v>
      </c>
      <c r="G61" s="4">
        <v>53484.44</v>
      </c>
      <c r="H61" s="4">
        <v>10685.19</v>
      </c>
      <c r="I61" s="4">
        <v>120968.58</v>
      </c>
      <c r="J61" s="4">
        <v>62546.53</v>
      </c>
      <c r="K61" s="4">
        <v>377533.74</v>
      </c>
      <c r="L61" s="4">
        <v>32517.919999999998</v>
      </c>
      <c r="M61" s="4">
        <v>12031.93</v>
      </c>
      <c r="N61" s="4">
        <v>40113.660000000003</v>
      </c>
      <c r="O61" s="4">
        <v>17830.37</v>
      </c>
      <c r="P61" s="4">
        <v>73544.070000000007</v>
      </c>
      <c r="Q61" s="4">
        <v>38463.730000000003</v>
      </c>
      <c r="R61" s="4">
        <v>9.36</v>
      </c>
      <c r="S61" s="4">
        <v>56613.78</v>
      </c>
      <c r="T61" s="4">
        <v>270689.14</v>
      </c>
    </row>
    <row r="62" spans="1:20">
      <c r="A62" s="3">
        <f t="shared" si="0"/>
        <v>43248</v>
      </c>
      <c r="B62" s="4">
        <v>9904.94</v>
      </c>
      <c r="C62" s="4">
        <v>2373202.41</v>
      </c>
      <c r="D62" s="4">
        <v>115417.75</v>
      </c>
      <c r="E62" s="4">
        <v>110388.63</v>
      </c>
      <c r="F62" s="4">
        <v>7276.77</v>
      </c>
      <c r="G62" s="4">
        <v>54880.13</v>
      </c>
      <c r="H62" s="4">
        <v>10676.16</v>
      </c>
      <c r="I62" s="4">
        <v>118419.33</v>
      </c>
      <c r="J62" s="4">
        <v>62912.52</v>
      </c>
      <c r="K62" s="4">
        <v>360712.71</v>
      </c>
      <c r="L62" s="4">
        <v>31814.57</v>
      </c>
      <c r="M62" s="4">
        <v>12685.75</v>
      </c>
      <c r="N62" s="4">
        <v>40067.760000000002</v>
      </c>
      <c r="O62" s="4">
        <v>17358.060000000001</v>
      </c>
      <c r="P62" s="4">
        <v>72784.679999999993</v>
      </c>
      <c r="Q62" s="4">
        <v>38888.92</v>
      </c>
      <c r="R62" s="4">
        <v>65.89</v>
      </c>
      <c r="S62" s="4">
        <v>56621.29</v>
      </c>
      <c r="T62" s="4">
        <v>269577.09000000003</v>
      </c>
    </row>
    <row r="63" spans="1:20">
      <c r="A63" s="3">
        <f t="shared" si="0"/>
        <v>43218</v>
      </c>
      <c r="B63" s="4">
        <v>10946.49</v>
      </c>
      <c r="C63" s="4">
        <v>2380592.19</v>
      </c>
      <c r="D63" s="4">
        <v>109327.75</v>
      </c>
      <c r="E63" s="4">
        <v>107284</v>
      </c>
      <c r="F63" s="4">
        <v>7432.77</v>
      </c>
      <c r="G63" s="4">
        <v>51158.65</v>
      </c>
      <c r="H63" s="4">
        <v>10609.77</v>
      </c>
      <c r="I63" s="4">
        <v>125198.85</v>
      </c>
      <c r="J63" s="4">
        <v>60488.58</v>
      </c>
      <c r="K63" s="4">
        <v>349359.17</v>
      </c>
      <c r="L63" s="4">
        <v>30327.45</v>
      </c>
      <c r="M63" s="4">
        <v>12694.07</v>
      </c>
      <c r="N63" s="4">
        <v>40207.199999999997</v>
      </c>
      <c r="O63" s="4">
        <v>17018.3</v>
      </c>
      <c r="P63" s="4">
        <v>74783.539999999994</v>
      </c>
      <c r="Q63" s="4">
        <v>39210.949999999997</v>
      </c>
      <c r="R63" s="4">
        <v>66.2</v>
      </c>
      <c r="S63" s="4">
        <v>56552.480000000003</v>
      </c>
      <c r="T63" s="4">
        <v>256748.06</v>
      </c>
    </row>
    <row r="64" spans="1:20">
      <c r="A64" s="3">
        <f t="shared" si="0"/>
        <v>43187</v>
      </c>
      <c r="B64" s="4">
        <v>10378.64</v>
      </c>
      <c r="C64" s="4">
        <v>2376331.17</v>
      </c>
      <c r="D64" s="4">
        <v>108177.55</v>
      </c>
      <c r="E64" s="4">
        <v>105959</v>
      </c>
      <c r="F64" s="4">
        <v>7512.01</v>
      </c>
      <c r="G64" s="4">
        <v>48340.639999999999</v>
      </c>
      <c r="H64" s="4">
        <v>10562.05</v>
      </c>
      <c r="I64" s="4">
        <v>122932.9</v>
      </c>
      <c r="J64" s="4">
        <v>61741.36</v>
      </c>
      <c r="K64" s="4">
        <v>345786.53</v>
      </c>
      <c r="L64" s="4">
        <v>30689.52</v>
      </c>
      <c r="M64" s="4">
        <v>12391.35</v>
      </c>
      <c r="N64" s="4">
        <v>40208.44</v>
      </c>
      <c r="O64" s="4">
        <v>16963.63</v>
      </c>
      <c r="P64" s="4">
        <v>71535.02</v>
      </c>
      <c r="Q64" s="4">
        <v>39216.410000000003</v>
      </c>
      <c r="R64" s="4">
        <v>67.180000000000007</v>
      </c>
      <c r="S64" s="4">
        <v>56519.75</v>
      </c>
      <c r="T64" s="4">
        <v>260556.22</v>
      </c>
    </row>
    <row r="65" spans="1:20">
      <c r="A65" s="3">
        <f t="shared" si="0"/>
        <v>43159</v>
      </c>
      <c r="B65" s="4">
        <v>9951.89</v>
      </c>
      <c r="C65" s="4">
        <v>2347233.25</v>
      </c>
      <c r="D65" s="4">
        <v>104995.58</v>
      </c>
      <c r="E65" s="4">
        <v>104841.46</v>
      </c>
      <c r="F65" s="4">
        <v>7574.21</v>
      </c>
      <c r="G65" s="4">
        <v>45695.53</v>
      </c>
      <c r="H65" s="4">
        <v>10139.66</v>
      </c>
      <c r="I65" s="4">
        <v>124323.99</v>
      </c>
      <c r="J65" s="4">
        <v>61779.02</v>
      </c>
      <c r="K65" s="4">
        <v>344730.86</v>
      </c>
      <c r="L65" s="4">
        <v>28899.95</v>
      </c>
      <c r="M65" s="4">
        <v>12783.37</v>
      </c>
      <c r="N65" s="4">
        <v>40109.910000000003</v>
      </c>
      <c r="O65" s="4">
        <v>16986.099999999999</v>
      </c>
      <c r="P65" s="4">
        <v>70268.399999999994</v>
      </c>
      <c r="Q65" s="4">
        <v>39015.82</v>
      </c>
      <c r="R65" s="4">
        <v>66.23</v>
      </c>
      <c r="S65" s="4">
        <v>56373.36</v>
      </c>
      <c r="T65" s="4">
        <v>265722.52</v>
      </c>
    </row>
    <row r="66" spans="1:20">
      <c r="A66" s="3">
        <f t="shared" si="0"/>
        <v>43128</v>
      </c>
      <c r="B66" s="4">
        <v>10168.049999999999</v>
      </c>
      <c r="C66" s="4">
        <v>2379028.38</v>
      </c>
      <c r="D66" s="4">
        <v>106245.9</v>
      </c>
      <c r="E66" s="4">
        <v>101122</v>
      </c>
      <c r="F66" s="4">
        <v>7263.29</v>
      </c>
      <c r="G66" s="4">
        <v>42611.96</v>
      </c>
      <c r="H66" s="4">
        <v>9998.18</v>
      </c>
      <c r="I66" s="4">
        <v>125759.2</v>
      </c>
      <c r="J66" s="4">
        <v>61322.43</v>
      </c>
      <c r="K66" s="4">
        <v>341740.22</v>
      </c>
      <c r="L66" s="4">
        <v>27581.57</v>
      </c>
      <c r="M66" s="4">
        <v>13045.43</v>
      </c>
      <c r="N66" s="4">
        <v>40129.29</v>
      </c>
      <c r="O66" s="4">
        <v>18115.18</v>
      </c>
      <c r="P66" s="4">
        <v>70453.17</v>
      </c>
      <c r="Q66" s="4">
        <v>39208.11</v>
      </c>
      <c r="R66" s="4">
        <v>66.28</v>
      </c>
      <c r="S66" s="4">
        <v>56947.69</v>
      </c>
      <c r="T66" s="4">
        <v>275520.69</v>
      </c>
    </row>
    <row r="67" spans="1:20">
      <c r="A67" s="3">
        <f t="shared" si="0"/>
        <v>43097</v>
      </c>
      <c r="B67" s="4">
        <v>11980.94</v>
      </c>
      <c r="C67" s="4">
        <v>2371121.8199999998</v>
      </c>
      <c r="D67" s="4">
        <v>104762.98</v>
      </c>
      <c r="E67" s="4">
        <v>101412</v>
      </c>
      <c r="F67" s="4">
        <v>7610.6</v>
      </c>
      <c r="G67" s="4">
        <v>44277.74</v>
      </c>
      <c r="H67" s="4">
        <v>9813.23</v>
      </c>
      <c r="I67" s="4">
        <v>127601.11</v>
      </c>
      <c r="J67" s="4">
        <v>64563.6</v>
      </c>
      <c r="K67" s="4">
        <v>331668.81</v>
      </c>
      <c r="L67" s="4">
        <v>27304.17</v>
      </c>
      <c r="M67" s="4">
        <v>14273.92</v>
      </c>
      <c r="N67" s="4">
        <v>40723.42</v>
      </c>
      <c r="O67" s="4">
        <v>17310.580000000002</v>
      </c>
      <c r="P67" s="4">
        <v>69227.53</v>
      </c>
      <c r="Q67" s="4">
        <v>39327.33</v>
      </c>
      <c r="R67" s="4">
        <v>70.510000000000005</v>
      </c>
      <c r="S67" s="4">
        <v>56693</v>
      </c>
      <c r="T67" s="4">
        <v>272628.68</v>
      </c>
    </row>
    <row r="68" spans="1:20">
      <c r="A68" s="3">
        <f t="shared" si="0"/>
        <v>43067</v>
      </c>
      <c r="B68" s="4">
        <v>9966.5300000000007</v>
      </c>
      <c r="C68" s="4">
        <v>2421590.11</v>
      </c>
      <c r="D68" s="4">
        <v>98220.41</v>
      </c>
      <c r="E68" s="4">
        <v>105701</v>
      </c>
      <c r="F68" s="4">
        <v>7332.83</v>
      </c>
      <c r="G68" s="4">
        <v>42398.11</v>
      </c>
      <c r="H68" s="4">
        <v>10058.4</v>
      </c>
      <c r="I68" s="4">
        <v>114422.55</v>
      </c>
      <c r="J68" s="4">
        <v>211888.11</v>
      </c>
      <c r="K68" s="4">
        <v>344174.23</v>
      </c>
      <c r="L68" s="4">
        <v>26104.080000000002</v>
      </c>
      <c r="M68" s="4">
        <v>13747.18</v>
      </c>
      <c r="N68" s="4">
        <v>40078.42</v>
      </c>
      <c r="O68" s="4">
        <v>17114.45</v>
      </c>
      <c r="P68" s="4">
        <v>68766.75</v>
      </c>
      <c r="Q68" s="4">
        <v>38164.089999999997</v>
      </c>
      <c r="R68" s="4">
        <v>70.540000000000006</v>
      </c>
      <c r="S68" s="4">
        <v>56871.38</v>
      </c>
      <c r="T68" s="4">
        <v>293356.48</v>
      </c>
    </row>
    <row r="69" spans="1:20">
      <c r="A69" s="3">
        <f t="shared" si="0"/>
        <v>43036</v>
      </c>
      <c r="B69" s="4">
        <v>9931.16</v>
      </c>
      <c r="C69" s="4">
        <v>2397455.7200000002</v>
      </c>
      <c r="D69" s="4">
        <v>97302.86</v>
      </c>
      <c r="E69" s="4">
        <v>104628.92</v>
      </c>
      <c r="F69" s="4">
        <v>7109.56</v>
      </c>
      <c r="G69" s="4">
        <v>41396.68</v>
      </c>
      <c r="H69" s="4">
        <v>10294.450000000001</v>
      </c>
      <c r="I69" s="4">
        <v>109821.41</v>
      </c>
      <c r="J69" s="4">
        <v>212466.32</v>
      </c>
      <c r="K69" s="4">
        <v>359153.6</v>
      </c>
      <c r="L69" s="4">
        <v>25802.68</v>
      </c>
      <c r="M69" s="4">
        <v>13868.63</v>
      </c>
      <c r="N69" s="4">
        <v>40114.61</v>
      </c>
      <c r="O69" s="4">
        <v>17117.07</v>
      </c>
      <c r="P69" s="4">
        <v>71263.100000000006</v>
      </c>
      <c r="Q69" s="4">
        <v>38179.29</v>
      </c>
      <c r="R69" s="4">
        <v>70.56</v>
      </c>
      <c r="S69" s="4">
        <v>56937.18</v>
      </c>
      <c r="T69" s="4">
        <v>289805.15000000002</v>
      </c>
    </row>
    <row r="70" spans="1:20">
      <c r="A70" s="3">
        <f t="shared" ref="A70:A133" si="1">EDATE(A69,-1)</f>
        <v>43006</v>
      </c>
      <c r="B70" s="4">
        <v>9723.8799999999992</v>
      </c>
      <c r="C70" s="4">
        <v>2347999.77</v>
      </c>
      <c r="D70" s="4">
        <v>100451.19</v>
      </c>
      <c r="E70" s="4">
        <v>100526.75</v>
      </c>
      <c r="F70" s="4">
        <v>7036.09</v>
      </c>
      <c r="G70" s="4">
        <v>43067.34</v>
      </c>
      <c r="H70" s="4">
        <v>10076.379999999999</v>
      </c>
      <c r="I70" s="4">
        <v>112357.4</v>
      </c>
      <c r="J70" s="4">
        <v>217162.2</v>
      </c>
      <c r="K70" s="4">
        <v>371033.42</v>
      </c>
      <c r="L70" s="4">
        <v>25969.200000000001</v>
      </c>
      <c r="M70" s="4">
        <v>13796.27</v>
      </c>
      <c r="N70" s="4">
        <v>40118.99</v>
      </c>
      <c r="O70" s="4">
        <v>17096.97</v>
      </c>
      <c r="P70" s="4">
        <v>71280.789999999994</v>
      </c>
      <c r="Q70" s="4">
        <v>37913.46</v>
      </c>
      <c r="R70" s="4">
        <v>70.56</v>
      </c>
      <c r="S70" s="4">
        <v>56782.15</v>
      </c>
      <c r="T70" s="4">
        <v>293972.24</v>
      </c>
    </row>
    <row r="71" spans="1:20">
      <c r="A71" s="3">
        <f t="shared" si="1"/>
        <v>42975</v>
      </c>
      <c r="B71" s="4">
        <v>9619.25</v>
      </c>
      <c r="C71" s="4">
        <v>2344658.0299999998</v>
      </c>
      <c r="D71" s="4">
        <v>98511.93</v>
      </c>
      <c r="E71" s="4">
        <v>99190.68</v>
      </c>
      <c r="F71" s="4">
        <v>7091.84</v>
      </c>
      <c r="G71" s="4">
        <v>43610.54</v>
      </c>
      <c r="H71" s="4">
        <v>9960.01</v>
      </c>
      <c r="I71" s="4">
        <v>112670.43</v>
      </c>
      <c r="J71" s="4">
        <v>218358.28</v>
      </c>
      <c r="K71" s="4">
        <v>376273.5</v>
      </c>
      <c r="L71" s="4">
        <v>26173.34</v>
      </c>
      <c r="M71" s="4">
        <v>13985.42</v>
      </c>
      <c r="N71" s="4">
        <v>40140.269999999997</v>
      </c>
      <c r="O71" s="4">
        <v>17109.400000000001</v>
      </c>
      <c r="P71" s="4">
        <v>70946.460000000006</v>
      </c>
      <c r="Q71" s="4">
        <v>37832.400000000001</v>
      </c>
      <c r="R71" s="4">
        <v>70.86</v>
      </c>
      <c r="S71" s="4">
        <v>57116</v>
      </c>
      <c r="T71" s="4">
        <v>302941</v>
      </c>
    </row>
    <row r="72" spans="1:20">
      <c r="A72" s="3">
        <f t="shared" si="1"/>
        <v>42944</v>
      </c>
      <c r="B72" s="4">
        <v>10193.52</v>
      </c>
      <c r="C72" s="4">
        <v>2348505.0499999998</v>
      </c>
      <c r="D72" s="4">
        <v>102314.78</v>
      </c>
      <c r="E72" s="4">
        <v>102460.16</v>
      </c>
      <c r="F72" s="4">
        <v>7193.99</v>
      </c>
      <c r="G72" s="4">
        <v>43853.97</v>
      </c>
      <c r="H72" s="4">
        <v>9987.1299999999992</v>
      </c>
      <c r="I72" s="4">
        <v>114225.77</v>
      </c>
      <c r="J72" s="4">
        <v>219140.95</v>
      </c>
      <c r="K72" s="4">
        <v>378295.41</v>
      </c>
      <c r="L72" s="4">
        <v>25304.23</v>
      </c>
      <c r="M72" s="4">
        <v>13915.75</v>
      </c>
      <c r="N72" s="4">
        <v>40174.58</v>
      </c>
      <c r="O72" s="4">
        <v>17044.009999999998</v>
      </c>
      <c r="P72" s="4">
        <v>71523.89</v>
      </c>
      <c r="Q72" s="4">
        <v>36820.32</v>
      </c>
      <c r="R72" s="4">
        <v>70.56</v>
      </c>
      <c r="S72" s="4">
        <v>57141.2</v>
      </c>
      <c r="T72" s="4">
        <v>302988.87</v>
      </c>
    </row>
    <row r="73" spans="1:20">
      <c r="A73" s="3">
        <f t="shared" si="1"/>
        <v>42914</v>
      </c>
      <c r="B73" s="4">
        <v>9726.98</v>
      </c>
      <c r="C73" s="4">
        <v>2386894.52</v>
      </c>
      <c r="D73" s="4">
        <v>100220.75</v>
      </c>
      <c r="E73" s="4">
        <v>99431.35</v>
      </c>
      <c r="F73" s="4">
        <v>7197.34</v>
      </c>
      <c r="G73" s="4">
        <v>42304.91</v>
      </c>
      <c r="H73" s="4">
        <v>10203.030000000001</v>
      </c>
      <c r="I73" s="4">
        <v>112763.08</v>
      </c>
      <c r="J73" s="4">
        <v>214058.41</v>
      </c>
      <c r="K73" s="4">
        <v>373448.76</v>
      </c>
      <c r="L73" s="4">
        <v>24680.89</v>
      </c>
      <c r="M73" s="4">
        <v>13445.03</v>
      </c>
      <c r="N73" s="4">
        <v>40318.54</v>
      </c>
      <c r="O73" s="4">
        <v>17395.04</v>
      </c>
      <c r="P73" s="4">
        <v>71187.899999999994</v>
      </c>
      <c r="Q73" s="4">
        <v>36798.699999999997</v>
      </c>
      <c r="R73" s="4">
        <v>35.24</v>
      </c>
      <c r="S73" s="4">
        <v>56974.59</v>
      </c>
      <c r="T73" s="4">
        <v>291525.03999999998</v>
      </c>
    </row>
    <row r="74" spans="1:20">
      <c r="A74" s="3">
        <f t="shared" si="1"/>
        <v>42883</v>
      </c>
      <c r="B74" s="4">
        <v>9931.52</v>
      </c>
      <c r="C74" s="4">
        <v>2360832.84</v>
      </c>
      <c r="D74" s="4">
        <v>102146.08</v>
      </c>
      <c r="E74" s="4">
        <v>100259.38</v>
      </c>
      <c r="F74" s="4">
        <v>7597.19</v>
      </c>
      <c r="G74" s="4">
        <v>36652.089999999997</v>
      </c>
      <c r="H74" s="4">
        <v>9901.76</v>
      </c>
      <c r="I74" s="4">
        <v>116631.71</v>
      </c>
      <c r="J74" s="4">
        <v>214818.76</v>
      </c>
      <c r="K74" s="4">
        <v>393511.47</v>
      </c>
      <c r="L74" s="4">
        <v>25268.62</v>
      </c>
      <c r="M74" s="4">
        <v>14122.53</v>
      </c>
      <c r="N74" s="4">
        <v>40301.69</v>
      </c>
      <c r="O74" s="4">
        <v>20223.07</v>
      </c>
      <c r="P74" s="4">
        <v>73694.460000000006</v>
      </c>
      <c r="Q74" s="4">
        <v>37180.660000000003</v>
      </c>
      <c r="R74" s="4">
        <v>0.09</v>
      </c>
      <c r="S74" s="4">
        <v>57280.74</v>
      </c>
      <c r="T74" s="4">
        <v>297209.98</v>
      </c>
    </row>
    <row r="75" spans="1:20">
      <c r="A75" s="3">
        <f t="shared" si="1"/>
        <v>42853</v>
      </c>
      <c r="B75" s="4">
        <v>10332.09</v>
      </c>
      <c r="C75" s="4">
        <v>2383520.4500000002</v>
      </c>
      <c r="D75" s="4">
        <v>100108.79</v>
      </c>
      <c r="E75" s="4">
        <v>103691.14</v>
      </c>
      <c r="F75" s="4">
        <v>7649.91</v>
      </c>
      <c r="G75" s="4">
        <v>39313.480000000003</v>
      </c>
      <c r="H75" s="4">
        <v>9674.68</v>
      </c>
      <c r="I75" s="4">
        <v>116922.99</v>
      </c>
      <c r="J75" s="4">
        <v>212742.02</v>
      </c>
      <c r="K75" s="4">
        <v>402767.45</v>
      </c>
      <c r="L75" s="4">
        <v>25878.880000000001</v>
      </c>
      <c r="M75" s="4">
        <v>13783.33</v>
      </c>
      <c r="N75" s="4">
        <v>40286.29</v>
      </c>
      <c r="O75" s="4">
        <v>20949.91</v>
      </c>
      <c r="P75" s="4">
        <v>73860.87</v>
      </c>
      <c r="Q75" s="4">
        <v>37185.019999999997</v>
      </c>
      <c r="R75" s="4">
        <v>0.09</v>
      </c>
      <c r="S75" s="4">
        <v>57330.03</v>
      </c>
      <c r="T75" s="4">
        <v>300866.09999999998</v>
      </c>
    </row>
    <row r="76" spans="1:20">
      <c r="A76" s="3">
        <f t="shared" si="1"/>
        <v>42822</v>
      </c>
      <c r="B76" s="4">
        <v>9501.7800000000007</v>
      </c>
      <c r="C76" s="4">
        <v>2376646.88</v>
      </c>
      <c r="D76" s="4">
        <v>99517.53</v>
      </c>
      <c r="E76" s="4">
        <v>110303</v>
      </c>
      <c r="F76" s="4">
        <v>7489.09</v>
      </c>
      <c r="G76" s="4">
        <v>43187.4</v>
      </c>
      <c r="H76" s="4">
        <v>9730.3799999999992</v>
      </c>
      <c r="I76" s="4">
        <v>119506.37</v>
      </c>
      <c r="J76" s="4">
        <v>217084.54</v>
      </c>
      <c r="K76" s="4">
        <v>399568.78</v>
      </c>
      <c r="L76" s="4">
        <v>25331.56</v>
      </c>
      <c r="M76" s="4">
        <v>14044.5</v>
      </c>
      <c r="N76" s="4">
        <v>40361.760000000002</v>
      </c>
      <c r="O76" s="4">
        <v>20606.96</v>
      </c>
      <c r="P76" s="4">
        <v>75274.289999999994</v>
      </c>
      <c r="Q76" s="4">
        <v>36757.31</v>
      </c>
      <c r="R76" s="4">
        <v>0.57999999999999996</v>
      </c>
      <c r="S76" s="4">
        <v>57231.08</v>
      </c>
      <c r="T76" s="4">
        <v>301994.38</v>
      </c>
    </row>
    <row r="77" spans="1:20">
      <c r="A77" s="3">
        <f t="shared" si="1"/>
        <v>42794</v>
      </c>
      <c r="B77" s="4">
        <v>9533.11</v>
      </c>
      <c r="C77" s="4">
        <v>2302776.12</v>
      </c>
      <c r="D77" s="4">
        <v>97282.78</v>
      </c>
      <c r="E77" s="4">
        <v>106260.62</v>
      </c>
      <c r="F77" s="4">
        <v>7348.66</v>
      </c>
      <c r="G77" s="4">
        <v>38310.269999999997</v>
      </c>
      <c r="H77" s="4">
        <v>9744.7199999999993</v>
      </c>
      <c r="I77" s="4">
        <v>118376.03</v>
      </c>
      <c r="J77" s="4">
        <v>219658.16</v>
      </c>
      <c r="K77" s="4">
        <v>391330.2</v>
      </c>
      <c r="L77" s="4">
        <v>24345.89</v>
      </c>
      <c r="M77" s="4">
        <v>13892.83</v>
      </c>
      <c r="N77" s="4">
        <v>40246.730000000003</v>
      </c>
      <c r="O77" s="4">
        <v>20412.669999999998</v>
      </c>
      <c r="P77" s="4">
        <v>74496.33</v>
      </c>
      <c r="Q77" s="4">
        <v>36630.57</v>
      </c>
      <c r="R77" s="4">
        <v>6.85</v>
      </c>
      <c r="S77" s="4">
        <v>56984.13</v>
      </c>
      <c r="T77" s="4">
        <v>315949</v>
      </c>
    </row>
    <row r="78" spans="1:20">
      <c r="A78" s="3">
        <f t="shared" si="1"/>
        <v>42763</v>
      </c>
      <c r="B78" s="4">
        <v>9842.19</v>
      </c>
      <c r="C78" s="4">
        <v>2314174.33</v>
      </c>
      <c r="D78" s="4">
        <v>92643.44</v>
      </c>
      <c r="E78" s="4">
        <v>102952.1</v>
      </c>
      <c r="F78" s="4">
        <v>7493.5</v>
      </c>
      <c r="G78" s="4">
        <v>35616.550000000003</v>
      </c>
      <c r="H78" s="4">
        <v>9264.4500000000007</v>
      </c>
      <c r="I78" s="4">
        <v>117601.65</v>
      </c>
      <c r="J78" s="4">
        <v>226228.33</v>
      </c>
      <c r="K78" s="4">
        <v>386960.31</v>
      </c>
      <c r="L78" s="4">
        <v>23687.84</v>
      </c>
      <c r="M78" s="4">
        <v>14083.63</v>
      </c>
      <c r="N78" s="4">
        <v>40247.5</v>
      </c>
      <c r="O78" s="4">
        <v>19795.560000000001</v>
      </c>
      <c r="P78" s="4">
        <v>74082.3</v>
      </c>
      <c r="Q78" s="4">
        <v>38634.42</v>
      </c>
      <c r="R78" s="4">
        <v>7.62</v>
      </c>
      <c r="S78" s="4">
        <v>56166.99</v>
      </c>
      <c r="T78" s="4">
        <v>310857</v>
      </c>
    </row>
    <row r="79" spans="1:20">
      <c r="A79" s="3">
        <f t="shared" si="1"/>
        <v>42732</v>
      </c>
      <c r="B79" s="4">
        <v>11421.57</v>
      </c>
      <c r="C79" s="4">
        <v>2342200.1</v>
      </c>
      <c r="D79" s="4">
        <v>93485.63</v>
      </c>
      <c r="E79" s="4">
        <v>98106.94</v>
      </c>
      <c r="F79" s="4">
        <v>7351.02</v>
      </c>
      <c r="G79" s="4">
        <v>41182.03</v>
      </c>
      <c r="H79" s="4">
        <v>8776.8700000000008</v>
      </c>
      <c r="I79" s="4">
        <v>118662.93</v>
      </c>
      <c r="J79" s="4">
        <v>224250.05</v>
      </c>
      <c r="K79" s="4">
        <v>382803.12</v>
      </c>
      <c r="L79" s="4">
        <v>24126.54</v>
      </c>
      <c r="M79" s="4">
        <v>12003.35</v>
      </c>
      <c r="N79" s="4">
        <v>40329.26</v>
      </c>
      <c r="O79" s="4">
        <v>20104.22</v>
      </c>
      <c r="P79" s="4">
        <v>76429.119999999995</v>
      </c>
      <c r="Q79" s="4">
        <v>39659.47</v>
      </c>
      <c r="R79" s="4">
        <v>7.62</v>
      </c>
      <c r="S79" s="4">
        <v>57721.85</v>
      </c>
      <c r="T79" s="4">
        <v>321026</v>
      </c>
    </row>
    <row r="80" spans="1:20">
      <c r="A80" s="3">
        <f t="shared" si="1"/>
        <v>42702</v>
      </c>
      <c r="B80" s="4">
        <v>9771.2999999999993</v>
      </c>
      <c r="C80" s="4">
        <v>2324187.81</v>
      </c>
      <c r="D80" s="4">
        <v>94522.55</v>
      </c>
      <c r="E80" s="4">
        <v>98516.55</v>
      </c>
      <c r="F80" s="4">
        <v>7400.95</v>
      </c>
      <c r="G80" s="4">
        <v>38245.51</v>
      </c>
      <c r="H80" s="4">
        <v>8694.16</v>
      </c>
      <c r="I80" s="4">
        <v>118562.44</v>
      </c>
      <c r="J80" s="4">
        <v>225573.99</v>
      </c>
      <c r="K80" s="4">
        <v>391016.7</v>
      </c>
      <c r="L80" s="4">
        <v>23248.55</v>
      </c>
      <c r="M80" s="4">
        <v>11559.18</v>
      </c>
      <c r="N80" s="4">
        <v>40320.99</v>
      </c>
      <c r="O80" s="4">
        <v>20214.240000000002</v>
      </c>
      <c r="P80" s="4">
        <v>72615.03</v>
      </c>
      <c r="Q80" s="4">
        <v>44900.56</v>
      </c>
      <c r="R80" s="4">
        <v>5.65</v>
      </c>
      <c r="S80" s="4">
        <v>61792.53</v>
      </c>
      <c r="T80" s="4">
        <v>328094.57</v>
      </c>
    </row>
    <row r="81" spans="1:20">
      <c r="A81" s="3">
        <f t="shared" si="1"/>
        <v>42671</v>
      </c>
      <c r="B81" s="4">
        <v>9944.2099999999991</v>
      </c>
      <c r="C81" s="4">
        <v>2328139.27</v>
      </c>
      <c r="D81" s="4">
        <v>92318.23</v>
      </c>
      <c r="E81" s="4">
        <v>98239.95</v>
      </c>
      <c r="F81" s="4">
        <v>7392.6</v>
      </c>
      <c r="G81" s="4">
        <v>34974.25</v>
      </c>
      <c r="H81" s="4">
        <v>8770.17</v>
      </c>
      <c r="I81" s="4">
        <v>112769.37</v>
      </c>
      <c r="J81" s="4">
        <v>222288.71</v>
      </c>
      <c r="K81" s="4">
        <v>400775.39</v>
      </c>
      <c r="L81" s="4">
        <v>23606.9</v>
      </c>
      <c r="M81" s="4">
        <v>12068</v>
      </c>
      <c r="N81" s="4">
        <v>40301</v>
      </c>
      <c r="O81" s="4">
        <v>19685</v>
      </c>
      <c r="P81" s="4">
        <v>71802.13</v>
      </c>
      <c r="Q81" s="4">
        <v>47272.06</v>
      </c>
      <c r="R81" s="4">
        <v>1.52</v>
      </c>
      <c r="S81" s="4">
        <v>61387.93</v>
      </c>
      <c r="T81" s="4">
        <v>327802.95</v>
      </c>
    </row>
    <row r="82" spans="1:20">
      <c r="A82" s="3">
        <f t="shared" si="1"/>
        <v>42641</v>
      </c>
      <c r="B82" s="4">
        <v>9853.0400000000009</v>
      </c>
      <c r="C82" s="4">
        <v>2334851.39</v>
      </c>
      <c r="D82" s="4">
        <v>88536.59</v>
      </c>
      <c r="E82" s="4">
        <v>88330.53</v>
      </c>
      <c r="F82" s="4">
        <v>7453.68</v>
      </c>
      <c r="G82" s="4">
        <v>37479.85</v>
      </c>
      <c r="H82" s="4">
        <v>12083.56</v>
      </c>
      <c r="I82" s="4">
        <v>111344.04</v>
      </c>
      <c r="J82" s="4">
        <v>224827.38</v>
      </c>
      <c r="K82" s="4">
        <v>402815.99</v>
      </c>
      <c r="L82" s="4">
        <v>23482.75</v>
      </c>
      <c r="M82" s="4">
        <v>11668.65</v>
      </c>
      <c r="N82" s="4">
        <v>49066.61</v>
      </c>
      <c r="O82" s="4">
        <v>7956.13</v>
      </c>
      <c r="P82" s="4">
        <v>72216.89</v>
      </c>
      <c r="Q82" s="4">
        <v>46416.31</v>
      </c>
      <c r="R82" s="4">
        <v>-2.48</v>
      </c>
      <c r="S82" s="4">
        <v>61300.51</v>
      </c>
      <c r="T82" s="4">
        <v>340350.22</v>
      </c>
    </row>
    <row r="83" spans="1:20">
      <c r="A83" s="3">
        <f t="shared" si="1"/>
        <v>42610</v>
      </c>
      <c r="B83" s="4">
        <v>9774.3700000000008</v>
      </c>
      <c r="C83" s="4">
        <v>2321543.23</v>
      </c>
      <c r="D83" s="4">
        <v>88240.04</v>
      </c>
      <c r="E83" s="4">
        <v>90140.44</v>
      </c>
      <c r="F83" s="4">
        <v>7366.08</v>
      </c>
      <c r="G83" s="4">
        <v>36808.94</v>
      </c>
      <c r="H83" s="4">
        <v>13029.18</v>
      </c>
      <c r="I83" s="4">
        <v>112148.91</v>
      </c>
      <c r="J83" s="4">
        <v>220629.04</v>
      </c>
      <c r="K83" s="4">
        <v>409349.73</v>
      </c>
      <c r="L83" s="4">
        <v>23644.06</v>
      </c>
      <c r="M83" s="4">
        <v>11291.12</v>
      </c>
      <c r="N83" s="4">
        <v>49070.59</v>
      </c>
      <c r="O83" s="4">
        <v>8094.82</v>
      </c>
      <c r="P83" s="4">
        <v>72371.37</v>
      </c>
      <c r="Q83" s="4">
        <v>46461.74</v>
      </c>
      <c r="R83" s="4">
        <v>14.65</v>
      </c>
      <c r="S83" s="4">
        <v>61186.38</v>
      </c>
      <c r="T83" s="4">
        <v>339863.02</v>
      </c>
    </row>
    <row r="84" spans="1:20">
      <c r="A84" s="3">
        <f t="shared" si="1"/>
        <v>42579</v>
      </c>
      <c r="B84" s="4">
        <v>9765.44</v>
      </c>
      <c r="C84" s="4">
        <v>2318812.2999999998</v>
      </c>
      <c r="D84" s="4">
        <v>92018.559999999998</v>
      </c>
      <c r="E84" s="4">
        <v>93828.7</v>
      </c>
      <c r="F84" s="4">
        <v>7405.4</v>
      </c>
      <c r="G84" s="4">
        <v>36979.96</v>
      </c>
      <c r="H84" s="4">
        <v>12987.23</v>
      </c>
      <c r="I84" s="4">
        <v>108091.22</v>
      </c>
      <c r="J84" s="4">
        <v>221365.01</v>
      </c>
      <c r="K84" s="4">
        <v>421939.41</v>
      </c>
      <c r="L84" s="4">
        <v>23856.82</v>
      </c>
      <c r="M84" s="4">
        <v>11133.32</v>
      </c>
      <c r="N84" s="4">
        <v>48070.58</v>
      </c>
      <c r="O84" s="4">
        <v>8040.02</v>
      </c>
      <c r="P84" s="4">
        <v>72486.13</v>
      </c>
      <c r="Q84" s="4">
        <v>46496.5</v>
      </c>
      <c r="R84" s="4">
        <v>2.66</v>
      </c>
      <c r="S84" s="4">
        <v>61093.61</v>
      </c>
      <c r="T84" s="4">
        <v>349011.89</v>
      </c>
    </row>
    <row r="85" spans="1:20">
      <c r="A85" s="3">
        <f t="shared" si="1"/>
        <v>42549</v>
      </c>
      <c r="B85" s="4">
        <v>9772.35</v>
      </c>
      <c r="C85" s="4">
        <v>2341794.83</v>
      </c>
      <c r="D85" s="4">
        <v>95482.96</v>
      </c>
      <c r="E85" s="4">
        <v>100489.15</v>
      </c>
      <c r="F85" s="4">
        <v>7542.99</v>
      </c>
      <c r="G85" s="4">
        <v>43824.85</v>
      </c>
      <c r="H85" s="4">
        <v>13487.46</v>
      </c>
      <c r="I85" s="4">
        <v>108145.67</v>
      </c>
      <c r="J85" s="4">
        <v>216993.14</v>
      </c>
      <c r="K85" s="4">
        <v>423189.29</v>
      </c>
      <c r="L85" s="4">
        <v>23789.48</v>
      </c>
      <c r="M85" s="4">
        <v>10992.68</v>
      </c>
      <c r="N85" s="4">
        <v>48058.83</v>
      </c>
      <c r="O85" s="4">
        <v>8433.25</v>
      </c>
      <c r="P85" s="4">
        <v>72076.55</v>
      </c>
      <c r="Q85" s="4">
        <v>46977.24</v>
      </c>
      <c r="R85" s="4">
        <v>2.65</v>
      </c>
      <c r="S85" s="4">
        <v>61109.74</v>
      </c>
      <c r="T85" s="4">
        <v>346315.16</v>
      </c>
    </row>
    <row r="86" spans="1:20">
      <c r="A86" s="3">
        <f t="shared" si="1"/>
        <v>42518</v>
      </c>
      <c r="B86" s="4">
        <v>10010.35</v>
      </c>
      <c r="C86" s="4">
        <v>2327018.9700000002</v>
      </c>
      <c r="D86" s="4">
        <v>91977.29</v>
      </c>
      <c r="E86" s="4">
        <v>99112.6</v>
      </c>
      <c r="F86" s="4">
        <v>7752.09</v>
      </c>
      <c r="G86" s="4">
        <v>40848.78</v>
      </c>
      <c r="H86" s="4">
        <v>13579.65</v>
      </c>
      <c r="I86" s="4">
        <v>111686.41</v>
      </c>
      <c r="J86" s="4">
        <v>203559.54</v>
      </c>
      <c r="K86" s="4">
        <v>417736.4</v>
      </c>
      <c r="L86" s="4">
        <v>23526.16</v>
      </c>
      <c r="M86" s="4">
        <v>11166.33</v>
      </c>
      <c r="N86" s="4">
        <v>48057.81</v>
      </c>
      <c r="O86" s="4">
        <v>8907.2000000000007</v>
      </c>
      <c r="P86" s="4">
        <v>72285.11</v>
      </c>
      <c r="Q86" s="4">
        <v>47035.46</v>
      </c>
      <c r="R86" s="4">
        <v>-2.54</v>
      </c>
      <c r="S86" s="4">
        <v>61028.63</v>
      </c>
      <c r="T86" s="4">
        <v>336038.64</v>
      </c>
    </row>
    <row r="87" spans="1:20">
      <c r="A87" s="3">
        <f t="shared" si="1"/>
        <v>42488</v>
      </c>
      <c r="B87" s="4">
        <v>9780.7800000000007</v>
      </c>
      <c r="C87" s="4">
        <v>2343047.88</v>
      </c>
      <c r="D87" s="4">
        <v>97191.77</v>
      </c>
      <c r="E87" s="4">
        <v>90798.25</v>
      </c>
      <c r="F87" s="4">
        <v>7402.27</v>
      </c>
      <c r="G87" s="4">
        <v>38538.410000000003</v>
      </c>
      <c r="H87" s="4">
        <v>14350.65</v>
      </c>
      <c r="I87" s="4">
        <v>111860.26</v>
      </c>
      <c r="J87" s="4">
        <v>204977.64</v>
      </c>
      <c r="K87" s="4">
        <v>414014.64</v>
      </c>
      <c r="L87" s="4">
        <v>22754.65</v>
      </c>
      <c r="M87" s="4">
        <v>11216.76</v>
      </c>
      <c r="N87" s="4">
        <v>48109.760000000002</v>
      </c>
      <c r="O87" s="4">
        <v>8686.33</v>
      </c>
      <c r="P87" s="4">
        <v>72220.490000000005</v>
      </c>
      <c r="Q87" s="4">
        <v>47581.45</v>
      </c>
      <c r="R87" s="4">
        <v>-9.33</v>
      </c>
      <c r="S87" s="4">
        <v>61024.2</v>
      </c>
      <c r="T87" s="4">
        <v>335768.88</v>
      </c>
    </row>
    <row r="88" spans="1:20">
      <c r="A88" s="3">
        <f t="shared" si="1"/>
        <v>42457</v>
      </c>
      <c r="B88" s="4">
        <v>10393.69</v>
      </c>
      <c r="C88" s="4">
        <v>2354023.89</v>
      </c>
      <c r="D88" s="4">
        <v>96909.19</v>
      </c>
      <c r="E88" s="4">
        <v>92707.18</v>
      </c>
      <c r="F88" s="4">
        <v>7618.84</v>
      </c>
      <c r="G88" s="4">
        <v>41487.019999999997</v>
      </c>
      <c r="H88" s="4">
        <v>15099.27</v>
      </c>
      <c r="I88" s="4">
        <v>108346.11</v>
      </c>
      <c r="J88" s="4">
        <v>207644.74</v>
      </c>
      <c r="K88" s="4">
        <v>409421.96</v>
      </c>
      <c r="L88" s="4">
        <v>21567.85</v>
      </c>
      <c r="M88" s="4">
        <v>10954.89</v>
      </c>
      <c r="N88" s="4">
        <v>48057.51</v>
      </c>
      <c r="O88" s="4">
        <v>8837.14</v>
      </c>
      <c r="P88" s="4">
        <v>70930.399999999994</v>
      </c>
      <c r="Q88" s="4">
        <v>47509.58</v>
      </c>
      <c r="R88" s="4">
        <v>-16.760000000000002</v>
      </c>
      <c r="S88" s="4">
        <v>60940.85</v>
      </c>
      <c r="T88" s="4">
        <v>340807.34</v>
      </c>
    </row>
    <row r="89" spans="1:20">
      <c r="A89" s="3">
        <f t="shared" si="1"/>
        <v>42428</v>
      </c>
      <c r="B89" s="4">
        <v>9723.93</v>
      </c>
      <c r="C89" s="4">
        <v>2355244.3199999998</v>
      </c>
      <c r="D89" s="4">
        <v>95245.02</v>
      </c>
      <c r="E89" s="4">
        <v>93548.13</v>
      </c>
      <c r="F89" s="4">
        <v>7430.26</v>
      </c>
      <c r="G89" s="4">
        <v>34123.06</v>
      </c>
      <c r="H89" s="4">
        <v>14929.55</v>
      </c>
      <c r="I89" s="4">
        <v>108621.2</v>
      </c>
      <c r="J89" s="4">
        <v>210544.51</v>
      </c>
      <c r="K89" s="4">
        <v>415222.55</v>
      </c>
      <c r="L89" s="4">
        <v>21448.87</v>
      </c>
      <c r="M89" s="4">
        <v>10924.11</v>
      </c>
      <c r="N89" s="4">
        <v>48061.91</v>
      </c>
      <c r="O89" s="4">
        <v>8889.66</v>
      </c>
      <c r="P89" s="4">
        <v>70879.490000000005</v>
      </c>
      <c r="Q89" s="4">
        <v>47603.59</v>
      </c>
      <c r="R89" s="4">
        <v>-16.75</v>
      </c>
      <c r="S89" s="4">
        <v>61327.55</v>
      </c>
      <c r="T89" s="4">
        <v>363884.98</v>
      </c>
    </row>
    <row r="90" spans="1:20">
      <c r="A90" s="3">
        <f t="shared" si="1"/>
        <v>42397</v>
      </c>
      <c r="B90" s="4">
        <v>9425.65</v>
      </c>
      <c r="C90" s="4">
        <v>2345208.3199999998</v>
      </c>
      <c r="D90" s="4">
        <v>90127.11</v>
      </c>
      <c r="E90" s="4">
        <v>97293.63</v>
      </c>
      <c r="F90" s="4">
        <v>7573.33</v>
      </c>
      <c r="G90" s="4">
        <v>35458.47</v>
      </c>
      <c r="H90" s="4">
        <v>14874.6</v>
      </c>
      <c r="I90" s="4">
        <v>110355.07</v>
      </c>
      <c r="J90" s="4">
        <v>209560.01</v>
      </c>
      <c r="K90" s="4">
        <v>404521.74</v>
      </c>
      <c r="L90" s="4">
        <v>19176.419999999998</v>
      </c>
      <c r="M90" s="4">
        <v>11837.62</v>
      </c>
      <c r="N90" s="4">
        <v>48125.97</v>
      </c>
      <c r="O90" s="4">
        <v>8830.57</v>
      </c>
      <c r="P90" s="4">
        <v>71150.81</v>
      </c>
      <c r="Q90" s="4">
        <v>47647.25</v>
      </c>
      <c r="R90" s="4">
        <v>8.0399999999999991</v>
      </c>
      <c r="S90" s="4">
        <v>61371.6</v>
      </c>
      <c r="T90" s="4">
        <v>345365.95</v>
      </c>
    </row>
    <row r="91" spans="1:20">
      <c r="A91" s="3">
        <f t="shared" si="1"/>
        <v>42366</v>
      </c>
      <c r="B91" s="4">
        <v>11824.79</v>
      </c>
      <c r="C91" s="4">
        <v>2333294.64</v>
      </c>
      <c r="D91" s="4">
        <v>93751.54</v>
      </c>
      <c r="E91" s="4">
        <v>97703.64</v>
      </c>
      <c r="F91" s="4">
        <v>7767.14</v>
      </c>
      <c r="G91" s="4">
        <v>32413.200000000001</v>
      </c>
      <c r="H91" s="4">
        <v>14843.5</v>
      </c>
      <c r="I91" s="4">
        <v>114617.73</v>
      </c>
      <c r="J91" s="4">
        <v>215102.92</v>
      </c>
      <c r="K91" s="4">
        <v>398008.84</v>
      </c>
      <c r="L91" s="4">
        <v>18750.419999999998</v>
      </c>
      <c r="M91" s="4">
        <v>11981.15</v>
      </c>
      <c r="N91" s="4">
        <v>48189.23</v>
      </c>
      <c r="O91" s="4">
        <v>9232.5</v>
      </c>
      <c r="P91" s="4">
        <v>71759.88</v>
      </c>
      <c r="Q91" s="4">
        <v>48070.36</v>
      </c>
      <c r="R91" s="4">
        <v>8.23</v>
      </c>
      <c r="S91" s="4">
        <v>61783.48</v>
      </c>
      <c r="T91" s="4">
        <v>324367.57</v>
      </c>
    </row>
    <row r="92" spans="1:20">
      <c r="A92" s="3">
        <f t="shared" si="1"/>
        <v>42336</v>
      </c>
      <c r="B92" s="4">
        <v>10006.959999999999</v>
      </c>
      <c r="C92" s="4">
        <v>2336226.17</v>
      </c>
      <c r="D92" s="4">
        <v>96504.61</v>
      </c>
      <c r="E92" s="4">
        <v>98996.81</v>
      </c>
      <c r="F92" s="4">
        <v>7497.97</v>
      </c>
      <c r="G92" s="4">
        <v>31876.29</v>
      </c>
      <c r="H92" s="4">
        <v>14751.1</v>
      </c>
      <c r="I92" s="4">
        <v>114660.24</v>
      </c>
      <c r="J92" s="4">
        <v>213035.77</v>
      </c>
      <c r="K92" s="4">
        <v>416278.61</v>
      </c>
      <c r="L92" s="4">
        <v>18352.93</v>
      </c>
      <c r="M92" s="4">
        <v>11610.62</v>
      </c>
      <c r="N92" s="4">
        <v>48196.41</v>
      </c>
      <c r="O92" s="4">
        <v>9662.73</v>
      </c>
      <c r="P92" s="4">
        <v>72594.23</v>
      </c>
      <c r="Q92" s="4">
        <v>49055.01</v>
      </c>
      <c r="R92" s="4">
        <v>-17.45</v>
      </c>
      <c r="S92" s="4">
        <v>61783.3</v>
      </c>
      <c r="T92" s="4">
        <v>351429.68</v>
      </c>
    </row>
    <row r="93" spans="1:20">
      <c r="A93" s="3">
        <f t="shared" si="1"/>
        <v>42305</v>
      </c>
      <c r="B93" s="4">
        <v>9566.25</v>
      </c>
      <c r="C93" s="4">
        <v>2321984.38</v>
      </c>
      <c r="D93" s="4">
        <v>95528.55</v>
      </c>
      <c r="E93" s="4">
        <v>98521.71</v>
      </c>
      <c r="F93" s="4">
        <v>7329.94</v>
      </c>
      <c r="G93" s="4">
        <v>33368.39</v>
      </c>
      <c r="H93" s="4">
        <v>14650.21</v>
      </c>
      <c r="I93" s="4">
        <v>116185.24</v>
      </c>
      <c r="J93" s="4">
        <v>211422.7</v>
      </c>
      <c r="K93" s="4">
        <v>414009.01</v>
      </c>
      <c r="L93" s="4">
        <v>18173.55</v>
      </c>
      <c r="M93" s="4">
        <v>11296.15</v>
      </c>
      <c r="N93" s="4">
        <v>48195.19</v>
      </c>
      <c r="O93" s="4">
        <v>9655.7999999999993</v>
      </c>
      <c r="P93" s="4">
        <v>72497.490000000005</v>
      </c>
      <c r="Q93" s="4">
        <v>50229.93</v>
      </c>
      <c r="R93" s="4">
        <v>-17.34</v>
      </c>
      <c r="S93" s="4">
        <v>61428.13</v>
      </c>
      <c r="T93" s="4">
        <v>341244.32</v>
      </c>
    </row>
    <row r="94" spans="1:20">
      <c r="A94" s="3">
        <f t="shared" si="1"/>
        <v>42275</v>
      </c>
      <c r="B94" s="4">
        <v>10061.17</v>
      </c>
      <c r="C94" s="4">
        <v>2327975.16</v>
      </c>
      <c r="D94" s="4">
        <v>97576.28</v>
      </c>
      <c r="E94" s="4">
        <v>93885.35</v>
      </c>
      <c r="F94" s="4">
        <v>7812.03</v>
      </c>
      <c r="G94" s="4">
        <v>36670.620000000003</v>
      </c>
      <c r="H94" s="4">
        <v>14597.15</v>
      </c>
      <c r="I94" s="4">
        <v>116902.26</v>
      </c>
      <c r="J94" s="4">
        <v>216952.06</v>
      </c>
      <c r="K94" s="4">
        <v>410331.93</v>
      </c>
      <c r="L94" s="4">
        <v>18029.41</v>
      </c>
      <c r="M94" s="4">
        <v>11677.08</v>
      </c>
      <c r="N94" s="4">
        <v>48309.16</v>
      </c>
      <c r="O94" s="4">
        <v>8650.68</v>
      </c>
      <c r="P94" s="4">
        <v>72669.63</v>
      </c>
      <c r="Q94" s="4">
        <v>50498.97</v>
      </c>
      <c r="R94" s="4">
        <v>-17.329999999999998</v>
      </c>
      <c r="S94" s="4">
        <v>60708.56</v>
      </c>
      <c r="T94" s="4">
        <v>335837.25</v>
      </c>
    </row>
    <row r="95" spans="1:20">
      <c r="A95" s="3">
        <f t="shared" si="1"/>
        <v>42244</v>
      </c>
      <c r="B95" s="4">
        <v>10203.14</v>
      </c>
      <c r="C95" s="4">
        <v>2318669.44</v>
      </c>
      <c r="D95" s="4">
        <v>100953.51</v>
      </c>
      <c r="E95" s="4">
        <v>95714.57</v>
      </c>
      <c r="F95" s="4">
        <v>8210.5499999999993</v>
      </c>
      <c r="G95" s="4">
        <v>35613.33</v>
      </c>
      <c r="H95" s="4">
        <v>14948.92</v>
      </c>
      <c r="I95" s="4">
        <v>117552.7</v>
      </c>
      <c r="J95" s="4">
        <v>220321.43</v>
      </c>
      <c r="K95" s="4">
        <v>413389.67</v>
      </c>
      <c r="L95" s="4">
        <v>17490.36</v>
      </c>
      <c r="M95" s="4">
        <v>11182.24</v>
      </c>
      <c r="N95" s="4">
        <v>48215.06</v>
      </c>
      <c r="O95" s="4">
        <v>9319.65</v>
      </c>
      <c r="P95" s="4">
        <v>72802.990000000005</v>
      </c>
      <c r="Q95" s="4">
        <v>49087.57</v>
      </c>
      <c r="R95" s="4">
        <v>-16.89</v>
      </c>
      <c r="S95" s="4">
        <v>60890.15</v>
      </c>
      <c r="T95" s="4">
        <v>340481.98</v>
      </c>
    </row>
    <row r="96" spans="1:20">
      <c r="A96" s="3">
        <f t="shared" si="1"/>
        <v>42213</v>
      </c>
      <c r="B96" s="4">
        <v>10147.48</v>
      </c>
      <c r="C96" s="4">
        <v>2327433.2799999998</v>
      </c>
      <c r="D96" s="4">
        <v>95153.91</v>
      </c>
      <c r="E96" s="4">
        <v>101718.23</v>
      </c>
      <c r="F96" s="4">
        <v>8350.32</v>
      </c>
      <c r="G96" s="4">
        <v>35739.35</v>
      </c>
      <c r="H96" s="4">
        <v>15073.4</v>
      </c>
      <c r="I96" s="4">
        <v>114633.47</v>
      </c>
      <c r="J96" s="4">
        <v>225015.83</v>
      </c>
      <c r="K96" s="4">
        <v>416556.61</v>
      </c>
      <c r="L96" s="4">
        <v>17979.900000000001</v>
      </c>
      <c r="M96" s="4">
        <v>11055.06</v>
      </c>
      <c r="N96" s="4">
        <v>48235.9</v>
      </c>
      <c r="O96" s="4">
        <v>9307.1299999999992</v>
      </c>
      <c r="P96" s="4">
        <v>73045.919999999998</v>
      </c>
      <c r="Q96" s="4">
        <v>49074.87</v>
      </c>
      <c r="R96" s="4">
        <v>-17.32</v>
      </c>
      <c r="S96" s="4">
        <v>61099.38</v>
      </c>
      <c r="T96" s="4">
        <v>347136.18</v>
      </c>
    </row>
    <row r="97" spans="1:20">
      <c r="A97" s="3">
        <f t="shared" si="1"/>
        <v>42183</v>
      </c>
      <c r="B97" s="4">
        <v>9965.09</v>
      </c>
      <c r="C97" s="4">
        <v>2339205.23</v>
      </c>
      <c r="D97" s="4">
        <v>98465.21</v>
      </c>
      <c r="E97" s="4">
        <v>100049.5</v>
      </c>
      <c r="F97" s="4">
        <v>8343.0300000000007</v>
      </c>
      <c r="G97" s="4">
        <v>33913.56</v>
      </c>
      <c r="H97" s="4">
        <v>15143.28</v>
      </c>
      <c r="I97" s="4">
        <v>115902.7</v>
      </c>
      <c r="J97" s="4">
        <v>225746.52</v>
      </c>
      <c r="K97" s="4">
        <v>414895.57</v>
      </c>
      <c r="L97" s="4">
        <v>17787.900000000001</v>
      </c>
      <c r="M97" s="4">
        <v>10803.83</v>
      </c>
      <c r="N97" s="4">
        <v>48203.31</v>
      </c>
      <c r="O97" s="4">
        <v>8886.66</v>
      </c>
      <c r="P97" s="4">
        <v>72332.05</v>
      </c>
      <c r="Q97" s="4">
        <v>49391.91</v>
      </c>
      <c r="R97" s="4">
        <v>-17.32</v>
      </c>
      <c r="S97" s="4">
        <v>60933.68</v>
      </c>
      <c r="T97" s="4">
        <v>347729.9</v>
      </c>
    </row>
    <row r="98" spans="1:20">
      <c r="A98" s="3">
        <f t="shared" si="1"/>
        <v>42152</v>
      </c>
      <c r="B98" s="4">
        <v>9703.24</v>
      </c>
      <c r="C98" s="4">
        <v>2317822.94</v>
      </c>
      <c r="D98" s="4">
        <v>95157.56</v>
      </c>
      <c r="E98" s="4">
        <v>102760.44</v>
      </c>
      <c r="F98" s="4">
        <v>8551.76</v>
      </c>
      <c r="G98" s="4">
        <v>33067.769999999997</v>
      </c>
      <c r="H98" s="4">
        <v>16177.02</v>
      </c>
      <c r="I98" s="4">
        <v>120287.74</v>
      </c>
      <c r="J98" s="4">
        <v>232915.37</v>
      </c>
      <c r="K98" s="4">
        <v>425090.74</v>
      </c>
      <c r="L98" s="4">
        <v>17045.599999999999</v>
      </c>
      <c r="M98" s="4">
        <v>10788.32</v>
      </c>
      <c r="N98" s="4">
        <v>48231.09</v>
      </c>
      <c r="O98" s="4">
        <v>8774.11</v>
      </c>
      <c r="P98" s="4">
        <v>73947.08</v>
      </c>
      <c r="Q98" s="4">
        <v>48499.96</v>
      </c>
      <c r="R98" s="4">
        <v>-17.170000000000002</v>
      </c>
      <c r="S98" s="4">
        <v>60862.94</v>
      </c>
      <c r="T98" s="4">
        <v>386020.2</v>
      </c>
    </row>
    <row r="99" spans="1:20">
      <c r="A99" s="3">
        <f t="shared" si="1"/>
        <v>42122</v>
      </c>
      <c r="B99" s="4">
        <v>10037.540000000001</v>
      </c>
      <c r="C99" s="4">
        <v>2320459.8199999998</v>
      </c>
      <c r="D99" s="4">
        <v>93201.53</v>
      </c>
      <c r="E99" s="4">
        <v>108160.17</v>
      </c>
      <c r="F99" s="4">
        <v>8705.4699999999993</v>
      </c>
      <c r="G99" s="4">
        <v>31647.42</v>
      </c>
      <c r="H99" s="4">
        <v>16260.07</v>
      </c>
      <c r="I99" s="4">
        <v>120785.9</v>
      </c>
      <c r="J99" s="4">
        <v>233645.12</v>
      </c>
      <c r="K99" s="4">
        <v>425218.2</v>
      </c>
      <c r="L99" s="4">
        <v>16732.7</v>
      </c>
      <c r="M99" s="4">
        <v>10875.52</v>
      </c>
      <c r="N99" s="4">
        <v>48340.19</v>
      </c>
      <c r="O99" s="4">
        <v>8734.52</v>
      </c>
      <c r="P99" s="4">
        <v>73875.86</v>
      </c>
      <c r="Q99" s="4">
        <v>48429.78</v>
      </c>
      <c r="R99" s="4">
        <v>-17.22</v>
      </c>
      <c r="S99" s="4">
        <v>60774.49</v>
      </c>
      <c r="T99" s="4">
        <v>395783.82</v>
      </c>
    </row>
    <row r="100" spans="1:20">
      <c r="A100" s="3">
        <f t="shared" si="1"/>
        <v>42091</v>
      </c>
      <c r="B100" s="4">
        <v>9705.39</v>
      </c>
      <c r="C100" s="4">
        <v>2332899.46</v>
      </c>
      <c r="D100" s="4">
        <v>94557.32</v>
      </c>
      <c r="E100" s="4">
        <v>108515.86</v>
      </c>
      <c r="F100" s="4">
        <v>8791.02</v>
      </c>
      <c r="G100" s="4">
        <v>28752.37</v>
      </c>
      <c r="H100" s="4">
        <v>15990.44</v>
      </c>
      <c r="I100" s="4">
        <v>121393.85</v>
      </c>
      <c r="J100" s="4">
        <v>237017.16</v>
      </c>
      <c r="K100" s="4">
        <v>427246.38</v>
      </c>
      <c r="L100" s="4">
        <v>16631.939999999999</v>
      </c>
      <c r="M100" s="4">
        <v>11160.85</v>
      </c>
      <c r="N100" s="4">
        <v>48194.44</v>
      </c>
      <c r="O100" s="4">
        <v>8680.7999999999993</v>
      </c>
      <c r="P100" s="4">
        <v>73624.679999999993</v>
      </c>
      <c r="Q100" s="4">
        <v>49052.14</v>
      </c>
      <c r="R100" s="4">
        <v>17.809999999999999</v>
      </c>
      <c r="S100" s="4">
        <v>60684.06</v>
      </c>
      <c r="T100" s="4">
        <v>421882.95</v>
      </c>
    </row>
    <row r="101" spans="1:20">
      <c r="A101" s="3">
        <f t="shared" si="1"/>
        <v>42063</v>
      </c>
      <c r="B101" s="4">
        <v>9377.86</v>
      </c>
      <c r="C101" s="4">
        <v>2307289.81</v>
      </c>
      <c r="D101" s="4">
        <v>93947.87</v>
      </c>
      <c r="E101" s="4">
        <v>102604.37</v>
      </c>
      <c r="F101" s="4">
        <v>8932.2800000000007</v>
      </c>
      <c r="G101" s="4">
        <v>23490.16</v>
      </c>
      <c r="H101" s="4">
        <v>15691.31</v>
      </c>
      <c r="I101" s="4">
        <v>122323.43</v>
      </c>
      <c r="J101" s="4">
        <v>246277.68</v>
      </c>
      <c r="K101" s="4">
        <v>433692.35</v>
      </c>
      <c r="L101" s="4">
        <v>16230.7</v>
      </c>
      <c r="M101" s="4">
        <v>11549.83</v>
      </c>
      <c r="N101" s="4">
        <v>48217.83</v>
      </c>
      <c r="O101" s="4">
        <v>8405.27</v>
      </c>
      <c r="P101" s="4">
        <v>73840.06</v>
      </c>
      <c r="Q101" s="4">
        <v>49859.28</v>
      </c>
      <c r="R101" s="4">
        <v>54.97</v>
      </c>
      <c r="S101" s="4">
        <v>60885.08</v>
      </c>
      <c r="T101" s="4">
        <v>415634.73</v>
      </c>
    </row>
    <row r="102" spans="1:20">
      <c r="A102" s="3">
        <f t="shared" si="1"/>
        <v>42032</v>
      </c>
      <c r="B102" s="4">
        <v>9352.9</v>
      </c>
      <c r="C102" s="4">
        <v>2314733.48</v>
      </c>
      <c r="D102" s="4">
        <v>97155.28</v>
      </c>
      <c r="E102" s="4">
        <v>104513.95</v>
      </c>
      <c r="F102" s="4">
        <v>8513.99</v>
      </c>
      <c r="G102" s="4">
        <v>17320.27</v>
      </c>
      <c r="H102" s="4">
        <v>15403.73</v>
      </c>
      <c r="I102" s="4">
        <v>123063.52</v>
      </c>
      <c r="J102" s="4">
        <v>256447.2</v>
      </c>
      <c r="K102" s="4">
        <v>426235.66</v>
      </c>
      <c r="L102" s="4">
        <v>15647.38</v>
      </c>
      <c r="M102" s="4">
        <v>11326.5</v>
      </c>
      <c r="N102" s="4">
        <v>48190.54</v>
      </c>
      <c r="O102" s="4">
        <v>8194.4599999999991</v>
      </c>
      <c r="P102" s="4">
        <v>73549.17</v>
      </c>
      <c r="Q102" s="4">
        <v>49946.46</v>
      </c>
      <c r="R102" s="4">
        <v>54.71</v>
      </c>
      <c r="S102" s="4">
        <v>61474.28</v>
      </c>
      <c r="T102" s="4">
        <v>427627.33</v>
      </c>
    </row>
    <row r="103" spans="1:20">
      <c r="A103" s="3">
        <f t="shared" si="1"/>
        <v>42001</v>
      </c>
      <c r="B103" s="4">
        <v>12861.92</v>
      </c>
      <c r="C103" s="4">
        <v>2313837.5699999998</v>
      </c>
      <c r="D103" s="4">
        <v>96204.12</v>
      </c>
      <c r="E103" s="4">
        <v>96260.47</v>
      </c>
      <c r="F103" s="4">
        <v>7822.44</v>
      </c>
      <c r="G103" s="4">
        <v>13243.03</v>
      </c>
      <c r="H103" s="4">
        <v>15723.03</v>
      </c>
      <c r="I103" s="4">
        <v>126140.08</v>
      </c>
      <c r="J103" s="4">
        <v>264695.28999999998</v>
      </c>
      <c r="K103" s="4">
        <v>410341.96</v>
      </c>
      <c r="L103" s="4">
        <v>14279.77</v>
      </c>
      <c r="M103" s="4">
        <v>10538.67</v>
      </c>
      <c r="N103" s="4">
        <v>48216.34</v>
      </c>
      <c r="O103" s="4">
        <v>8135.66</v>
      </c>
      <c r="P103" s="4">
        <v>73361.64</v>
      </c>
      <c r="Q103" s="4">
        <v>54162.46</v>
      </c>
      <c r="R103" s="4">
        <v>97.53</v>
      </c>
      <c r="S103" s="4">
        <v>63258.19</v>
      </c>
      <c r="T103" s="4">
        <v>385167.65</v>
      </c>
    </row>
    <row r="104" spans="1:20">
      <c r="A104" s="3">
        <f t="shared" si="1"/>
        <v>41971</v>
      </c>
      <c r="B104" s="4">
        <v>9735.7000000000007</v>
      </c>
      <c r="C104" s="4">
        <v>2307385.5299999998</v>
      </c>
      <c r="D104" s="4">
        <v>94243.8</v>
      </c>
      <c r="E104" s="4">
        <v>91788.02</v>
      </c>
      <c r="F104" s="4">
        <v>8114.06</v>
      </c>
      <c r="G104" s="4">
        <v>14037.52</v>
      </c>
      <c r="H104" s="4">
        <v>16118.06</v>
      </c>
      <c r="I104" s="4">
        <v>126836.82</v>
      </c>
      <c r="J104" s="4">
        <v>267993.36</v>
      </c>
      <c r="K104" s="4">
        <v>421619.64</v>
      </c>
      <c r="L104" s="4">
        <v>13560.69</v>
      </c>
      <c r="M104" s="4">
        <v>10190.469999999999</v>
      </c>
      <c r="N104" s="4">
        <v>48179.55</v>
      </c>
      <c r="O104" s="4">
        <v>8185.1</v>
      </c>
      <c r="P104" s="4">
        <v>74480.25</v>
      </c>
      <c r="Q104" s="4">
        <v>53717.83</v>
      </c>
      <c r="R104" s="4">
        <v>115.74</v>
      </c>
      <c r="S104" s="4">
        <v>62879.95</v>
      </c>
      <c r="T104" s="4">
        <v>386740.06</v>
      </c>
    </row>
    <row r="105" spans="1:20">
      <c r="A105" s="3">
        <f t="shared" si="1"/>
        <v>41940</v>
      </c>
      <c r="B105" s="4">
        <v>9914.7000000000007</v>
      </c>
      <c r="C105" s="4">
        <v>2280885.38</v>
      </c>
      <c r="D105" s="4">
        <v>93696.4</v>
      </c>
      <c r="E105" s="4">
        <v>93621.03</v>
      </c>
      <c r="F105" s="4">
        <v>8795.91</v>
      </c>
      <c r="G105" s="4">
        <v>12345.86</v>
      </c>
      <c r="H105" s="4">
        <v>15643.82</v>
      </c>
      <c r="I105" s="4">
        <v>130597.86</v>
      </c>
      <c r="J105" s="4">
        <v>270590.28000000003</v>
      </c>
      <c r="K105" s="4">
        <v>424419.66</v>
      </c>
      <c r="L105" s="4">
        <v>12961.96</v>
      </c>
      <c r="M105" s="4">
        <v>10413.950000000001</v>
      </c>
      <c r="N105" s="4">
        <v>48191.49</v>
      </c>
      <c r="O105" s="4">
        <v>8176.59</v>
      </c>
      <c r="P105" s="4">
        <v>76614.570000000007</v>
      </c>
      <c r="Q105" s="4">
        <v>55611.51</v>
      </c>
      <c r="R105" s="4">
        <v>119.14</v>
      </c>
      <c r="S105" s="4">
        <v>63101.09</v>
      </c>
      <c r="T105" s="4">
        <v>369437.99</v>
      </c>
    </row>
    <row r="106" spans="1:20">
      <c r="A106" s="3">
        <f t="shared" si="1"/>
        <v>41910</v>
      </c>
      <c r="B106" s="4">
        <v>10228.75</v>
      </c>
      <c r="C106" s="4">
        <v>2297161.77</v>
      </c>
      <c r="D106" s="4">
        <v>90923.92</v>
      </c>
      <c r="E106" s="4">
        <v>100191.66</v>
      </c>
      <c r="F106" s="4">
        <v>8828.69</v>
      </c>
      <c r="G106" s="4">
        <v>12120.02</v>
      </c>
      <c r="H106" s="4">
        <v>15522.24</v>
      </c>
      <c r="I106" s="4">
        <v>132100.78</v>
      </c>
      <c r="J106" s="4">
        <v>289694.34999999998</v>
      </c>
      <c r="K106" s="4">
        <v>405896.52</v>
      </c>
      <c r="L106" s="4">
        <v>12991.2</v>
      </c>
      <c r="M106" s="4">
        <v>10351.049999999999</v>
      </c>
      <c r="N106" s="4">
        <v>48227.79</v>
      </c>
      <c r="O106" s="4">
        <v>8169.62</v>
      </c>
      <c r="P106" s="4">
        <v>76671.77</v>
      </c>
      <c r="Q106" s="4">
        <v>55581.9</v>
      </c>
      <c r="R106" s="4">
        <v>9.1199999999999992</v>
      </c>
      <c r="S106" s="4">
        <v>63113.42</v>
      </c>
      <c r="T106" s="4">
        <v>370769.59</v>
      </c>
    </row>
    <row r="107" spans="1:20">
      <c r="A107" s="3">
        <f t="shared" si="1"/>
        <v>41879</v>
      </c>
      <c r="B107" s="4">
        <v>9692.9699999999993</v>
      </c>
      <c r="C107" s="4">
        <v>2284918.04</v>
      </c>
      <c r="D107" s="4">
        <v>88156.65</v>
      </c>
      <c r="E107" s="4">
        <v>92765.6</v>
      </c>
      <c r="F107" s="4">
        <v>8621.11</v>
      </c>
      <c r="G107" s="4">
        <v>9975.18</v>
      </c>
      <c r="H107" s="4">
        <v>15101.72</v>
      </c>
      <c r="I107" s="4">
        <v>131871.62</v>
      </c>
      <c r="J107" s="4">
        <v>290496.32</v>
      </c>
      <c r="K107" s="4">
        <v>410302.42</v>
      </c>
      <c r="L107" s="4">
        <v>12804.8</v>
      </c>
      <c r="M107" s="4">
        <v>10243.11</v>
      </c>
      <c r="N107" s="4">
        <v>48236.09</v>
      </c>
      <c r="O107" s="4">
        <v>7997.53</v>
      </c>
      <c r="P107" s="4">
        <v>76422.789999999994</v>
      </c>
      <c r="Q107" s="4">
        <v>55734.04</v>
      </c>
      <c r="R107" s="4">
        <v>-46.64</v>
      </c>
      <c r="S107" s="4">
        <v>63079.27</v>
      </c>
      <c r="T107" s="4">
        <v>376001.25</v>
      </c>
    </row>
    <row r="108" spans="1:20">
      <c r="A108" s="3">
        <f t="shared" si="1"/>
        <v>41848</v>
      </c>
      <c r="B108" s="4">
        <v>9913.42</v>
      </c>
      <c r="C108" s="4">
        <v>2305074.25</v>
      </c>
      <c r="D108" s="4">
        <v>87597.42</v>
      </c>
      <c r="E108" s="4">
        <v>94862.75</v>
      </c>
      <c r="F108" s="4">
        <v>8470.4</v>
      </c>
      <c r="G108" s="4">
        <v>9620.52</v>
      </c>
      <c r="H108" s="4">
        <v>15189.26</v>
      </c>
      <c r="I108" s="4">
        <v>132510.42000000001</v>
      </c>
      <c r="J108" s="4">
        <v>297020.03999999998</v>
      </c>
      <c r="K108" s="4">
        <v>407164.75</v>
      </c>
      <c r="L108" s="4">
        <v>12795.6</v>
      </c>
      <c r="M108" s="4">
        <v>9582.0300000000007</v>
      </c>
      <c r="N108" s="4">
        <v>48222.46</v>
      </c>
      <c r="O108" s="4">
        <v>8090.06</v>
      </c>
      <c r="P108" s="4">
        <v>76486.58</v>
      </c>
      <c r="Q108" s="4">
        <v>55723.83</v>
      </c>
      <c r="R108" s="4">
        <v>-49.67</v>
      </c>
      <c r="S108" s="4">
        <v>63004.63</v>
      </c>
      <c r="T108" s="4">
        <v>358616.28</v>
      </c>
    </row>
    <row r="109" spans="1:20">
      <c r="A109" s="3">
        <f t="shared" si="1"/>
        <v>41818</v>
      </c>
      <c r="B109" s="4">
        <v>10264.9</v>
      </c>
      <c r="C109" s="4">
        <v>2307081.35</v>
      </c>
      <c r="D109" s="4">
        <v>90473.2</v>
      </c>
      <c r="E109" s="4">
        <v>93382.04</v>
      </c>
      <c r="F109" s="4">
        <v>9121.9500000000007</v>
      </c>
      <c r="G109" s="4">
        <v>8321.76</v>
      </c>
      <c r="H109" s="4">
        <v>15358.07</v>
      </c>
      <c r="I109" s="4">
        <v>135800.60999999999</v>
      </c>
      <c r="J109" s="4">
        <v>306516.09000000003</v>
      </c>
      <c r="K109" s="4">
        <v>409072.54</v>
      </c>
      <c r="L109" s="4">
        <v>12628.94</v>
      </c>
      <c r="M109" s="4">
        <v>9542.83</v>
      </c>
      <c r="N109" s="4">
        <v>48226.32</v>
      </c>
      <c r="O109" s="4">
        <v>8011.46</v>
      </c>
      <c r="P109" s="4">
        <v>77335.25</v>
      </c>
      <c r="Q109" s="4">
        <v>55351.51</v>
      </c>
      <c r="R109" s="4">
        <v>-50.68</v>
      </c>
      <c r="S109" s="4">
        <v>62858.18</v>
      </c>
      <c r="T109" s="4">
        <v>361633.67</v>
      </c>
    </row>
    <row r="110" spans="1:20">
      <c r="A110" s="3">
        <f t="shared" si="1"/>
        <v>41787</v>
      </c>
      <c r="B110" s="4">
        <v>10026.23</v>
      </c>
      <c r="C110" s="4">
        <v>2275446.04</v>
      </c>
      <c r="D110" s="4">
        <v>91777.67</v>
      </c>
      <c r="E110" s="4">
        <v>91027.78</v>
      </c>
      <c r="F110" s="4">
        <v>8884.9599999999991</v>
      </c>
      <c r="G110" s="4">
        <v>4993.22</v>
      </c>
      <c r="H110" s="4">
        <v>14788.73</v>
      </c>
      <c r="I110" s="4">
        <v>134226.04</v>
      </c>
      <c r="J110" s="4">
        <v>308815</v>
      </c>
      <c r="K110" s="4">
        <v>413040.81</v>
      </c>
      <c r="L110" s="4">
        <v>12566.55</v>
      </c>
      <c r="M110" s="4">
        <v>9533.8700000000008</v>
      </c>
      <c r="N110" s="4">
        <v>48325.02</v>
      </c>
      <c r="O110" s="4">
        <v>7792.17</v>
      </c>
      <c r="P110" s="4">
        <v>77652.14</v>
      </c>
      <c r="Q110" s="4">
        <v>56096.23</v>
      </c>
      <c r="R110" s="4">
        <v>-53.52</v>
      </c>
      <c r="S110" s="4">
        <v>62853.56</v>
      </c>
      <c r="T110" s="4">
        <v>367705.59</v>
      </c>
    </row>
    <row r="111" spans="1:20">
      <c r="A111" s="3">
        <f t="shared" si="1"/>
        <v>41757</v>
      </c>
      <c r="B111" s="4">
        <v>10791.4</v>
      </c>
      <c r="C111" s="4">
        <v>2293798.65</v>
      </c>
      <c r="D111" s="4">
        <v>86591.6</v>
      </c>
      <c r="E111" s="4">
        <v>87794.03</v>
      </c>
      <c r="F111" s="4">
        <v>8685.81</v>
      </c>
      <c r="G111" s="4">
        <v>7084.81</v>
      </c>
      <c r="H111" s="4">
        <v>14841.48</v>
      </c>
      <c r="I111" s="4">
        <v>138487.16</v>
      </c>
      <c r="J111" s="4">
        <v>315882.39</v>
      </c>
      <c r="K111" s="4">
        <v>414989.67</v>
      </c>
      <c r="L111" s="4">
        <v>12559.64</v>
      </c>
      <c r="M111" s="4">
        <v>9562.9</v>
      </c>
      <c r="N111" s="4">
        <v>48314.74</v>
      </c>
      <c r="O111" s="4">
        <v>7650.35</v>
      </c>
      <c r="P111" s="4">
        <v>77770.429999999993</v>
      </c>
      <c r="Q111" s="4">
        <v>56249.43</v>
      </c>
      <c r="R111" s="4">
        <v>-62.76</v>
      </c>
      <c r="S111" s="4">
        <v>62904.22</v>
      </c>
      <c r="T111" s="4">
        <v>373914.99</v>
      </c>
    </row>
    <row r="112" spans="1:20">
      <c r="A112" s="3">
        <f t="shared" si="1"/>
        <v>41726</v>
      </c>
      <c r="B112" s="4">
        <v>9924.1299999999992</v>
      </c>
      <c r="C112" s="4">
        <v>2322964.81</v>
      </c>
      <c r="D112" s="4">
        <v>90572.34</v>
      </c>
      <c r="E112" s="4">
        <v>90180.83</v>
      </c>
      <c r="F112" s="4">
        <v>8648.7199999999993</v>
      </c>
      <c r="G112" s="4">
        <v>5210.26</v>
      </c>
      <c r="H112" s="4">
        <v>14458.8</v>
      </c>
      <c r="I112" s="4">
        <v>140365.29</v>
      </c>
      <c r="J112" s="4">
        <v>317126.90000000002</v>
      </c>
      <c r="K112" s="4">
        <v>405824.47</v>
      </c>
      <c r="L112" s="4">
        <v>12354.3</v>
      </c>
      <c r="M112" s="4">
        <v>10220.14</v>
      </c>
      <c r="N112" s="4">
        <v>48287.73</v>
      </c>
      <c r="O112" s="4">
        <v>7626.22</v>
      </c>
      <c r="P112" s="4">
        <v>77146.559999999998</v>
      </c>
      <c r="Q112" s="4">
        <v>56540.25</v>
      </c>
      <c r="R112" s="4">
        <v>2.92</v>
      </c>
      <c r="S112" s="4">
        <v>62821.04</v>
      </c>
      <c r="T112" s="4">
        <v>375239.09</v>
      </c>
    </row>
    <row r="113" spans="1:20">
      <c r="A113" s="3">
        <f t="shared" si="1"/>
        <v>41698</v>
      </c>
      <c r="B113" s="4">
        <v>9675.65</v>
      </c>
      <c r="C113" s="4">
        <v>2311488.4500000002</v>
      </c>
      <c r="D113" s="4">
        <v>89899.01</v>
      </c>
      <c r="E113" s="4">
        <v>87010.9</v>
      </c>
      <c r="F113" s="4">
        <v>8304.08</v>
      </c>
      <c r="G113" s="4">
        <v>4407.7299999999996</v>
      </c>
      <c r="H113" s="4">
        <v>13994.75</v>
      </c>
      <c r="I113" s="4">
        <v>142780.43</v>
      </c>
      <c r="J113" s="4">
        <v>341804.31</v>
      </c>
      <c r="K113" s="4">
        <v>402580.03</v>
      </c>
      <c r="L113" s="4">
        <v>12260.84</v>
      </c>
      <c r="M113" s="4">
        <v>9785.7199999999993</v>
      </c>
      <c r="N113" s="4">
        <v>48269.23</v>
      </c>
      <c r="O113" s="4">
        <v>8034.52</v>
      </c>
      <c r="P113" s="4">
        <v>77305.289999999994</v>
      </c>
      <c r="Q113" s="4">
        <v>57221.87</v>
      </c>
      <c r="R113" s="4">
        <v>17.93</v>
      </c>
      <c r="S113" s="4">
        <v>68849.66</v>
      </c>
      <c r="T113" s="4">
        <v>360508.36</v>
      </c>
    </row>
    <row r="114" spans="1:20">
      <c r="A114" s="3">
        <f t="shared" si="1"/>
        <v>41667</v>
      </c>
      <c r="B114" s="4">
        <v>9982.1200000000008</v>
      </c>
      <c r="C114" s="4">
        <v>2309625.83</v>
      </c>
      <c r="D114" s="4">
        <v>91996.97</v>
      </c>
      <c r="E114" s="4">
        <v>92512.320000000007</v>
      </c>
      <c r="F114" s="4">
        <v>21581.73</v>
      </c>
      <c r="G114" s="4">
        <v>4467.63</v>
      </c>
      <c r="H114" s="4">
        <v>14108.26</v>
      </c>
      <c r="I114" s="4">
        <v>143721.64000000001</v>
      </c>
      <c r="J114" s="4">
        <v>343964.77</v>
      </c>
      <c r="K114" s="4">
        <v>393625.42</v>
      </c>
      <c r="L114" s="4">
        <v>12771.88</v>
      </c>
      <c r="M114" s="4">
        <v>10318.200000000001</v>
      </c>
      <c r="N114" s="4">
        <v>48255</v>
      </c>
      <c r="O114" s="4">
        <v>8010.95</v>
      </c>
      <c r="P114" s="4">
        <v>77778.880000000005</v>
      </c>
      <c r="Q114" s="4">
        <v>53993.58</v>
      </c>
      <c r="R114" s="4">
        <v>18.95</v>
      </c>
      <c r="S114" s="4">
        <v>69602.75</v>
      </c>
      <c r="T114" s="4">
        <v>358172.45</v>
      </c>
    </row>
    <row r="115" spans="1:20">
      <c r="A115" s="3">
        <f t="shared" si="1"/>
        <v>41636</v>
      </c>
      <c r="B115" s="4">
        <v>13023.23</v>
      </c>
      <c r="C115" s="4">
        <v>2288649.67</v>
      </c>
      <c r="D115" s="4">
        <v>92699.22</v>
      </c>
      <c r="E115" s="4">
        <v>90167.12</v>
      </c>
      <c r="F115" s="4">
        <v>21397.59</v>
      </c>
      <c r="G115" s="4">
        <v>4993.51</v>
      </c>
      <c r="H115" s="4">
        <v>14066.35</v>
      </c>
      <c r="I115" s="4">
        <v>143281.71</v>
      </c>
      <c r="J115" s="4">
        <v>352419.79</v>
      </c>
      <c r="K115" s="4">
        <v>397641.97</v>
      </c>
      <c r="L115" s="4">
        <v>13143.79</v>
      </c>
      <c r="M115" s="4">
        <v>9968.3799999999992</v>
      </c>
      <c r="N115" s="4">
        <v>48218.720000000001</v>
      </c>
      <c r="O115" s="4">
        <v>8102.81</v>
      </c>
      <c r="P115" s="4">
        <v>79893.56</v>
      </c>
      <c r="Q115" s="4">
        <v>52829.83</v>
      </c>
      <c r="R115" s="4">
        <v>76.19</v>
      </c>
      <c r="S115" s="4">
        <v>69733.429999999993</v>
      </c>
      <c r="T115" s="4">
        <v>337999.76</v>
      </c>
    </row>
    <row r="116" spans="1:20">
      <c r="A116" s="3">
        <f t="shared" si="1"/>
        <v>41606</v>
      </c>
      <c r="B116" s="4">
        <v>9734.52</v>
      </c>
      <c r="C116" s="4">
        <v>2307524.19</v>
      </c>
      <c r="D116" s="4">
        <v>95246.02</v>
      </c>
      <c r="E116" s="4">
        <v>91069.119999999995</v>
      </c>
      <c r="F116" s="4">
        <v>21477.23</v>
      </c>
      <c r="G116" s="4">
        <v>5152.05</v>
      </c>
      <c r="H116" s="4">
        <v>14341.43</v>
      </c>
      <c r="I116" s="4">
        <v>145237.32999999999</v>
      </c>
      <c r="J116" s="4">
        <v>356851.68</v>
      </c>
      <c r="K116" s="4">
        <v>413967.27</v>
      </c>
      <c r="L116" s="4">
        <v>12729.33</v>
      </c>
      <c r="M116" s="4">
        <v>10122.69</v>
      </c>
      <c r="N116" s="4">
        <v>48216.75</v>
      </c>
      <c r="O116" s="4">
        <v>7835.19</v>
      </c>
      <c r="P116" s="4">
        <v>78744.06</v>
      </c>
      <c r="Q116" s="4">
        <v>53262.27</v>
      </c>
      <c r="R116" s="4">
        <v>100</v>
      </c>
      <c r="S116" s="4">
        <v>69510.64</v>
      </c>
      <c r="T116" s="4">
        <v>357243.38</v>
      </c>
    </row>
    <row r="117" spans="1:20">
      <c r="A117" s="3">
        <f t="shared" si="1"/>
        <v>41575</v>
      </c>
      <c r="B117" s="4">
        <v>10339.459999999999</v>
      </c>
      <c r="C117" s="4">
        <v>2304172.96</v>
      </c>
      <c r="D117" s="4">
        <v>100052.96</v>
      </c>
      <c r="E117" s="4">
        <v>99104.31</v>
      </c>
      <c r="F117" s="4">
        <v>21471.919999999998</v>
      </c>
      <c r="G117" s="4">
        <v>5670.27</v>
      </c>
      <c r="H117" s="4">
        <v>14443.62</v>
      </c>
      <c r="I117" s="4">
        <v>145611.63</v>
      </c>
      <c r="J117" s="4">
        <v>361693.52</v>
      </c>
      <c r="K117" s="4">
        <v>411099.56</v>
      </c>
      <c r="L117" s="4">
        <v>12215.74</v>
      </c>
      <c r="M117" s="4">
        <v>10089.86</v>
      </c>
      <c r="N117" s="4">
        <v>48207.65</v>
      </c>
      <c r="O117" s="4">
        <v>8023.11</v>
      </c>
      <c r="P117" s="4">
        <v>79185.64</v>
      </c>
      <c r="Q117" s="4">
        <v>53242.59</v>
      </c>
      <c r="R117" s="4">
        <v>101.1</v>
      </c>
      <c r="S117" s="4">
        <v>69379.61</v>
      </c>
      <c r="T117" s="4">
        <v>360889.98</v>
      </c>
    </row>
    <row r="118" spans="1:20">
      <c r="A118" s="3">
        <f t="shared" si="1"/>
        <v>41545</v>
      </c>
      <c r="B118" s="4">
        <v>10407.379999999999</v>
      </c>
      <c r="C118" s="4">
        <v>2310439.65</v>
      </c>
      <c r="D118" s="4">
        <v>99957.98</v>
      </c>
      <c r="E118" s="4">
        <v>99040.48</v>
      </c>
      <c r="F118" s="4">
        <v>21237.18</v>
      </c>
      <c r="G118" s="4">
        <v>5666.86</v>
      </c>
      <c r="H118" s="4">
        <v>14334.5</v>
      </c>
      <c r="I118" s="4">
        <v>147873.87</v>
      </c>
      <c r="J118" s="4">
        <v>363551.85</v>
      </c>
      <c r="K118" s="4">
        <v>407493.75</v>
      </c>
      <c r="L118" s="4">
        <v>12924.8</v>
      </c>
      <c r="M118" s="4">
        <v>9624.99</v>
      </c>
      <c r="N118" s="4">
        <v>48210.02</v>
      </c>
      <c r="O118" s="4">
        <v>7886.86</v>
      </c>
      <c r="P118" s="4">
        <v>79946.490000000005</v>
      </c>
      <c r="Q118" s="4">
        <v>55251.75</v>
      </c>
      <c r="R118" s="4">
        <v>87.7</v>
      </c>
      <c r="S118" s="4">
        <v>70822.75</v>
      </c>
      <c r="T118" s="4">
        <v>351750.16</v>
      </c>
    </row>
    <row r="119" spans="1:20">
      <c r="A119" s="3">
        <f t="shared" si="1"/>
        <v>41514</v>
      </c>
      <c r="B119" s="4">
        <v>9905.75</v>
      </c>
      <c r="C119" s="4">
        <v>2300744.5</v>
      </c>
      <c r="D119" s="4">
        <v>98015.88</v>
      </c>
      <c r="E119" s="4">
        <v>95188.28</v>
      </c>
      <c r="F119" s="4">
        <v>21133.54</v>
      </c>
      <c r="G119" s="4">
        <v>4490.47</v>
      </c>
      <c r="H119" s="4">
        <v>14680.53</v>
      </c>
      <c r="I119" s="4">
        <v>148464.89000000001</v>
      </c>
      <c r="J119" s="4">
        <v>368984.16</v>
      </c>
      <c r="K119" s="4">
        <v>410137.01</v>
      </c>
      <c r="L119" s="4">
        <v>13025.16</v>
      </c>
      <c r="M119" s="4">
        <v>9217.89</v>
      </c>
      <c r="N119" s="4">
        <v>48180.78</v>
      </c>
      <c r="O119" s="4">
        <v>7796.44</v>
      </c>
      <c r="P119" s="4">
        <v>78671.59</v>
      </c>
      <c r="Q119" s="4">
        <v>56367.73</v>
      </c>
      <c r="R119" s="4">
        <v>85.66</v>
      </c>
      <c r="S119" s="4">
        <v>70825.22</v>
      </c>
      <c r="T119" s="4">
        <v>350583.67</v>
      </c>
    </row>
    <row r="120" spans="1:20">
      <c r="A120" s="3">
        <f t="shared" si="1"/>
        <v>41483</v>
      </c>
      <c r="B120" s="4">
        <v>10451.43</v>
      </c>
      <c r="C120" s="4">
        <v>2304650.3199999998</v>
      </c>
      <c r="D120" s="4">
        <v>102225.59</v>
      </c>
      <c r="E120" s="4">
        <v>98235.54</v>
      </c>
      <c r="F120" s="4">
        <v>21280.28</v>
      </c>
      <c r="G120" s="4">
        <v>4035.23</v>
      </c>
      <c r="H120" s="4">
        <v>14851.14</v>
      </c>
      <c r="I120" s="4">
        <v>147160</v>
      </c>
      <c r="J120" s="4">
        <v>371442.51</v>
      </c>
      <c r="K120" s="4">
        <v>411325.13</v>
      </c>
      <c r="L120" s="4">
        <v>13176.16</v>
      </c>
      <c r="M120" s="4">
        <v>9253.5300000000007</v>
      </c>
      <c r="N120" s="4">
        <v>48194.49</v>
      </c>
      <c r="O120" s="4">
        <v>7639.97</v>
      </c>
      <c r="P120" s="4">
        <v>78618.41</v>
      </c>
      <c r="Q120" s="4">
        <v>56477.1</v>
      </c>
      <c r="R120" s="4">
        <v>74.28</v>
      </c>
      <c r="S120" s="4">
        <v>70784.28</v>
      </c>
      <c r="T120" s="4">
        <v>360393.47</v>
      </c>
    </row>
    <row r="121" spans="1:20">
      <c r="A121" s="3">
        <f t="shared" si="1"/>
        <v>41453</v>
      </c>
      <c r="B121" s="4">
        <v>10152.36</v>
      </c>
      <c r="C121" s="4">
        <v>2319191.2599999998</v>
      </c>
      <c r="D121" s="4">
        <v>102565.95</v>
      </c>
      <c r="E121" s="4">
        <v>104167.9</v>
      </c>
      <c r="F121" s="4">
        <v>20989.01</v>
      </c>
      <c r="G121" s="4">
        <v>3852.64</v>
      </c>
      <c r="H121" s="4">
        <v>14910.32</v>
      </c>
      <c r="I121" s="4">
        <v>146667.29999999999</v>
      </c>
      <c r="J121" s="4">
        <v>373072.36</v>
      </c>
      <c r="K121" s="4">
        <v>415312.7</v>
      </c>
      <c r="L121" s="4">
        <v>12966.62</v>
      </c>
      <c r="M121" s="4">
        <v>9146.7999999999993</v>
      </c>
      <c r="N121" s="4">
        <v>48202.19</v>
      </c>
      <c r="O121" s="4">
        <v>7873.02</v>
      </c>
      <c r="P121" s="4">
        <v>78189.429999999993</v>
      </c>
      <c r="Q121" s="4">
        <v>56501.63</v>
      </c>
      <c r="R121" s="4">
        <v>73.92</v>
      </c>
      <c r="S121" s="4">
        <v>70658.58</v>
      </c>
      <c r="T121" s="4">
        <v>366581.75</v>
      </c>
    </row>
    <row r="122" spans="1:20">
      <c r="A122" s="3">
        <f t="shared" si="1"/>
        <v>41422</v>
      </c>
      <c r="B122" s="4">
        <v>10214.719999999999</v>
      </c>
      <c r="C122" s="4">
        <v>2343088.2599999998</v>
      </c>
      <c r="D122" s="4">
        <v>102347.79</v>
      </c>
      <c r="E122" s="4">
        <v>104249.31</v>
      </c>
      <c r="F122" s="4">
        <v>20973.279999999999</v>
      </c>
      <c r="G122" s="4">
        <v>4135.45</v>
      </c>
      <c r="H122" s="4">
        <v>14815.32</v>
      </c>
      <c r="I122" s="4">
        <v>142962.42000000001</v>
      </c>
      <c r="J122" s="4">
        <v>371087.06</v>
      </c>
      <c r="K122" s="4">
        <v>408859.66</v>
      </c>
      <c r="L122" s="4">
        <v>12822.52</v>
      </c>
      <c r="M122" s="4">
        <v>9403.5400000000009</v>
      </c>
      <c r="N122" s="4">
        <v>48237.86</v>
      </c>
      <c r="O122" s="4">
        <v>7969.32</v>
      </c>
      <c r="P122" s="4">
        <v>78631.83</v>
      </c>
      <c r="Q122" s="4">
        <v>56649.25</v>
      </c>
      <c r="R122" s="4">
        <v>74.11</v>
      </c>
      <c r="S122" s="4">
        <v>70458.92</v>
      </c>
      <c r="T122" s="4">
        <v>389302.07</v>
      </c>
    </row>
    <row r="123" spans="1:20">
      <c r="A123" s="3">
        <f t="shared" si="1"/>
        <v>41392</v>
      </c>
      <c r="B123" s="4">
        <v>10741.24</v>
      </c>
      <c r="C123" s="4">
        <v>2355885.42</v>
      </c>
      <c r="D123" s="4">
        <v>111290.11</v>
      </c>
      <c r="E123" s="4">
        <v>109975.29</v>
      </c>
      <c r="F123" s="4">
        <v>20748.87</v>
      </c>
      <c r="G123" s="4">
        <v>3602.65</v>
      </c>
      <c r="H123" s="4">
        <v>14727.31</v>
      </c>
      <c r="I123" s="4">
        <v>140783.26999999999</v>
      </c>
      <c r="J123" s="4">
        <v>369828.21</v>
      </c>
      <c r="K123" s="4">
        <v>391723.68</v>
      </c>
      <c r="L123" s="4">
        <v>12695.61</v>
      </c>
      <c r="M123" s="4">
        <v>10305.24</v>
      </c>
      <c r="N123" s="4">
        <v>48205.69</v>
      </c>
      <c r="O123" s="4">
        <v>7861.77</v>
      </c>
      <c r="P123" s="4">
        <v>78206.12</v>
      </c>
      <c r="Q123" s="4">
        <v>57627.11</v>
      </c>
      <c r="R123" s="4">
        <v>73.69</v>
      </c>
      <c r="S123" s="4">
        <v>70275.009999999995</v>
      </c>
      <c r="T123" s="4">
        <v>411196.86</v>
      </c>
    </row>
    <row r="124" spans="1:20">
      <c r="A124" s="3">
        <f t="shared" si="1"/>
        <v>41361</v>
      </c>
      <c r="B124" s="4">
        <v>10529.49</v>
      </c>
      <c r="C124" s="4">
        <v>2354169.16</v>
      </c>
      <c r="D124" s="4">
        <v>110377.42</v>
      </c>
      <c r="E124" s="4">
        <v>107844.43</v>
      </c>
      <c r="F124" s="4">
        <v>20752.400000000001</v>
      </c>
      <c r="G124" s="4">
        <v>4071.3</v>
      </c>
      <c r="H124" s="4">
        <v>15193.84</v>
      </c>
      <c r="I124" s="4">
        <v>146192.32000000001</v>
      </c>
      <c r="J124" s="4">
        <v>369291.65</v>
      </c>
      <c r="K124" s="4">
        <v>376606.85</v>
      </c>
      <c r="L124" s="4">
        <v>12782.01</v>
      </c>
      <c r="M124" s="4">
        <v>9087.2000000000007</v>
      </c>
      <c r="N124" s="4">
        <v>48196.41</v>
      </c>
      <c r="O124" s="4">
        <v>7913.87</v>
      </c>
      <c r="P124" s="4">
        <v>77580.84</v>
      </c>
      <c r="Q124" s="4">
        <v>59474.2</v>
      </c>
      <c r="R124" s="4">
        <v>85.99</v>
      </c>
      <c r="S124" s="4">
        <v>70257.259999999995</v>
      </c>
      <c r="T124" s="4">
        <v>412556.16</v>
      </c>
    </row>
    <row r="125" spans="1:20">
      <c r="A125" s="3">
        <f t="shared" si="1"/>
        <v>41333</v>
      </c>
      <c r="B125" s="4">
        <v>9933.76</v>
      </c>
      <c r="C125" s="4">
        <v>2377063.14</v>
      </c>
      <c r="D125" s="4">
        <v>108218.91</v>
      </c>
      <c r="E125" s="4">
        <v>102728.9</v>
      </c>
      <c r="F125" s="4">
        <v>20727.3</v>
      </c>
      <c r="G125" s="4">
        <v>4784.03</v>
      </c>
      <c r="H125" s="4">
        <v>15852.19</v>
      </c>
      <c r="I125" s="4">
        <v>139762.41</v>
      </c>
      <c r="J125" s="4">
        <v>376433.79</v>
      </c>
      <c r="K125" s="4">
        <v>365299.9</v>
      </c>
      <c r="L125" s="4">
        <v>12957.99</v>
      </c>
      <c r="M125" s="4">
        <v>9117.65</v>
      </c>
      <c r="N125" s="4">
        <v>48172.66</v>
      </c>
      <c r="O125" s="4">
        <v>7808.09</v>
      </c>
      <c r="P125" s="4">
        <v>75941.240000000005</v>
      </c>
      <c r="Q125" s="4">
        <v>59571.46</v>
      </c>
      <c r="R125" s="4">
        <v>85.82</v>
      </c>
      <c r="S125" s="4">
        <v>72057.22</v>
      </c>
      <c r="T125" s="4">
        <v>407200.35</v>
      </c>
    </row>
    <row r="126" spans="1:20">
      <c r="A126" s="3">
        <f t="shared" si="1"/>
        <v>41302</v>
      </c>
      <c r="B126" s="4">
        <v>10221.92</v>
      </c>
      <c r="C126" s="4">
        <v>2353419.19</v>
      </c>
      <c r="D126" s="4">
        <v>113242.78</v>
      </c>
      <c r="E126" s="4">
        <v>104150.31</v>
      </c>
      <c r="F126" s="4">
        <v>20822.259999999998</v>
      </c>
      <c r="G126" s="4">
        <v>4322.37</v>
      </c>
      <c r="H126" s="4">
        <v>16051.81</v>
      </c>
      <c r="I126" s="4">
        <v>142709.88</v>
      </c>
      <c r="J126" s="4">
        <v>377875.9</v>
      </c>
      <c r="K126" s="4">
        <v>364434.62</v>
      </c>
      <c r="L126" s="4">
        <v>13045.26</v>
      </c>
      <c r="M126" s="4">
        <v>9117.91</v>
      </c>
      <c r="N126" s="4">
        <v>48169.91</v>
      </c>
      <c r="O126" s="4">
        <v>8830.5499999999993</v>
      </c>
      <c r="P126" s="4">
        <v>76596.570000000007</v>
      </c>
      <c r="Q126" s="4">
        <v>59889.13</v>
      </c>
      <c r="R126" s="4">
        <v>84.41</v>
      </c>
      <c r="S126" s="4">
        <v>71965.289999999994</v>
      </c>
      <c r="T126" s="4">
        <v>388115.11</v>
      </c>
    </row>
    <row r="127" spans="1:20">
      <c r="A127" s="3">
        <f t="shared" si="1"/>
        <v>41271</v>
      </c>
      <c r="B127" s="4">
        <v>13359.64</v>
      </c>
      <c r="C127" s="4">
        <v>2356373.2000000002</v>
      </c>
      <c r="D127" s="4">
        <v>113169.4</v>
      </c>
      <c r="E127" s="4">
        <v>107785.23</v>
      </c>
      <c r="F127" s="4">
        <v>23410</v>
      </c>
      <c r="G127" s="4">
        <v>4205.34</v>
      </c>
      <c r="H127" s="4">
        <v>16364.86</v>
      </c>
      <c r="I127" s="4">
        <v>147148.94</v>
      </c>
      <c r="J127" s="4">
        <v>381996.58</v>
      </c>
      <c r="K127" s="4">
        <v>344861.55</v>
      </c>
      <c r="L127" s="4">
        <v>12672.79</v>
      </c>
      <c r="M127" s="4">
        <v>8696.2999999999993</v>
      </c>
      <c r="N127" s="4">
        <v>48165.42</v>
      </c>
      <c r="O127" s="4">
        <v>8994.6</v>
      </c>
      <c r="P127" s="4">
        <v>76199.100000000006</v>
      </c>
      <c r="Q127" s="4">
        <v>57683.45</v>
      </c>
      <c r="R127" s="4">
        <v>127.48</v>
      </c>
      <c r="S127" s="4">
        <v>72008.37</v>
      </c>
      <c r="T127" s="4">
        <v>417792.48</v>
      </c>
    </row>
    <row r="128" spans="1:20">
      <c r="A128" s="3">
        <f t="shared" si="1"/>
        <v>41241</v>
      </c>
      <c r="B128" s="4">
        <v>10422.629999999999</v>
      </c>
      <c r="C128" s="4">
        <v>2391402.46</v>
      </c>
      <c r="D128" s="4">
        <v>106534.93</v>
      </c>
      <c r="E128" s="4">
        <v>105032.4</v>
      </c>
      <c r="F128" s="4">
        <v>25478.66</v>
      </c>
      <c r="G128" s="4">
        <v>4283.75</v>
      </c>
      <c r="H128" s="4">
        <v>16777.57</v>
      </c>
      <c r="I128" s="4">
        <v>141790</v>
      </c>
      <c r="J128" s="4">
        <v>377695.72</v>
      </c>
      <c r="K128" s="4">
        <v>358320</v>
      </c>
      <c r="L128" s="4">
        <v>12792.03</v>
      </c>
      <c r="M128" s="4">
        <v>15050</v>
      </c>
      <c r="N128" s="4">
        <v>48175.35</v>
      </c>
      <c r="O128" s="4">
        <v>8918</v>
      </c>
      <c r="P128" s="4">
        <v>73820</v>
      </c>
      <c r="Q128" s="4">
        <v>58573.96</v>
      </c>
      <c r="R128" s="4">
        <v>238.81</v>
      </c>
      <c r="S128" s="4">
        <v>71763.75</v>
      </c>
      <c r="T128" s="4">
        <v>419974.49</v>
      </c>
    </row>
    <row r="129" spans="1:20">
      <c r="A129" s="3">
        <f t="shared" si="1"/>
        <v>41210</v>
      </c>
      <c r="B129" s="4">
        <v>10596.97</v>
      </c>
      <c r="C129" s="4">
        <v>2377039.7999999998</v>
      </c>
      <c r="D129" s="4">
        <v>110444.56</v>
      </c>
      <c r="E129" s="4">
        <v>109366.61</v>
      </c>
      <c r="F129" s="4">
        <v>25436.44</v>
      </c>
      <c r="G129" s="4">
        <v>4189.2700000000004</v>
      </c>
      <c r="H129" s="4">
        <v>16540.13</v>
      </c>
      <c r="I129" s="4">
        <v>142976.32000000001</v>
      </c>
      <c r="J129" s="4">
        <v>378176.22</v>
      </c>
      <c r="K129" s="4">
        <v>354017.23</v>
      </c>
      <c r="L129" s="4">
        <v>12608.11</v>
      </c>
      <c r="M129" s="4">
        <v>14785</v>
      </c>
      <c r="N129" s="4">
        <v>48151</v>
      </c>
      <c r="O129" s="4">
        <v>8967.27</v>
      </c>
      <c r="P129" s="4">
        <v>67834</v>
      </c>
      <c r="Q129" s="4">
        <v>59038.04</v>
      </c>
      <c r="R129" s="4">
        <v>323.12</v>
      </c>
      <c r="S129" s="4">
        <v>71637.83</v>
      </c>
      <c r="T129" s="4">
        <v>412256.28</v>
      </c>
    </row>
    <row r="130" spans="1:20">
      <c r="A130" s="3">
        <f t="shared" si="1"/>
        <v>41180</v>
      </c>
      <c r="B130" s="4">
        <v>10275.209999999999</v>
      </c>
      <c r="C130" s="4">
        <v>2399185.09</v>
      </c>
      <c r="D130" s="4">
        <v>111973.62</v>
      </c>
      <c r="E130" s="4">
        <v>109384.4</v>
      </c>
      <c r="F130" s="4">
        <v>25636.720000000001</v>
      </c>
      <c r="G130" s="4">
        <v>3631.5</v>
      </c>
      <c r="H130" s="4">
        <v>16728.14</v>
      </c>
      <c r="I130" s="4">
        <v>139934.84</v>
      </c>
      <c r="J130" s="4">
        <v>379186.86</v>
      </c>
      <c r="K130" s="4">
        <v>341436.72</v>
      </c>
      <c r="L130" s="4">
        <v>12861.24</v>
      </c>
      <c r="M130" s="4">
        <v>14961</v>
      </c>
      <c r="N130" s="4">
        <v>48136.25</v>
      </c>
      <c r="O130" s="4">
        <v>9019.68</v>
      </c>
      <c r="P130" s="4">
        <v>66936</v>
      </c>
      <c r="Q130" s="4">
        <v>58924.95</v>
      </c>
      <c r="R130" s="4">
        <v>313.08</v>
      </c>
      <c r="S130" s="4">
        <v>71488.34</v>
      </c>
      <c r="T130" s="4">
        <v>419446.23</v>
      </c>
    </row>
    <row r="131" spans="1:20">
      <c r="A131" s="3">
        <f t="shared" si="1"/>
        <v>41149</v>
      </c>
      <c r="B131" s="4">
        <v>10428.719999999999</v>
      </c>
      <c r="C131" s="4">
        <v>2366229.96</v>
      </c>
      <c r="D131" s="4">
        <v>114177.26</v>
      </c>
      <c r="E131" s="4">
        <v>108989.68</v>
      </c>
      <c r="F131" s="4">
        <v>25125.87</v>
      </c>
      <c r="G131" s="4">
        <v>4086.67</v>
      </c>
      <c r="H131" s="4">
        <v>16939.78</v>
      </c>
      <c r="I131" s="4">
        <v>143172.04999999999</v>
      </c>
      <c r="J131" s="4">
        <v>377745.39</v>
      </c>
      <c r="K131" s="4">
        <v>330624.38</v>
      </c>
      <c r="L131" s="4">
        <v>13529.53</v>
      </c>
      <c r="M131" s="4">
        <v>15532</v>
      </c>
      <c r="N131" s="4">
        <v>48129.41</v>
      </c>
      <c r="O131" s="4">
        <v>8968.7800000000007</v>
      </c>
      <c r="P131" s="4">
        <v>64451</v>
      </c>
      <c r="Q131" s="4">
        <v>59864.98</v>
      </c>
      <c r="R131" s="4">
        <v>335.39</v>
      </c>
      <c r="S131" s="4">
        <v>71420.69</v>
      </c>
      <c r="T131" s="4">
        <v>445053.6</v>
      </c>
    </row>
    <row r="132" spans="1:20">
      <c r="A132" s="3">
        <f t="shared" si="1"/>
        <v>41118</v>
      </c>
      <c r="B132" s="4">
        <v>10737.65</v>
      </c>
      <c r="C132" s="4">
        <v>2378614.0699999998</v>
      </c>
      <c r="D132" s="4">
        <v>118322.86</v>
      </c>
      <c r="E132" s="4">
        <v>107844</v>
      </c>
      <c r="F132" s="4">
        <v>25244.46</v>
      </c>
      <c r="G132" s="4">
        <v>4441.59</v>
      </c>
      <c r="H132" s="4">
        <v>17167.740000000002</v>
      </c>
      <c r="I132" s="4">
        <v>138165.48000000001</v>
      </c>
      <c r="J132" s="4">
        <v>375245.61</v>
      </c>
      <c r="K132" s="4">
        <v>331476.88</v>
      </c>
      <c r="L132" s="4">
        <v>13789.75</v>
      </c>
      <c r="M132" s="4">
        <v>15298</v>
      </c>
      <c r="N132" s="4">
        <v>48116.71</v>
      </c>
      <c r="O132" s="4">
        <v>9109.73</v>
      </c>
      <c r="P132" s="4">
        <v>64323</v>
      </c>
      <c r="Q132" s="4">
        <v>59518.57</v>
      </c>
      <c r="R132" s="4">
        <v>334.94</v>
      </c>
      <c r="S132" s="4">
        <v>71421.42</v>
      </c>
      <c r="T132" s="4">
        <v>452257.32</v>
      </c>
    </row>
    <row r="133" spans="1:20">
      <c r="A133" s="3">
        <f t="shared" si="1"/>
        <v>41088</v>
      </c>
      <c r="B133" s="4">
        <v>10280.709999999999</v>
      </c>
      <c r="C133" s="4">
        <v>2371009.56</v>
      </c>
      <c r="D133" s="4">
        <v>116820.63</v>
      </c>
      <c r="E133" s="4">
        <v>111409.25</v>
      </c>
      <c r="F133" s="4">
        <v>25767.99</v>
      </c>
      <c r="G133" s="4">
        <v>4732.9799999999996</v>
      </c>
      <c r="H133" s="4">
        <v>17762.689999999999</v>
      </c>
      <c r="I133" s="4">
        <v>140769.04999999999</v>
      </c>
      <c r="J133" s="4">
        <v>360542.56</v>
      </c>
      <c r="K133" s="4">
        <v>329595.12</v>
      </c>
      <c r="L133" s="4">
        <v>14197.53</v>
      </c>
      <c r="M133" s="4">
        <v>15638</v>
      </c>
      <c r="N133" s="4">
        <v>48117.96</v>
      </c>
      <c r="O133" s="4">
        <v>8801.8799999999992</v>
      </c>
      <c r="P133" s="4">
        <v>64550</v>
      </c>
      <c r="Q133" s="4">
        <v>59735.49</v>
      </c>
      <c r="R133" s="4">
        <v>767.38</v>
      </c>
      <c r="S133" s="4">
        <v>71195.210000000006</v>
      </c>
      <c r="T133" s="4">
        <v>423721.71</v>
      </c>
    </row>
    <row r="134" spans="1:20">
      <c r="A134" s="3">
        <f t="shared" ref="A134:A197" si="2">EDATE(A133,-1)</f>
        <v>41057</v>
      </c>
      <c r="B134" s="4">
        <v>10128.31</v>
      </c>
      <c r="C134" s="4">
        <v>2364585.83</v>
      </c>
      <c r="D134" s="4">
        <v>110652.59</v>
      </c>
      <c r="E134" s="4">
        <v>111835.12</v>
      </c>
      <c r="F134" s="4">
        <v>26498.5</v>
      </c>
      <c r="G134" s="4">
        <v>5089.0200000000004</v>
      </c>
      <c r="H134" s="4">
        <v>18407.84</v>
      </c>
      <c r="I134" s="4">
        <v>138049.60000000001</v>
      </c>
      <c r="J134" s="4">
        <v>349355.33</v>
      </c>
      <c r="K134" s="4">
        <v>316818.90000000002</v>
      </c>
      <c r="L134" s="4">
        <v>14919.04</v>
      </c>
      <c r="M134" s="4">
        <v>15786</v>
      </c>
      <c r="N134" s="4">
        <v>48130.93</v>
      </c>
      <c r="O134" s="4">
        <v>8491.02</v>
      </c>
      <c r="P134" s="4">
        <v>65718.7</v>
      </c>
      <c r="Q134" s="4">
        <v>59768.1</v>
      </c>
      <c r="R134" s="4">
        <v>769.7</v>
      </c>
      <c r="S134" s="4">
        <v>72556.42</v>
      </c>
      <c r="T134" s="4">
        <v>465055</v>
      </c>
    </row>
    <row r="135" spans="1:20">
      <c r="A135" s="3">
        <f t="shared" si="2"/>
        <v>41027</v>
      </c>
      <c r="B135" s="4">
        <v>10821.18</v>
      </c>
      <c r="C135" s="4">
        <v>2371011.67</v>
      </c>
      <c r="D135" s="4">
        <v>111470.96</v>
      </c>
      <c r="E135" s="4">
        <v>101850.92</v>
      </c>
      <c r="F135" s="4">
        <v>27156.57</v>
      </c>
      <c r="G135" s="4">
        <v>5369.83</v>
      </c>
      <c r="H135" s="4">
        <v>18735.98</v>
      </c>
      <c r="I135" s="4">
        <v>149808.34</v>
      </c>
      <c r="J135" s="4">
        <v>344086.67</v>
      </c>
      <c r="K135" s="4">
        <v>309239.5</v>
      </c>
      <c r="L135" s="4">
        <v>15221.53</v>
      </c>
      <c r="M135" s="4">
        <v>17229</v>
      </c>
      <c r="N135" s="4">
        <v>48145.27</v>
      </c>
      <c r="O135" s="4">
        <v>9679.2900000000009</v>
      </c>
      <c r="P135" s="4">
        <v>64431</v>
      </c>
      <c r="Q135" s="4">
        <v>60010.01</v>
      </c>
      <c r="R135" s="4">
        <v>757.95</v>
      </c>
      <c r="S135" s="4">
        <v>72400.53</v>
      </c>
      <c r="T135" s="4">
        <v>432594</v>
      </c>
    </row>
    <row r="136" spans="1:20">
      <c r="A136" s="3">
        <f t="shared" si="2"/>
        <v>40996</v>
      </c>
      <c r="B136" s="4">
        <v>9763.24</v>
      </c>
      <c r="C136" s="4">
        <v>2364443.35</v>
      </c>
      <c r="D136" s="4">
        <v>110339.22</v>
      </c>
      <c r="E136" s="4">
        <v>102237.04</v>
      </c>
      <c r="F136" s="4">
        <v>29235.06</v>
      </c>
      <c r="G136" s="4">
        <v>5749.49</v>
      </c>
      <c r="H136" s="4">
        <v>18997.990000000002</v>
      </c>
      <c r="I136" s="4">
        <v>147674.93</v>
      </c>
      <c r="J136" s="4">
        <v>350402.87</v>
      </c>
      <c r="K136" s="4">
        <v>304886.23</v>
      </c>
      <c r="L136" s="4">
        <v>15751.24</v>
      </c>
      <c r="M136" s="4">
        <v>15944</v>
      </c>
      <c r="N136" s="4">
        <v>48135.35</v>
      </c>
      <c r="O136" s="4">
        <v>9677.2199999999993</v>
      </c>
      <c r="P136" s="4">
        <v>64706</v>
      </c>
      <c r="Q136" s="4">
        <v>60393.27</v>
      </c>
      <c r="R136" s="4">
        <v>759.51</v>
      </c>
      <c r="S136" s="4">
        <v>72481.11</v>
      </c>
      <c r="T136" s="4">
        <v>407687</v>
      </c>
    </row>
    <row r="137" spans="1:20">
      <c r="A137" s="3">
        <f t="shared" si="2"/>
        <v>40967</v>
      </c>
      <c r="B137" s="4">
        <v>9888.9</v>
      </c>
      <c r="C137" s="4">
        <v>2347342.2000000002</v>
      </c>
      <c r="D137" s="4">
        <v>104858.77</v>
      </c>
      <c r="E137" s="4">
        <v>97934.26</v>
      </c>
      <c r="F137" s="4">
        <v>29156.32</v>
      </c>
      <c r="G137" s="4">
        <v>5628.94</v>
      </c>
      <c r="H137" s="4">
        <v>19079.02</v>
      </c>
      <c r="I137" s="4">
        <v>162821.37</v>
      </c>
      <c r="J137" s="4">
        <v>347800.81</v>
      </c>
      <c r="K137" s="4">
        <v>281710.01</v>
      </c>
      <c r="L137" s="4">
        <v>16626.36</v>
      </c>
      <c r="M137" s="4">
        <v>15814</v>
      </c>
      <c r="N137" s="4">
        <v>48198.93</v>
      </c>
      <c r="O137" s="4">
        <v>10399.709999999999</v>
      </c>
      <c r="P137" s="4">
        <v>65124</v>
      </c>
      <c r="Q137" s="4">
        <v>63246.09</v>
      </c>
      <c r="R137" s="4">
        <v>679.01</v>
      </c>
      <c r="S137" s="4">
        <v>77064.31</v>
      </c>
      <c r="T137" s="4">
        <v>410693</v>
      </c>
    </row>
    <row r="138" spans="1:20">
      <c r="A138" s="3">
        <f t="shared" si="2"/>
        <v>40936</v>
      </c>
      <c r="B138" s="4">
        <v>10344.36</v>
      </c>
      <c r="C138" s="4">
        <v>2367914.89</v>
      </c>
      <c r="D138" s="4">
        <v>103810.03</v>
      </c>
      <c r="E138" s="4">
        <v>98675.23</v>
      </c>
      <c r="F138" s="4">
        <v>29753.23</v>
      </c>
      <c r="G138" s="4">
        <v>5054.91</v>
      </c>
      <c r="H138" s="4">
        <v>21371.94</v>
      </c>
      <c r="I138" s="4">
        <v>158927.10999999999</v>
      </c>
      <c r="J138" s="4">
        <v>327535.45</v>
      </c>
      <c r="K138" s="4">
        <v>252223.07</v>
      </c>
      <c r="L138" s="4">
        <v>15750.66</v>
      </c>
      <c r="M138" s="4">
        <v>15823.6</v>
      </c>
      <c r="N138" s="4">
        <v>48181.94</v>
      </c>
      <c r="O138" s="4">
        <v>11362.21</v>
      </c>
      <c r="P138" s="4">
        <v>66928.7</v>
      </c>
      <c r="Q138" s="4">
        <v>67977</v>
      </c>
      <c r="R138" s="4">
        <v>680.31</v>
      </c>
      <c r="S138" s="4">
        <v>82621.45</v>
      </c>
      <c r="T138" s="4">
        <v>400899</v>
      </c>
    </row>
    <row r="139" spans="1:20">
      <c r="A139" s="3">
        <f t="shared" si="2"/>
        <v>40905</v>
      </c>
      <c r="B139" s="4">
        <v>11514.53</v>
      </c>
      <c r="C139" s="4">
        <v>2374568.73</v>
      </c>
      <c r="D139" s="4">
        <v>114347.06</v>
      </c>
      <c r="E139" s="4">
        <v>100093.85</v>
      </c>
      <c r="F139" s="4">
        <v>28184.77</v>
      </c>
      <c r="G139" s="4">
        <v>5327.91</v>
      </c>
      <c r="H139" s="4">
        <v>23221.88</v>
      </c>
      <c r="I139" s="4">
        <v>150958.44</v>
      </c>
      <c r="J139" s="4">
        <v>295009.06</v>
      </c>
      <c r="K139" s="4">
        <v>224115.47</v>
      </c>
      <c r="L139" s="4">
        <v>17969.77</v>
      </c>
      <c r="M139" s="4">
        <v>15983</v>
      </c>
      <c r="N139" s="4">
        <v>48172.43</v>
      </c>
      <c r="O139" s="4">
        <v>10478.01</v>
      </c>
      <c r="P139" s="4">
        <v>67969</v>
      </c>
      <c r="Q139" s="4">
        <v>67873.95</v>
      </c>
      <c r="R139" s="4">
        <v>679.66</v>
      </c>
      <c r="S139" s="4">
        <v>84239.02</v>
      </c>
      <c r="T139" s="4">
        <v>394040.97</v>
      </c>
    </row>
    <row r="140" spans="1:20">
      <c r="A140" s="3">
        <f t="shared" si="2"/>
        <v>40875</v>
      </c>
      <c r="B140" s="4">
        <v>10442.709999999999</v>
      </c>
      <c r="C140" s="4">
        <v>2397265.42</v>
      </c>
      <c r="D140" s="4">
        <v>110443.62</v>
      </c>
      <c r="E140" s="4">
        <v>94527.34</v>
      </c>
      <c r="F140" s="4">
        <v>28118.82</v>
      </c>
      <c r="G140" s="4">
        <v>5332.21</v>
      </c>
      <c r="H140" s="4">
        <v>23354.12</v>
      </c>
      <c r="I140" s="4">
        <v>147778.01</v>
      </c>
      <c r="J140" s="4">
        <v>242715.45</v>
      </c>
      <c r="K140" s="4">
        <v>219131.74</v>
      </c>
      <c r="L140" s="4">
        <v>17217.75</v>
      </c>
      <c r="M140" s="4">
        <v>16229.3</v>
      </c>
      <c r="N140" s="4">
        <v>48219.93</v>
      </c>
      <c r="O140" s="4">
        <v>10271.36</v>
      </c>
      <c r="P140" s="4">
        <v>66701.33</v>
      </c>
      <c r="Q140" s="4">
        <v>77124.69</v>
      </c>
      <c r="R140" s="4">
        <v>748.11</v>
      </c>
      <c r="S140" s="4">
        <v>83327.78</v>
      </c>
      <c r="T140" s="4">
        <v>385967.12</v>
      </c>
    </row>
    <row r="141" spans="1:20">
      <c r="A141" s="3">
        <f t="shared" si="2"/>
        <v>40844</v>
      </c>
      <c r="B141" s="4">
        <v>10324.049999999999</v>
      </c>
      <c r="C141" s="4">
        <v>2389931.1</v>
      </c>
      <c r="D141" s="4">
        <v>114736.86</v>
      </c>
      <c r="E141" s="4">
        <v>93552.11</v>
      </c>
      <c r="F141" s="4">
        <v>28349.56</v>
      </c>
      <c r="G141" s="4">
        <v>5569.11</v>
      </c>
      <c r="H141" s="4">
        <v>21147.53</v>
      </c>
      <c r="I141" s="4">
        <v>143987.15</v>
      </c>
      <c r="J141" s="4">
        <v>236742.5</v>
      </c>
      <c r="K141" s="4">
        <v>223294.14</v>
      </c>
      <c r="L141" s="4">
        <v>15176.8</v>
      </c>
      <c r="M141" s="4">
        <v>16800.37</v>
      </c>
      <c r="N141" s="4">
        <v>48262.83</v>
      </c>
      <c r="O141" s="4">
        <v>10421.120000000001</v>
      </c>
      <c r="P141" s="4">
        <v>66346.63</v>
      </c>
      <c r="Q141" s="4">
        <v>77707.990000000005</v>
      </c>
      <c r="R141" s="4">
        <v>740.55</v>
      </c>
      <c r="S141" s="4">
        <v>83217.119999999995</v>
      </c>
      <c r="T141" s="4">
        <v>360414.66</v>
      </c>
    </row>
    <row r="142" spans="1:20">
      <c r="A142" s="3">
        <f t="shared" si="2"/>
        <v>40814</v>
      </c>
      <c r="B142" s="4">
        <v>10066.68</v>
      </c>
      <c r="C142" s="4">
        <v>2390147.89</v>
      </c>
      <c r="D142" s="4">
        <v>114582.19</v>
      </c>
      <c r="E142" s="4">
        <v>95210.07</v>
      </c>
      <c r="F142" s="4">
        <v>28565.39</v>
      </c>
      <c r="G142" s="4">
        <v>5961.5</v>
      </c>
      <c r="H142" s="4">
        <v>21593</v>
      </c>
      <c r="I142" s="4">
        <v>133997.03</v>
      </c>
      <c r="J142" s="4">
        <v>237451.26</v>
      </c>
      <c r="K142" s="4">
        <v>225280.94</v>
      </c>
      <c r="L142" s="4">
        <v>15154.03</v>
      </c>
      <c r="M142" s="4">
        <v>16219.98</v>
      </c>
      <c r="N142" s="4">
        <v>48308.62</v>
      </c>
      <c r="O142" s="4">
        <v>11508.9</v>
      </c>
      <c r="P142" s="4">
        <v>66649.23</v>
      </c>
      <c r="Q142" s="4">
        <v>77604.399999999994</v>
      </c>
      <c r="R142" s="4">
        <v>702.72</v>
      </c>
      <c r="S142" s="4">
        <v>83121.320000000007</v>
      </c>
      <c r="T142" s="4">
        <v>369322.15</v>
      </c>
    </row>
    <row r="143" spans="1:20">
      <c r="A143" s="3">
        <f t="shared" si="2"/>
        <v>40783</v>
      </c>
      <c r="B143" s="4">
        <v>9874.08</v>
      </c>
      <c r="C143" s="4">
        <v>2348509.86</v>
      </c>
      <c r="D143" s="4">
        <v>100065.03</v>
      </c>
      <c r="E143" s="4">
        <v>91008.21</v>
      </c>
      <c r="F143" s="4">
        <v>28986.57</v>
      </c>
      <c r="G143" s="4">
        <v>7019.92</v>
      </c>
      <c r="H143" s="4">
        <v>21383.18</v>
      </c>
      <c r="I143" s="4">
        <v>134570.79</v>
      </c>
      <c r="J143" s="4">
        <v>227978.32</v>
      </c>
      <c r="K143" s="4">
        <v>226945.9</v>
      </c>
      <c r="L143" s="4">
        <v>15590.29</v>
      </c>
      <c r="M143" s="4">
        <v>17215.240000000002</v>
      </c>
      <c r="N143" s="4">
        <v>48390.559999999998</v>
      </c>
      <c r="O143" s="4">
        <v>10754.57</v>
      </c>
      <c r="P143" s="4">
        <v>67314.14</v>
      </c>
      <c r="Q143" s="4">
        <v>77575.02</v>
      </c>
      <c r="R143" s="4">
        <v>940.15</v>
      </c>
      <c r="S143" s="4">
        <v>83059.320000000007</v>
      </c>
      <c r="T143" s="4">
        <v>328446.52</v>
      </c>
    </row>
    <row r="144" spans="1:20">
      <c r="A144" s="3">
        <f t="shared" si="2"/>
        <v>40752</v>
      </c>
      <c r="B144" s="4">
        <v>10347.780000000001</v>
      </c>
      <c r="C144" s="4">
        <v>2349802.5099999998</v>
      </c>
      <c r="D144" s="4">
        <v>103278.75</v>
      </c>
      <c r="E144" s="4">
        <v>87549.41</v>
      </c>
      <c r="F144" s="4">
        <v>29069.91</v>
      </c>
      <c r="G144" s="4">
        <v>7741.22</v>
      </c>
      <c r="H144" s="4">
        <v>21489.98</v>
      </c>
      <c r="I144" s="4">
        <v>131404.9</v>
      </c>
      <c r="J144" s="4">
        <v>220221.52</v>
      </c>
      <c r="K144" s="4">
        <v>219564.2</v>
      </c>
      <c r="L144" s="4">
        <v>16233.68</v>
      </c>
      <c r="M144" s="4">
        <v>17395.23</v>
      </c>
      <c r="N144" s="4">
        <v>48644.13</v>
      </c>
      <c r="O144" s="4">
        <v>11650.66</v>
      </c>
      <c r="P144" s="4">
        <v>68146.12</v>
      </c>
      <c r="Q144" s="4">
        <v>77851.12</v>
      </c>
      <c r="R144" s="4">
        <v>841.51</v>
      </c>
      <c r="S144" s="4">
        <v>83196.89</v>
      </c>
      <c r="T144" s="4">
        <v>309484.07</v>
      </c>
    </row>
    <row r="145" spans="1:20">
      <c r="A145" s="3">
        <f t="shared" si="2"/>
        <v>40722</v>
      </c>
      <c r="B145" s="4">
        <v>10256.94</v>
      </c>
      <c r="C145" s="4">
        <v>2357196.7200000002</v>
      </c>
      <c r="D145" s="4">
        <v>99929.47</v>
      </c>
      <c r="E145" s="4">
        <v>84180.36</v>
      </c>
      <c r="F145" s="4">
        <v>29692.51</v>
      </c>
      <c r="G145" s="4">
        <v>7272.48</v>
      </c>
      <c r="H145" s="4">
        <v>21315.09</v>
      </c>
      <c r="I145" s="4">
        <v>133770.23000000001</v>
      </c>
      <c r="J145" s="4">
        <v>217409.21</v>
      </c>
      <c r="K145" s="4">
        <v>213353.22</v>
      </c>
      <c r="L145" s="4">
        <v>16519.18</v>
      </c>
      <c r="M145" s="4">
        <v>17298</v>
      </c>
      <c r="N145" s="4">
        <v>48264.639999999999</v>
      </c>
      <c r="O145" s="4">
        <v>10998.21</v>
      </c>
      <c r="P145" s="4">
        <v>70256.350000000006</v>
      </c>
      <c r="Q145" s="4">
        <v>78021.2</v>
      </c>
      <c r="R145" s="4">
        <v>889.81</v>
      </c>
      <c r="S145" s="4">
        <v>83170.02</v>
      </c>
      <c r="T145" s="4">
        <v>279648</v>
      </c>
    </row>
    <row r="146" spans="1:20">
      <c r="A146" s="3">
        <f t="shared" si="2"/>
        <v>40691</v>
      </c>
      <c r="B146" s="4">
        <v>10349.23</v>
      </c>
      <c r="C146" s="4">
        <v>2358927.31</v>
      </c>
      <c r="D146" s="4">
        <v>98402.2</v>
      </c>
      <c r="E146" s="4">
        <v>83076.289999999994</v>
      </c>
      <c r="F146" s="4">
        <v>29206.04</v>
      </c>
      <c r="G146" s="4">
        <v>6150.34</v>
      </c>
      <c r="H146" s="4">
        <v>21438.53</v>
      </c>
      <c r="I146" s="4">
        <v>134116.42000000001</v>
      </c>
      <c r="J146" s="4">
        <v>215987.88</v>
      </c>
      <c r="K146" s="4">
        <v>206988.62</v>
      </c>
      <c r="L146" s="4">
        <v>16943.3</v>
      </c>
      <c r="M146" s="4">
        <v>17353.07</v>
      </c>
      <c r="N146" s="4">
        <v>48558.37</v>
      </c>
      <c r="O146" s="4">
        <v>11945.38</v>
      </c>
      <c r="P146" s="4">
        <v>76177.240000000005</v>
      </c>
      <c r="Q146" s="4">
        <v>79635.91</v>
      </c>
      <c r="R146" s="4">
        <v>912.77</v>
      </c>
      <c r="S146" s="4">
        <v>84463.05</v>
      </c>
      <c r="T146" s="4">
        <v>291100.34999999998</v>
      </c>
    </row>
    <row r="147" spans="1:20">
      <c r="A147" s="3">
        <f t="shared" si="2"/>
        <v>40661</v>
      </c>
      <c r="B147" s="4">
        <v>10386.1</v>
      </c>
      <c r="C147" s="4">
        <v>2342099.16</v>
      </c>
      <c r="D147" s="4">
        <v>105906.15</v>
      </c>
      <c r="E147" s="4">
        <v>80631.73</v>
      </c>
      <c r="F147" s="4">
        <v>28031.83</v>
      </c>
      <c r="G147" s="4">
        <v>5721.84</v>
      </c>
      <c r="H147" s="4">
        <v>21694.11</v>
      </c>
      <c r="I147" s="4">
        <v>141383.59</v>
      </c>
      <c r="J147" s="4">
        <v>210554.48</v>
      </c>
      <c r="K147" s="4">
        <v>199576.88</v>
      </c>
      <c r="L147" s="4">
        <v>16829.310000000001</v>
      </c>
      <c r="M147" s="4">
        <v>19113.57</v>
      </c>
      <c r="N147" s="4">
        <v>48950.45</v>
      </c>
      <c r="O147" s="4">
        <v>11760.69</v>
      </c>
      <c r="P147" s="4">
        <v>71284.789999999994</v>
      </c>
      <c r="Q147" s="4">
        <v>78758.5</v>
      </c>
      <c r="R147" s="4">
        <v>948.84</v>
      </c>
      <c r="S147" s="4">
        <v>84311.79</v>
      </c>
      <c r="T147" s="4">
        <v>278445.46999999997</v>
      </c>
    </row>
    <row r="148" spans="1:20">
      <c r="A148" s="3">
        <f t="shared" si="2"/>
        <v>40630</v>
      </c>
      <c r="B148" s="4">
        <v>9570.8799999999992</v>
      </c>
      <c r="C148" s="4">
        <v>2343411.1</v>
      </c>
      <c r="D148" s="4">
        <v>110531.94</v>
      </c>
      <c r="E148" s="4">
        <v>80961.399999999994</v>
      </c>
      <c r="F148" s="4">
        <v>25648.51</v>
      </c>
      <c r="G148" s="4">
        <v>5912.81</v>
      </c>
      <c r="H148" s="4">
        <v>21429</v>
      </c>
      <c r="I148" s="4">
        <v>142536.13</v>
      </c>
      <c r="J148" s="4">
        <v>211112.71</v>
      </c>
      <c r="K148" s="4">
        <v>198409.55</v>
      </c>
      <c r="L148" s="4">
        <v>16784.88</v>
      </c>
      <c r="M148" s="4">
        <v>17548.310000000001</v>
      </c>
      <c r="N148" s="4">
        <v>48540.27</v>
      </c>
      <c r="O148" s="4">
        <v>11706.14</v>
      </c>
      <c r="P148" s="4">
        <v>69999.58</v>
      </c>
      <c r="Q148" s="4">
        <v>78324.94</v>
      </c>
      <c r="R148" s="4">
        <v>1073.83</v>
      </c>
      <c r="S148" s="4">
        <v>84124.62</v>
      </c>
      <c r="T148" s="4">
        <v>277802.03000000003</v>
      </c>
    </row>
    <row r="149" spans="1:20">
      <c r="A149" s="3">
        <f t="shared" si="2"/>
        <v>40602</v>
      </c>
      <c r="B149" s="4">
        <v>9710.27</v>
      </c>
      <c r="C149" s="4">
        <v>2358159.48</v>
      </c>
      <c r="D149" s="4">
        <v>106969.42</v>
      </c>
      <c r="E149" s="4">
        <v>77723.570000000007</v>
      </c>
      <c r="F149" s="4">
        <v>26114.06</v>
      </c>
      <c r="G149" s="4">
        <v>5898.5</v>
      </c>
      <c r="H149" s="4">
        <v>20649.990000000002</v>
      </c>
      <c r="I149" s="4">
        <v>150889.26</v>
      </c>
      <c r="J149" s="4">
        <v>204654.16</v>
      </c>
      <c r="K149" s="4">
        <v>204366.04</v>
      </c>
      <c r="L149" s="4">
        <v>16987.689999999999</v>
      </c>
      <c r="M149" s="4">
        <v>17100.560000000001</v>
      </c>
      <c r="N149" s="4">
        <v>48784.73</v>
      </c>
      <c r="O149" s="4">
        <v>11476.7</v>
      </c>
      <c r="P149" s="4">
        <v>69387.47</v>
      </c>
      <c r="Q149" s="4">
        <v>78065.63</v>
      </c>
      <c r="R149" s="4">
        <v>874.64</v>
      </c>
      <c r="S149" s="4">
        <v>84097.73</v>
      </c>
      <c r="T149" s="4">
        <v>293448.69</v>
      </c>
    </row>
    <row r="150" spans="1:20">
      <c r="A150" s="3">
        <f t="shared" si="2"/>
        <v>40571</v>
      </c>
      <c r="B150" s="4">
        <v>10080.08</v>
      </c>
      <c r="C150" s="4">
        <v>2342198.04</v>
      </c>
      <c r="D150" s="4">
        <v>107185.85</v>
      </c>
      <c r="E150" s="4">
        <v>79039.62</v>
      </c>
      <c r="F150" s="4">
        <v>26559.49</v>
      </c>
      <c r="G150" s="4">
        <v>6356.73</v>
      </c>
      <c r="H150" s="4">
        <v>20549.740000000002</v>
      </c>
      <c r="I150" s="4">
        <v>146958.26999999999</v>
      </c>
      <c r="J150" s="4">
        <v>206135.61</v>
      </c>
      <c r="K150" s="4">
        <v>212356.78</v>
      </c>
      <c r="L150" s="4">
        <v>17420.13</v>
      </c>
      <c r="M150" s="4">
        <v>17602.849999999999</v>
      </c>
      <c r="N150" s="4">
        <v>48456.65</v>
      </c>
      <c r="O150" s="4">
        <v>11534.54</v>
      </c>
      <c r="P150" s="4">
        <v>69016.91</v>
      </c>
      <c r="Q150" s="4">
        <v>77627.75</v>
      </c>
      <c r="R150" s="4">
        <v>807.18</v>
      </c>
      <c r="S150" s="4">
        <v>84157.62</v>
      </c>
      <c r="T150" s="4">
        <v>294379.27</v>
      </c>
    </row>
    <row r="151" spans="1:20">
      <c r="A151" s="3">
        <f t="shared" si="2"/>
        <v>40540</v>
      </c>
      <c r="B151" s="4">
        <v>11155.12</v>
      </c>
      <c r="C151" s="4">
        <v>2318427.64</v>
      </c>
      <c r="D151" s="4">
        <v>107289.69</v>
      </c>
      <c r="E151" s="4">
        <v>75019.34</v>
      </c>
      <c r="F151" s="4">
        <v>26376.48</v>
      </c>
      <c r="G151" s="4">
        <v>6502.09</v>
      </c>
      <c r="H151" s="4">
        <v>20425.490000000002</v>
      </c>
      <c r="I151" s="4">
        <v>149311.85</v>
      </c>
      <c r="J151" s="4">
        <v>207030.57</v>
      </c>
      <c r="K151" s="4">
        <v>208235.5</v>
      </c>
      <c r="L151" s="4">
        <v>17560.5</v>
      </c>
      <c r="M151" s="4">
        <v>15447.78</v>
      </c>
      <c r="N151" s="4">
        <v>48412.79</v>
      </c>
      <c r="O151" s="4">
        <v>11535.05</v>
      </c>
      <c r="P151" s="4">
        <v>71814.42</v>
      </c>
      <c r="Q151" s="4">
        <v>74436.320000000007</v>
      </c>
      <c r="R151" s="4">
        <v>809.88</v>
      </c>
      <c r="S151" s="4">
        <v>84021.53</v>
      </c>
      <c r="T151" s="4">
        <v>305078.67</v>
      </c>
    </row>
    <row r="152" spans="1:20">
      <c r="A152" s="3">
        <f t="shared" si="2"/>
        <v>40510</v>
      </c>
      <c r="B152" s="4">
        <v>10161.209999999999</v>
      </c>
      <c r="C152" s="4">
        <v>2316117.4700000002</v>
      </c>
      <c r="D152" s="4">
        <v>101626.52</v>
      </c>
      <c r="E152" s="4">
        <v>73935.05</v>
      </c>
      <c r="F152" s="4">
        <v>26370.98</v>
      </c>
      <c r="G152" s="4">
        <v>6775.8</v>
      </c>
      <c r="H152" s="4">
        <v>20749.29</v>
      </c>
      <c r="I152" s="4">
        <v>146613.6</v>
      </c>
      <c r="J152" s="4">
        <v>206322.58</v>
      </c>
      <c r="K152" s="4">
        <v>210980.45</v>
      </c>
      <c r="L152" s="4">
        <v>18437.810000000001</v>
      </c>
      <c r="M152" s="4">
        <v>15337</v>
      </c>
      <c r="N152" s="4">
        <v>48505.67</v>
      </c>
      <c r="O152" s="4">
        <v>12387.76</v>
      </c>
      <c r="P152" s="4">
        <v>70868</v>
      </c>
      <c r="Q152" s="4">
        <v>74463</v>
      </c>
      <c r="R152" s="4">
        <v>882.95</v>
      </c>
      <c r="S152" s="4">
        <v>83058.52</v>
      </c>
      <c r="T152" s="4">
        <v>344551.64</v>
      </c>
    </row>
    <row r="153" spans="1:20">
      <c r="A153" s="3">
        <f t="shared" si="2"/>
        <v>40479</v>
      </c>
      <c r="B153" s="4">
        <v>9011.32</v>
      </c>
      <c r="C153" s="4">
        <v>2431805.94</v>
      </c>
      <c r="D153" s="4">
        <v>101230.27</v>
      </c>
      <c r="E153" s="4">
        <v>75892.990000000005</v>
      </c>
      <c r="F153" s="4">
        <v>26790.85</v>
      </c>
      <c r="G153" s="4">
        <v>7204.58</v>
      </c>
      <c r="H153" s="4">
        <v>21207.87</v>
      </c>
      <c r="I153" s="4">
        <v>142449.38</v>
      </c>
      <c r="J153" s="4">
        <v>209188.5</v>
      </c>
      <c r="K153" s="4">
        <v>206117.1</v>
      </c>
      <c r="L153" s="4">
        <v>18315.16</v>
      </c>
      <c r="M153" s="4">
        <v>15565</v>
      </c>
      <c r="N153" s="4">
        <v>48511.02</v>
      </c>
      <c r="O153" s="4">
        <v>11683.79</v>
      </c>
      <c r="P153" s="4">
        <v>68108</v>
      </c>
      <c r="Q153" s="4">
        <v>89207</v>
      </c>
      <c r="R153" s="4">
        <v>963.77</v>
      </c>
      <c r="S153" s="4">
        <v>82480.3</v>
      </c>
      <c r="T153" s="4">
        <v>349738.51</v>
      </c>
    </row>
    <row r="154" spans="1:20">
      <c r="A154" s="3">
        <f t="shared" si="2"/>
        <v>40449</v>
      </c>
      <c r="B154" s="4">
        <v>9670.5400000000009</v>
      </c>
      <c r="C154" s="4">
        <v>2447334.75</v>
      </c>
      <c r="D154" s="4">
        <v>102421.13</v>
      </c>
      <c r="E154" s="4">
        <v>75921.759999999995</v>
      </c>
      <c r="F154" s="4">
        <v>27880.91</v>
      </c>
      <c r="G154" s="4">
        <v>7051.75</v>
      </c>
      <c r="H154" s="4">
        <v>21593</v>
      </c>
      <c r="I154" s="4">
        <v>145525.43</v>
      </c>
      <c r="J154" s="4">
        <v>216065.86</v>
      </c>
      <c r="K154" s="4">
        <v>206116.14</v>
      </c>
      <c r="L154" s="4">
        <v>18820.27</v>
      </c>
      <c r="M154" s="4">
        <v>15170</v>
      </c>
      <c r="N154" s="4">
        <v>48481.78</v>
      </c>
      <c r="O154" s="4">
        <v>11261.25</v>
      </c>
      <c r="P154" s="4">
        <v>69292</v>
      </c>
      <c r="Q154" s="4">
        <v>89260</v>
      </c>
      <c r="R154" s="4">
        <v>1087.3800000000001</v>
      </c>
      <c r="S154" s="4">
        <v>82410.52</v>
      </c>
      <c r="T154" s="4">
        <v>363827.48</v>
      </c>
    </row>
    <row r="155" spans="1:20">
      <c r="A155" s="3">
        <f t="shared" si="2"/>
        <v>40418</v>
      </c>
      <c r="B155" s="4">
        <v>9722.5</v>
      </c>
      <c r="C155" s="4">
        <v>2422752.5</v>
      </c>
      <c r="D155" s="4">
        <v>103320.57</v>
      </c>
      <c r="E155" s="4">
        <v>77338.14</v>
      </c>
      <c r="F155" s="4">
        <v>26858.400000000001</v>
      </c>
      <c r="G155" s="4">
        <v>7138</v>
      </c>
      <c r="H155" s="4">
        <v>21700.85</v>
      </c>
      <c r="I155" s="4">
        <v>141160.48000000001</v>
      </c>
      <c r="J155" s="4">
        <v>216355.95</v>
      </c>
      <c r="K155" s="4">
        <v>205476.62</v>
      </c>
      <c r="L155" s="4">
        <v>19103.189999999999</v>
      </c>
      <c r="M155" s="4">
        <v>16854</v>
      </c>
      <c r="N155" s="4">
        <v>48324.52</v>
      </c>
      <c r="O155" s="4">
        <v>11330.31</v>
      </c>
      <c r="P155" s="4">
        <v>65095</v>
      </c>
      <c r="Q155" s="4">
        <v>89222</v>
      </c>
      <c r="R155" s="4">
        <v>1176.83</v>
      </c>
      <c r="S155" s="4">
        <v>82188.14</v>
      </c>
      <c r="T155" s="4">
        <v>391662.06</v>
      </c>
    </row>
    <row r="156" spans="1:20">
      <c r="A156" s="3">
        <f t="shared" si="2"/>
        <v>40387</v>
      </c>
      <c r="B156" s="4">
        <v>9832.42</v>
      </c>
      <c r="C156" s="4">
        <v>2425118.2799999998</v>
      </c>
      <c r="D156" s="4">
        <v>111618.78</v>
      </c>
      <c r="E156" s="4">
        <v>72779.759999999995</v>
      </c>
      <c r="F156" s="4">
        <v>26486.51</v>
      </c>
      <c r="G156" s="4">
        <v>7414.13</v>
      </c>
      <c r="H156" s="4">
        <v>22124.44</v>
      </c>
      <c r="I156" s="4">
        <v>142730.32999999999</v>
      </c>
      <c r="J156" s="4">
        <v>215095.62</v>
      </c>
      <c r="K156" s="4">
        <v>209293.65</v>
      </c>
      <c r="L156" s="4">
        <v>18883.54</v>
      </c>
      <c r="M156" s="4">
        <v>17210</v>
      </c>
      <c r="N156" s="4">
        <v>48562.73</v>
      </c>
      <c r="O156" s="4">
        <v>11169.99</v>
      </c>
      <c r="P156" s="4">
        <v>64522</v>
      </c>
      <c r="Q156" s="4">
        <v>89433</v>
      </c>
      <c r="R156" s="4">
        <v>1083.8599999999999</v>
      </c>
      <c r="S156" s="4">
        <v>82080.009999999995</v>
      </c>
      <c r="T156" s="4">
        <v>345111.98</v>
      </c>
    </row>
    <row r="157" spans="1:20">
      <c r="A157" s="3">
        <f t="shared" si="2"/>
        <v>40357</v>
      </c>
      <c r="B157" s="4">
        <v>10347.76</v>
      </c>
      <c r="C157" s="4">
        <v>2438980.7000000002</v>
      </c>
      <c r="D157" s="4">
        <v>112718.62</v>
      </c>
      <c r="E157" s="4">
        <v>71899.55</v>
      </c>
      <c r="F157" s="4">
        <v>25948.54</v>
      </c>
      <c r="G157" s="4">
        <v>6748.59</v>
      </c>
      <c r="H157" s="4">
        <v>22369.31</v>
      </c>
      <c r="I157" s="4">
        <v>146151.01999999999</v>
      </c>
      <c r="J157" s="4">
        <v>210759.76</v>
      </c>
      <c r="K157" s="4">
        <v>209899.1</v>
      </c>
      <c r="L157" s="4">
        <v>18754.5</v>
      </c>
      <c r="M157" s="4">
        <v>16093</v>
      </c>
      <c r="N157" s="4">
        <v>48421.15</v>
      </c>
      <c r="O157" s="4">
        <v>11167.82</v>
      </c>
      <c r="P157" s="4">
        <v>64928</v>
      </c>
      <c r="Q157" s="4">
        <v>88454</v>
      </c>
      <c r="R157" s="4">
        <v>1117.78</v>
      </c>
      <c r="S157" s="4">
        <v>81919.100000000006</v>
      </c>
      <c r="T157" s="4">
        <v>357299.36</v>
      </c>
    </row>
    <row r="158" spans="1:20">
      <c r="A158" s="3">
        <f t="shared" si="2"/>
        <v>40326</v>
      </c>
      <c r="B158" s="4">
        <v>9744.16</v>
      </c>
      <c r="C158" s="4">
        <v>2365973.56</v>
      </c>
      <c r="D158" s="4">
        <v>119410.7</v>
      </c>
      <c r="E158" s="4">
        <v>70774.38</v>
      </c>
      <c r="F158" s="4">
        <v>25572.74</v>
      </c>
      <c r="G158" s="4">
        <v>5774.65</v>
      </c>
      <c r="H158" s="4">
        <v>23737.27</v>
      </c>
      <c r="I158" s="4">
        <v>62130.61</v>
      </c>
      <c r="J158" s="4">
        <v>210535.5</v>
      </c>
      <c r="K158" s="4">
        <v>205318.29</v>
      </c>
      <c r="L158" s="4">
        <v>18857.8</v>
      </c>
      <c r="M158" s="4">
        <v>16027</v>
      </c>
      <c r="N158" s="4">
        <v>48907.17</v>
      </c>
      <c r="O158" s="4">
        <v>11535.89</v>
      </c>
      <c r="P158" s="4">
        <v>73144</v>
      </c>
      <c r="Q158" s="4">
        <v>90969</v>
      </c>
      <c r="R158" s="4">
        <v>903.55</v>
      </c>
      <c r="S158" s="4">
        <v>81468.28</v>
      </c>
      <c r="T158" s="4">
        <v>379521.68</v>
      </c>
    </row>
    <row r="159" spans="1:20">
      <c r="A159" s="3">
        <f t="shared" si="2"/>
        <v>40296</v>
      </c>
      <c r="B159" s="4">
        <v>9329.0499999999993</v>
      </c>
      <c r="C159" s="4">
        <v>2353988.69</v>
      </c>
      <c r="D159" s="4">
        <v>116717.66</v>
      </c>
      <c r="E159" s="4">
        <v>68570.789999999994</v>
      </c>
      <c r="F159" s="4">
        <v>25619.25</v>
      </c>
      <c r="G159" s="4">
        <v>6401.04</v>
      </c>
      <c r="H159" s="4">
        <v>24396.799999999999</v>
      </c>
      <c r="I159" s="4">
        <v>61179.22</v>
      </c>
      <c r="J159" s="4">
        <v>209241.17</v>
      </c>
      <c r="K159" s="4">
        <v>192493.17</v>
      </c>
      <c r="L159" s="4">
        <v>18995.650000000001</v>
      </c>
      <c r="M159" s="4">
        <v>16152</v>
      </c>
      <c r="N159" s="4">
        <v>50774.879999999997</v>
      </c>
      <c r="O159" s="4">
        <v>11267.06</v>
      </c>
      <c r="P159" s="4">
        <v>65272</v>
      </c>
      <c r="Q159" s="4">
        <v>88503</v>
      </c>
      <c r="R159" s="4">
        <v>1056.56</v>
      </c>
      <c r="S159" s="4">
        <v>81226.509999999995</v>
      </c>
      <c r="T159" s="4">
        <v>340507.77</v>
      </c>
    </row>
    <row r="160" spans="1:20">
      <c r="A160" s="3">
        <f t="shared" si="2"/>
        <v>40265</v>
      </c>
      <c r="B160" s="4">
        <v>9519.91</v>
      </c>
      <c r="C160" s="4">
        <v>2352358.71</v>
      </c>
      <c r="D160" s="4">
        <v>112331.01</v>
      </c>
      <c r="E160" s="4">
        <v>66279.97</v>
      </c>
      <c r="F160" s="4">
        <v>26283.19</v>
      </c>
      <c r="G160" s="4">
        <v>6545.14</v>
      </c>
      <c r="H160" s="4">
        <v>24544.25</v>
      </c>
      <c r="I160" s="4">
        <v>61813.24</v>
      </c>
      <c r="J160" s="4">
        <v>210869.16</v>
      </c>
      <c r="K160" s="4">
        <v>185177.78</v>
      </c>
      <c r="L160" s="4">
        <v>19406.599999999999</v>
      </c>
      <c r="M160" s="4">
        <v>16563</v>
      </c>
      <c r="N160" s="4">
        <v>49535.67</v>
      </c>
      <c r="O160" s="4">
        <v>11285.28</v>
      </c>
      <c r="P160" s="4">
        <v>64561</v>
      </c>
      <c r="Q160" s="4">
        <v>88437</v>
      </c>
      <c r="R160" s="4">
        <v>1007.19</v>
      </c>
      <c r="S160" s="4">
        <v>81517.52</v>
      </c>
      <c r="T160" s="4">
        <v>327685.56</v>
      </c>
    </row>
    <row r="161" spans="1:20">
      <c r="A161" s="3">
        <f t="shared" si="2"/>
        <v>40237</v>
      </c>
      <c r="B161" s="4">
        <v>9057.59</v>
      </c>
      <c r="C161" s="4">
        <v>2354176.83</v>
      </c>
      <c r="D161" s="4">
        <v>116789.93</v>
      </c>
      <c r="E161" s="4">
        <v>66062.570000000007</v>
      </c>
      <c r="F161" s="4">
        <v>25885.39</v>
      </c>
      <c r="G161" s="4">
        <v>6711.74</v>
      </c>
      <c r="H161" s="4">
        <v>24058.62</v>
      </c>
      <c r="I161" s="4">
        <v>62108.47</v>
      </c>
      <c r="J161" s="4">
        <v>210143.94</v>
      </c>
      <c r="K161" s="4">
        <v>177515.45</v>
      </c>
      <c r="L161" s="4">
        <v>19029.36</v>
      </c>
      <c r="M161" s="4">
        <v>16169</v>
      </c>
      <c r="N161" s="4">
        <v>47142.95</v>
      </c>
      <c r="O161" s="4">
        <v>10929.72</v>
      </c>
      <c r="P161" s="4">
        <v>64024</v>
      </c>
      <c r="Q161" s="4">
        <v>88030</v>
      </c>
      <c r="R161" s="4">
        <v>1240.6199999999999</v>
      </c>
      <c r="S161" s="4">
        <v>81619.289999999994</v>
      </c>
      <c r="T161" s="4">
        <v>337798.52</v>
      </c>
    </row>
    <row r="162" spans="1:20">
      <c r="A162" s="3">
        <f t="shared" si="2"/>
        <v>40206</v>
      </c>
      <c r="B162" s="4">
        <v>9387.91</v>
      </c>
      <c r="C162" s="4">
        <v>2357249.8199999998</v>
      </c>
      <c r="D162" s="4">
        <v>124299.74</v>
      </c>
      <c r="E162" s="4">
        <v>62822.17</v>
      </c>
      <c r="F162" s="4">
        <v>26376.799999999999</v>
      </c>
      <c r="G162" s="4">
        <v>6813.78</v>
      </c>
      <c r="H162" s="4">
        <v>23898.58</v>
      </c>
      <c r="I162" s="4">
        <v>62936.88</v>
      </c>
      <c r="J162" s="4">
        <v>209228.05</v>
      </c>
      <c r="K162" s="4">
        <v>169599.8</v>
      </c>
      <c r="L162" s="4">
        <v>19171.14</v>
      </c>
      <c r="M162" s="4">
        <v>15381</v>
      </c>
      <c r="N162" s="4">
        <v>48783.61</v>
      </c>
      <c r="O162" s="4">
        <v>10830.58</v>
      </c>
      <c r="P162" s="4">
        <v>64172</v>
      </c>
      <c r="Q162" s="4">
        <v>88136</v>
      </c>
      <c r="R162" s="4">
        <v>1174.3599999999999</v>
      </c>
      <c r="S162" s="4">
        <v>81599.89</v>
      </c>
      <c r="T162" s="4">
        <v>327286.59000000003</v>
      </c>
    </row>
    <row r="163" spans="1:20">
      <c r="A163" s="3">
        <f t="shared" si="2"/>
        <v>40175</v>
      </c>
      <c r="B163" s="4">
        <v>11646.69</v>
      </c>
      <c r="C163" s="4">
        <v>2374453.6800000002</v>
      </c>
      <c r="D163" s="4">
        <v>112370.5</v>
      </c>
      <c r="E163" s="4">
        <v>62905.58</v>
      </c>
      <c r="F163" s="4">
        <v>26102.639999999999</v>
      </c>
      <c r="G163" s="4">
        <v>6772.04</v>
      </c>
      <c r="H163" s="4">
        <v>23725.85</v>
      </c>
      <c r="I163" s="4">
        <v>64877.599999999999</v>
      </c>
      <c r="J163" s="4">
        <v>210697.62</v>
      </c>
      <c r="K163" s="4">
        <v>163245.03</v>
      </c>
      <c r="L163" s="4">
        <v>19058.689999999999</v>
      </c>
      <c r="M163" s="4">
        <v>16171</v>
      </c>
      <c r="N163" s="4">
        <v>46485.9</v>
      </c>
      <c r="O163" s="4">
        <v>10756.98</v>
      </c>
      <c r="P163" s="4">
        <v>64196</v>
      </c>
      <c r="Q163" s="4">
        <v>87910</v>
      </c>
      <c r="R163" s="4">
        <v>994.64</v>
      </c>
      <c r="S163" s="4">
        <v>81901.710000000006</v>
      </c>
      <c r="T163" s="4">
        <v>306420.19</v>
      </c>
    </row>
    <row r="164" spans="1:20">
      <c r="A164" s="3">
        <f t="shared" si="2"/>
        <v>40145</v>
      </c>
      <c r="B164" s="4">
        <v>10127.16</v>
      </c>
      <c r="C164" s="4">
        <v>2361636.08</v>
      </c>
      <c r="D164" s="4">
        <v>126435.1</v>
      </c>
      <c r="E164" s="4">
        <v>58236.78</v>
      </c>
      <c r="F164" s="4">
        <v>22658.19</v>
      </c>
      <c r="G164" s="4">
        <v>7260.56</v>
      </c>
      <c r="H164" s="4">
        <v>24434.14</v>
      </c>
      <c r="I164" s="4">
        <v>64350.42</v>
      </c>
      <c r="J164" s="4">
        <v>212221.97</v>
      </c>
      <c r="K164" s="4">
        <v>170147.53</v>
      </c>
      <c r="L164" s="4">
        <v>19210</v>
      </c>
      <c r="M164" s="4">
        <v>15693</v>
      </c>
      <c r="N164" s="4">
        <v>46787</v>
      </c>
      <c r="O164" s="4">
        <v>10357</v>
      </c>
      <c r="P164" s="4">
        <v>66205</v>
      </c>
      <c r="Q164" s="4">
        <v>87174</v>
      </c>
      <c r="R164" s="4">
        <v>1244.02</v>
      </c>
      <c r="S164" s="4">
        <v>81658.42</v>
      </c>
      <c r="T164" s="4">
        <v>336070.91</v>
      </c>
    </row>
    <row r="165" spans="1:20">
      <c r="A165" s="3">
        <f t="shared" si="2"/>
        <v>40114</v>
      </c>
      <c r="B165" s="4">
        <v>9138.43</v>
      </c>
      <c r="C165" s="4">
        <v>2327652.75</v>
      </c>
      <c r="D165" s="4">
        <v>126840.65</v>
      </c>
      <c r="E165" s="4">
        <v>59644.01</v>
      </c>
      <c r="F165" s="4">
        <v>22699.9</v>
      </c>
      <c r="G165" s="4">
        <v>7226.31</v>
      </c>
      <c r="H165" s="4">
        <v>24280.98</v>
      </c>
      <c r="I165" s="4">
        <v>64734.82</v>
      </c>
      <c r="J165" s="4">
        <v>211472.68</v>
      </c>
      <c r="K165" s="4">
        <v>171771.89</v>
      </c>
      <c r="L165" s="4">
        <v>19265</v>
      </c>
      <c r="M165" s="4">
        <v>16242</v>
      </c>
      <c r="N165" s="4">
        <v>46794</v>
      </c>
      <c r="O165" s="4">
        <v>10334</v>
      </c>
      <c r="P165" s="4">
        <v>64619</v>
      </c>
      <c r="Q165" s="4">
        <v>87010</v>
      </c>
      <c r="R165" s="4">
        <v>927.11</v>
      </c>
      <c r="S165" s="4">
        <v>81292.28</v>
      </c>
      <c r="T165" s="4">
        <v>318764.55</v>
      </c>
    </row>
    <row r="166" spans="1:20">
      <c r="A166" s="3">
        <f t="shared" si="2"/>
        <v>40084</v>
      </c>
      <c r="B166" s="4">
        <v>9686.7099999999991</v>
      </c>
      <c r="C166" s="4">
        <v>2323550.75</v>
      </c>
      <c r="D166" s="4">
        <v>127943.7</v>
      </c>
      <c r="E166" s="4">
        <v>57287.94</v>
      </c>
      <c r="F166" s="4">
        <v>26167.61</v>
      </c>
      <c r="G166" s="4">
        <v>7630.69</v>
      </c>
      <c r="H166" s="4">
        <v>24539.39</v>
      </c>
      <c r="I166" s="4">
        <v>65612.58</v>
      </c>
      <c r="J166" s="4">
        <v>211073.82</v>
      </c>
      <c r="K166" s="4">
        <v>169306.93</v>
      </c>
      <c r="L166" s="4">
        <v>18483.060000000001</v>
      </c>
      <c r="M166" s="4">
        <v>14769</v>
      </c>
      <c r="N166" s="4">
        <v>46795</v>
      </c>
      <c r="O166" s="4">
        <v>9994.16</v>
      </c>
      <c r="P166" s="4">
        <v>65534</v>
      </c>
      <c r="Q166" s="4">
        <v>87003</v>
      </c>
      <c r="R166" s="4">
        <v>968.67</v>
      </c>
      <c r="S166" s="4">
        <v>81217.22</v>
      </c>
      <c r="T166" s="4">
        <v>323117.48</v>
      </c>
    </row>
    <row r="167" spans="1:20">
      <c r="A167" s="3">
        <f t="shared" si="2"/>
        <v>40053</v>
      </c>
      <c r="B167" s="4">
        <v>9521.44</v>
      </c>
      <c r="C167" s="4">
        <v>2310341.9300000002</v>
      </c>
      <c r="D167" s="4">
        <v>129435.01</v>
      </c>
      <c r="E167" s="4">
        <v>55300.06</v>
      </c>
      <c r="F167" s="4">
        <v>26452.12</v>
      </c>
      <c r="G167" s="4">
        <v>7673.24</v>
      </c>
      <c r="H167" s="4">
        <v>26064.92</v>
      </c>
      <c r="I167" s="4">
        <v>65388.42</v>
      </c>
      <c r="J167" s="4">
        <v>207917.12</v>
      </c>
      <c r="K167" s="4">
        <v>161395.51999999999</v>
      </c>
      <c r="L167" s="4">
        <v>18101</v>
      </c>
      <c r="M167" s="4">
        <v>15408</v>
      </c>
      <c r="N167" s="4">
        <v>47698</v>
      </c>
      <c r="O167" s="4">
        <v>10249</v>
      </c>
      <c r="P167" s="4">
        <v>64426</v>
      </c>
      <c r="Q167" s="4">
        <v>86430</v>
      </c>
      <c r="R167" s="4">
        <v>1071.01</v>
      </c>
      <c r="S167" s="4">
        <v>81312.820000000007</v>
      </c>
      <c r="T167" s="4">
        <v>328534.61</v>
      </c>
    </row>
    <row r="168" spans="1:20">
      <c r="A168" s="3">
        <f t="shared" si="2"/>
        <v>40022</v>
      </c>
      <c r="B168" s="4">
        <v>9693.89</v>
      </c>
      <c r="C168" s="4">
        <v>2324873.12</v>
      </c>
      <c r="D168" s="4">
        <v>133080.10999999999</v>
      </c>
      <c r="E168" s="4">
        <v>59988.63</v>
      </c>
      <c r="F168" s="4">
        <v>26551.46</v>
      </c>
      <c r="G168" s="4">
        <v>7303.19</v>
      </c>
      <c r="H168" s="4">
        <v>26214.63</v>
      </c>
      <c r="I168" s="4">
        <v>65931.14</v>
      </c>
      <c r="J168" s="4">
        <v>206704.42</v>
      </c>
      <c r="K168" s="4">
        <v>160546.66</v>
      </c>
      <c r="L168" s="4">
        <v>17872</v>
      </c>
      <c r="M168" s="4">
        <v>14504</v>
      </c>
      <c r="N168" s="4">
        <v>49917</v>
      </c>
      <c r="O168" s="4">
        <v>10159</v>
      </c>
      <c r="P168" s="4">
        <v>65850</v>
      </c>
      <c r="Q168" s="4">
        <v>86707</v>
      </c>
      <c r="R168" s="4">
        <v>1020.22</v>
      </c>
      <c r="S168" s="4">
        <v>81375.45</v>
      </c>
      <c r="T168" s="4">
        <v>333829.75</v>
      </c>
    </row>
    <row r="169" spans="1:20">
      <c r="A169" s="3">
        <f t="shared" si="2"/>
        <v>39992</v>
      </c>
      <c r="B169" s="4">
        <v>9860.31</v>
      </c>
      <c r="C169" s="4">
        <v>2348556.27</v>
      </c>
      <c r="D169" s="4">
        <v>136282.70000000001</v>
      </c>
      <c r="E169" s="4">
        <v>60089.09</v>
      </c>
      <c r="F169" s="4">
        <v>28080.61</v>
      </c>
      <c r="G169" s="4">
        <v>7117.65</v>
      </c>
      <c r="H169" s="4">
        <v>25847.86</v>
      </c>
      <c r="I169" s="4">
        <v>61944.73</v>
      </c>
      <c r="J169" s="4">
        <v>201449.3</v>
      </c>
      <c r="K169" s="4">
        <v>158035.34</v>
      </c>
      <c r="L169" s="4">
        <v>17960</v>
      </c>
      <c r="M169" s="4">
        <v>14391</v>
      </c>
      <c r="N169" s="4">
        <v>46946</v>
      </c>
      <c r="O169" s="4">
        <v>9804</v>
      </c>
      <c r="P169" s="4">
        <v>66732</v>
      </c>
      <c r="Q169" s="4">
        <v>86396.41</v>
      </c>
      <c r="R169" s="4">
        <v>954.37</v>
      </c>
      <c r="S169" s="4">
        <v>81325.119999999995</v>
      </c>
      <c r="T169" s="4">
        <v>332068.13</v>
      </c>
    </row>
    <row r="170" spans="1:20">
      <c r="A170" s="3">
        <f t="shared" si="2"/>
        <v>39961</v>
      </c>
      <c r="B170" s="4">
        <v>9326.15</v>
      </c>
      <c r="C170" s="4">
        <v>2331906.23</v>
      </c>
      <c r="D170" s="4">
        <v>137730.73000000001</v>
      </c>
      <c r="E170" s="4">
        <v>60356.25</v>
      </c>
      <c r="F170" s="4">
        <v>28560.06</v>
      </c>
      <c r="G170" s="4">
        <v>7646.69</v>
      </c>
      <c r="H170" s="4">
        <v>25427.27</v>
      </c>
      <c r="I170" s="4">
        <v>62890.8</v>
      </c>
      <c r="J170" s="4">
        <v>199750.24</v>
      </c>
      <c r="K170" s="4">
        <v>155577.48000000001</v>
      </c>
      <c r="L170" s="4">
        <v>17119</v>
      </c>
      <c r="M170" s="4">
        <v>14423</v>
      </c>
      <c r="N170" s="4">
        <v>46745</v>
      </c>
      <c r="O170" s="4">
        <v>10061</v>
      </c>
      <c r="P170" s="4">
        <v>64820</v>
      </c>
      <c r="Q170" s="4">
        <v>86482</v>
      </c>
      <c r="R170" s="4">
        <v>961.26</v>
      </c>
      <c r="S170" s="4">
        <v>81277.48</v>
      </c>
      <c r="T170" s="4">
        <v>344073.96</v>
      </c>
    </row>
    <row r="171" spans="1:20">
      <c r="A171" s="3">
        <f t="shared" si="2"/>
        <v>39931</v>
      </c>
      <c r="B171" s="4">
        <v>9541.6299999999992</v>
      </c>
      <c r="C171" s="4">
        <v>2327400.65</v>
      </c>
      <c r="D171" s="4">
        <v>149941.22</v>
      </c>
      <c r="E171" s="4">
        <v>62434.99</v>
      </c>
      <c r="F171" s="4">
        <v>28107.46</v>
      </c>
      <c r="G171" s="4">
        <v>7568.76</v>
      </c>
      <c r="H171" s="4">
        <v>25789.14</v>
      </c>
      <c r="I171" s="4">
        <v>62577.4</v>
      </c>
      <c r="J171" s="4">
        <v>195322.31</v>
      </c>
      <c r="K171" s="4">
        <v>150328.29999999999</v>
      </c>
      <c r="L171" s="4">
        <v>16655</v>
      </c>
      <c r="M171" s="4">
        <v>13560</v>
      </c>
      <c r="N171" s="4">
        <v>47410</v>
      </c>
      <c r="O171" s="4">
        <v>11114</v>
      </c>
      <c r="P171" s="4">
        <v>62166</v>
      </c>
      <c r="Q171" s="4">
        <v>86550</v>
      </c>
      <c r="R171" s="4">
        <v>930.5</v>
      </c>
      <c r="S171" s="4">
        <v>81267.710000000006</v>
      </c>
      <c r="T171" s="4">
        <v>352683.68</v>
      </c>
    </row>
    <row r="172" spans="1:20">
      <c r="A172" s="3">
        <f t="shared" si="2"/>
        <v>39900</v>
      </c>
      <c r="B172" s="4">
        <v>9587.11</v>
      </c>
      <c r="C172" s="4">
        <v>2344941.48</v>
      </c>
      <c r="D172" s="4">
        <v>139842.46</v>
      </c>
      <c r="E172" s="4">
        <v>60279.25</v>
      </c>
      <c r="F172" s="4">
        <v>28047.11</v>
      </c>
      <c r="G172" s="4">
        <v>7569.27</v>
      </c>
      <c r="H172" s="4">
        <v>25396.58</v>
      </c>
      <c r="I172" s="4">
        <v>62201.85</v>
      </c>
      <c r="J172" s="4">
        <v>187561.97</v>
      </c>
      <c r="K172" s="4">
        <v>150043.62</v>
      </c>
      <c r="L172" s="4">
        <v>16379</v>
      </c>
      <c r="M172" s="4">
        <v>14080</v>
      </c>
      <c r="N172" s="4">
        <v>46724</v>
      </c>
      <c r="O172" s="4">
        <v>10384</v>
      </c>
      <c r="P172" s="4">
        <v>58841</v>
      </c>
      <c r="Q172" s="4">
        <v>86985</v>
      </c>
      <c r="R172" s="4">
        <v>880.75</v>
      </c>
      <c r="S172" s="4">
        <v>83185.37</v>
      </c>
      <c r="T172" s="4">
        <v>375879.47</v>
      </c>
    </row>
    <row r="173" spans="1:20">
      <c r="A173" s="3">
        <f t="shared" si="2"/>
        <v>39872</v>
      </c>
      <c r="B173" s="4">
        <v>9150.64</v>
      </c>
      <c r="C173" s="4">
        <v>2347433.02</v>
      </c>
      <c r="D173" s="4">
        <v>144460.12</v>
      </c>
      <c r="E173" s="4">
        <v>61989.21</v>
      </c>
      <c r="F173" s="4">
        <v>28401.48</v>
      </c>
      <c r="G173" s="4">
        <v>7392.36</v>
      </c>
      <c r="H173" s="4">
        <v>24953.439999999999</v>
      </c>
      <c r="I173" s="4">
        <v>57761.3</v>
      </c>
      <c r="J173" s="4">
        <v>169583.32</v>
      </c>
      <c r="K173" s="4">
        <v>136853.47</v>
      </c>
      <c r="L173" s="4">
        <v>15894.52</v>
      </c>
      <c r="M173" s="4">
        <v>12833.19</v>
      </c>
      <c r="N173" s="4">
        <v>46574.67</v>
      </c>
      <c r="O173" s="4">
        <v>11272</v>
      </c>
      <c r="P173" s="4">
        <v>59259</v>
      </c>
      <c r="Q173" s="4">
        <v>87106</v>
      </c>
      <c r="R173" s="4">
        <v>948.76</v>
      </c>
      <c r="S173" s="4">
        <v>85322.27</v>
      </c>
      <c r="T173" s="4">
        <v>347334.68</v>
      </c>
    </row>
    <row r="174" spans="1:20">
      <c r="A174" s="3">
        <f t="shared" si="2"/>
        <v>39841</v>
      </c>
      <c r="B174" s="4">
        <v>9639.93</v>
      </c>
      <c r="C174" s="4">
        <v>2335363.21</v>
      </c>
      <c r="D174" s="4">
        <v>156340.91</v>
      </c>
      <c r="E174" s="4">
        <v>62135.35</v>
      </c>
      <c r="F174" s="4">
        <v>28219.56</v>
      </c>
      <c r="G174" s="4">
        <v>7580.12</v>
      </c>
      <c r="H174" s="4">
        <v>24282.25</v>
      </c>
      <c r="I174" s="4">
        <v>57773.57</v>
      </c>
      <c r="J174" s="4">
        <v>158265.63</v>
      </c>
      <c r="K174" s="4">
        <v>132354.22</v>
      </c>
      <c r="L174" s="4">
        <v>15758</v>
      </c>
      <c r="M174" s="4">
        <v>12901</v>
      </c>
      <c r="N174" s="4">
        <v>47866</v>
      </c>
      <c r="O174" s="4">
        <v>11288</v>
      </c>
      <c r="P174" s="4">
        <v>60112</v>
      </c>
      <c r="Q174" s="4">
        <v>88816</v>
      </c>
      <c r="R174" s="4">
        <v>960.42</v>
      </c>
      <c r="S174" s="4">
        <v>81248.759999999995</v>
      </c>
      <c r="T174" s="4">
        <v>344570.66</v>
      </c>
    </row>
    <row r="175" spans="1:20">
      <c r="A175" s="3">
        <f t="shared" si="2"/>
        <v>39810</v>
      </c>
      <c r="B175" s="4">
        <v>13125.1</v>
      </c>
      <c r="C175" s="4">
        <v>2322468.7599999998</v>
      </c>
      <c r="D175" s="4">
        <v>153623.13</v>
      </c>
      <c r="E175" s="4">
        <v>62829</v>
      </c>
      <c r="F175" s="4">
        <v>27952.560000000001</v>
      </c>
      <c r="G175" s="4">
        <v>8146.75</v>
      </c>
      <c r="H175" s="4">
        <v>23661.29</v>
      </c>
      <c r="I175" s="4">
        <v>57981.21</v>
      </c>
      <c r="J175" s="4">
        <v>153538.45000000001</v>
      </c>
      <c r="K175" s="4">
        <v>125779.25</v>
      </c>
      <c r="L175" s="4">
        <v>15582.45</v>
      </c>
      <c r="M175" s="4">
        <v>13083</v>
      </c>
      <c r="N175" s="4">
        <v>46529</v>
      </c>
      <c r="O175" s="4">
        <v>12236</v>
      </c>
      <c r="P175" s="4">
        <v>60756</v>
      </c>
      <c r="Q175" s="4">
        <v>86763</v>
      </c>
      <c r="R175" s="4">
        <v>924.51</v>
      </c>
      <c r="S175" s="4">
        <v>81155.23</v>
      </c>
      <c r="T175" s="4">
        <v>368429.6</v>
      </c>
    </row>
    <row r="176" spans="1:20">
      <c r="A176" s="3">
        <f t="shared" si="2"/>
        <v>39780</v>
      </c>
      <c r="B176" s="4">
        <v>9217.24</v>
      </c>
      <c r="C176" s="4">
        <v>2347471.0299999998</v>
      </c>
      <c r="D176" s="4">
        <v>166562.31</v>
      </c>
      <c r="E176" s="4">
        <v>76254.03</v>
      </c>
      <c r="F176" s="4">
        <v>26281.52</v>
      </c>
      <c r="G176" s="4">
        <v>9320.25</v>
      </c>
      <c r="H176" s="4">
        <v>25435.23</v>
      </c>
      <c r="I176" s="4">
        <v>57334.61</v>
      </c>
      <c r="J176" s="4">
        <v>157154.04999999999</v>
      </c>
      <c r="K176" s="4">
        <v>125601.04</v>
      </c>
      <c r="L176" s="4">
        <v>16402.169999999998</v>
      </c>
      <c r="M176" s="4">
        <v>14847.81</v>
      </c>
      <c r="N176" s="4">
        <v>47177.89</v>
      </c>
      <c r="O176" s="4">
        <v>13177.03</v>
      </c>
      <c r="P176" s="4">
        <v>62800.85</v>
      </c>
      <c r="Q176" s="4">
        <v>96536.28</v>
      </c>
      <c r="R176" s="4">
        <v>845.18</v>
      </c>
      <c r="S176" s="4">
        <v>75494.11</v>
      </c>
      <c r="T176" s="4">
        <v>387311.67</v>
      </c>
    </row>
    <row r="177" spans="1:20">
      <c r="A177" s="3">
        <f t="shared" si="2"/>
        <v>39749</v>
      </c>
      <c r="B177" s="4">
        <v>9426.73</v>
      </c>
      <c r="C177" s="4">
        <v>2496898.5499999998</v>
      </c>
      <c r="D177" s="4">
        <v>172255.63</v>
      </c>
      <c r="E177" s="4">
        <v>71629.84</v>
      </c>
      <c r="F177" s="4">
        <v>26295.59</v>
      </c>
      <c r="G177" s="4">
        <v>9380.41</v>
      </c>
      <c r="H177" s="4">
        <v>24941.31</v>
      </c>
      <c r="I177" s="4">
        <v>53537.9</v>
      </c>
      <c r="J177" s="4">
        <v>154804.20000000001</v>
      </c>
      <c r="K177" s="4">
        <v>122774.39999999999</v>
      </c>
      <c r="L177" s="4">
        <v>16129.93</v>
      </c>
      <c r="M177" s="4">
        <v>16453.259999999998</v>
      </c>
      <c r="N177" s="4">
        <v>47932.88</v>
      </c>
      <c r="O177" s="4">
        <v>13704.72</v>
      </c>
      <c r="P177" s="4">
        <v>64760.58</v>
      </c>
      <c r="Q177" s="4">
        <v>101356.22</v>
      </c>
      <c r="R177" s="4">
        <v>971.63</v>
      </c>
      <c r="S177" s="4">
        <v>75061.62</v>
      </c>
      <c r="T177" s="4">
        <v>340340.14</v>
      </c>
    </row>
    <row r="178" spans="1:20">
      <c r="A178" s="3">
        <f t="shared" si="2"/>
        <v>39719</v>
      </c>
      <c r="B178" s="4">
        <v>9407.9</v>
      </c>
      <c r="C178" s="4">
        <v>2266571.13</v>
      </c>
      <c r="D178" s="4">
        <v>179394.23</v>
      </c>
      <c r="E178" s="4">
        <v>74506.509999999995</v>
      </c>
      <c r="F178" s="4">
        <v>24829.09</v>
      </c>
      <c r="G178" s="4">
        <v>10195.75</v>
      </c>
      <c r="H178" s="4">
        <v>25006.73</v>
      </c>
      <c r="I178" s="4">
        <v>52617.919999999998</v>
      </c>
      <c r="J178" s="4">
        <v>136715.06</v>
      </c>
      <c r="K178" s="4">
        <v>123200.79</v>
      </c>
      <c r="L178" s="4">
        <v>17039.919999999998</v>
      </c>
      <c r="M178" s="4">
        <v>18393.18</v>
      </c>
      <c r="N178" s="4">
        <v>47215.78</v>
      </c>
      <c r="O178" s="4">
        <v>13741.75</v>
      </c>
      <c r="P178" s="4">
        <v>69600.81</v>
      </c>
      <c r="Q178" s="4">
        <v>101872.04</v>
      </c>
      <c r="R178" s="4">
        <v>1519.67</v>
      </c>
      <c r="S178" s="4">
        <v>75296.509999999995</v>
      </c>
      <c r="T178" s="4">
        <v>317169.8</v>
      </c>
    </row>
    <row r="179" spans="1:20">
      <c r="A179" s="3">
        <f t="shared" si="2"/>
        <v>39688</v>
      </c>
      <c r="B179" s="4">
        <v>9079.75</v>
      </c>
      <c r="C179" s="4">
        <v>2239887.17</v>
      </c>
      <c r="D179" s="4">
        <v>172366.53</v>
      </c>
      <c r="E179" s="4">
        <v>71283.679999999993</v>
      </c>
      <c r="F179" s="4">
        <v>25664.2</v>
      </c>
      <c r="G179" s="4">
        <v>9964.74</v>
      </c>
      <c r="H179" s="4">
        <v>24587.16</v>
      </c>
      <c r="I179" s="4">
        <v>52611.38</v>
      </c>
      <c r="J179" s="4">
        <v>134598.13</v>
      </c>
      <c r="K179" s="4">
        <v>124305.61</v>
      </c>
      <c r="L179" s="4">
        <v>16913.39</v>
      </c>
      <c r="M179" s="4">
        <v>19144.68</v>
      </c>
      <c r="N179" s="4">
        <v>46235.83</v>
      </c>
      <c r="O179" s="4">
        <v>13761.61</v>
      </c>
      <c r="P179" s="4">
        <v>67668.210000000006</v>
      </c>
      <c r="Q179" s="4">
        <v>102087.81</v>
      </c>
      <c r="R179" s="4">
        <v>1576.68</v>
      </c>
      <c r="S179" s="4">
        <v>74441.45</v>
      </c>
      <c r="T179" s="4">
        <v>299040.15000000002</v>
      </c>
    </row>
    <row r="180" spans="1:20">
      <c r="A180" s="3">
        <f t="shared" si="2"/>
        <v>39657</v>
      </c>
      <c r="B180" s="4">
        <v>9150.4699999999993</v>
      </c>
      <c r="C180" s="4">
        <v>2232961.0099999998</v>
      </c>
      <c r="D180" s="4">
        <v>178947.04</v>
      </c>
      <c r="E180" s="4">
        <v>73406.080000000002</v>
      </c>
      <c r="F180" s="4">
        <v>24310.07</v>
      </c>
      <c r="G180" s="4">
        <v>10068.59</v>
      </c>
      <c r="H180" s="4">
        <v>23267.439999999999</v>
      </c>
      <c r="I180" s="4">
        <v>43895.12</v>
      </c>
      <c r="J180" s="4">
        <v>133543.28</v>
      </c>
      <c r="K180" s="4">
        <v>121432.64</v>
      </c>
      <c r="L180" s="4">
        <v>15858.57</v>
      </c>
      <c r="M180" s="4">
        <v>19244.97</v>
      </c>
      <c r="N180" s="4">
        <v>46189.87</v>
      </c>
      <c r="O180" s="4">
        <v>13776.7</v>
      </c>
      <c r="P180" s="4">
        <v>67340.33</v>
      </c>
      <c r="Q180" s="4">
        <v>102339.17</v>
      </c>
      <c r="R180" s="4">
        <v>1573.48</v>
      </c>
      <c r="S180" s="4">
        <v>74250.149999999994</v>
      </c>
      <c r="T180" s="4">
        <v>308010.17</v>
      </c>
    </row>
    <row r="181" spans="1:20">
      <c r="A181" s="3">
        <f t="shared" si="2"/>
        <v>39627</v>
      </c>
      <c r="B181" s="4">
        <v>9309.82</v>
      </c>
      <c r="C181" s="4">
        <v>2229257.11</v>
      </c>
      <c r="D181" s="4">
        <v>194502.56</v>
      </c>
      <c r="E181" s="4">
        <v>65537.45</v>
      </c>
      <c r="F181" s="4">
        <v>22386.84</v>
      </c>
      <c r="G181" s="4">
        <v>10597.07</v>
      </c>
      <c r="H181" s="4">
        <v>20184.009999999998</v>
      </c>
      <c r="I181" s="4">
        <v>40298.35</v>
      </c>
      <c r="J181" s="4">
        <v>134912.41</v>
      </c>
      <c r="K181" s="4">
        <v>119587.6</v>
      </c>
      <c r="L181" s="4">
        <v>16137.12</v>
      </c>
      <c r="M181" s="4">
        <v>19389.21</v>
      </c>
      <c r="N181" s="4">
        <v>46278.18</v>
      </c>
      <c r="O181" s="4">
        <v>13586.7</v>
      </c>
      <c r="P181" s="4">
        <v>70027.19</v>
      </c>
      <c r="Q181" s="4">
        <v>102933.77</v>
      </c>
      <c r="R181" s="4">
        <v>1431.66</v>
      </c>
      <c r="S181" s="4">
        <v>74658.87</v>
      </c>
      <c r="T181" s="4">
        <v>326399.88</v>
      </c>
    </row>
    <row r="182" spans="1:20">
      <c r="A182" s="3">
        <f t="shared" si="2"/>
        <v>39596</v>
      </c>
      <c r="B182" s="4">
        <v>8648.3700000000008</v>
      </c>
      <c r="C182" s="4">
        <v>2223331.31</v>
      </c>
      <c r="D182" s="4">
        <v>192701.22</v>
      </c>
      <c r="E182" s="4">
        <v>74959.53</v>
      </c>
      <c r="F182" s="4">
        <v>22817.05</v>
      </c>
      <c r="G182" s="4">
        <v>10324.459999999999</v>
      </c>
      <c r="H182" s="4">
        <v>18948.04</v>
      </c>
      <c r="I182" s="4">
        <v>39917.919999999998</v>
      </c>
      <c r="J182" s="4">
        <v>133144.84</v>
      </c>
      <c r="K182" s="4">
        <v>120005.34</v>
      </c>
      <c r="L182" s="4">
        <v>15494.04</v>
      </c>
      <c r="M182" s="4">
        <v>21094.03</v>
      </c>
      <c r="N182" s="4">
        <v>46259.6</v>
      </c>
      <c r="O182" s="4">
        <v>13855.12</v>
      </c>
      <c r="P182" s="4">
        <v>79821.89</v>
      </c>
      <c r="Q182" s="4">
        <v>108285.02</v>
      </c>
      <c r="R182" s="4">
        <v>1517.06</v>
      </c>
      <c r="S182" s="4">
        <v>74318.5</v>
      </c>
      <c r="T182" s="4">
        <v>323199.40000000002</v>
      </c>
    </row>
    <row r="183" spans="1:20">
      <c r="A183" s="3">
        <f t="shared" si="2"/>
        <v>39566</v>
      </c>
      <c r="B183" s="4">
        <v>8964.44</v>
      </c>
      <c r="C183" s="4">
        <v>2178635.9300000002</v>
      </c>
      <c r="D183" s="4">
        <v>191342.92</v>
      </c>
      <c r="E183" s="4">
        <v>69919.759999999995</v>
      </c>
      <c r="F183" s="4">
        <v>20448.990000000002</v>
      </c>
      <c r="G183" s="4">
        <v>9909</v>
      </c>
      <c r="H183" s="4">
        <v>17563.07</v>
      </c>
      <c r="I183" s="4">
        <v>31041.18</v>
      </c>
      <c r="J183" s="4">
        <v>123226.31</v>
      </c>
      <c r="K183" s="4">
        <v>120656.73</v>
      </c>
      <c r="L183" s="4">
        <v>15225.51</v>
      </c>
      <c r="M183" s="4">
        <v>22244.85</v>
      </c>
      <c r="N183" s="4">
        <v>45354.84</v>
      </c>
      <c r="O183" s="4">
        <v>13521.42</v>
      </c>
      <c r="P183" s="4">
        <v>75035.17</v>
      </c>
      <c r="Q183" s="4">
        <v>95309.98</v>
      </c>
      <c r="R183" s="4">
        <v>1500.25</v>
      </c>
      <c r="S183" s="4">
        <v>74141.47</v>
      </c>
      <c r="T183" s="4">
        <v>309622.36</v>
      </c>
    </row>
    <row r="184" spans="1:20">
      <c r="A184" s="3">
        <f t="shared" si="2"/>
        <v>39535</v>
      </c>
      <c r="B184" s="4">
        <v>9367.66</v>
      </c>
      <c r="C184" s="4">
        <v>2180163.52</v>
      </c>
      <c r="D184" s="4">
        <v>173510.75</v>
      </c>
      <c r="E184" s="4">
        <v>71822.429999999993</v>
      </c>
      <c r="F184" s="4">
        <v>18459.5</v>
      </c>
      <c r="G184" s="4">
        <v>9769.7999999999993</v>
      </c>
      <c r="H184" s="4">
        <v>16894.759999999998</v>
      </c>
      <c r="I184" s="4">
        <v>27445.74</v>
      </c>
      <c r="J184" s="4">
        <v>119148.93</v>
      </c>
      <c r="K184" s="4">
        <v>120389.63</v>
      </c>
      <c r="L184" s="4">
        <v>14409.97</v>
      </c>
      <c r="M184" s="4">
        <v>20347.45</v>
      </c>
      <c r="N184" s="4">
        <v>45412.14</v>
      </c>
      <c r="O184" s="4">
        <v>13456.1</v>
      </c>
      <c r="P184" s="4">
        <v>68351.179999999993</v>
      </c>
      <c r="Q184" s="4">
        <v>92738.59</v>
      </c>
      <c r="R184" s="4">
        <v>1493.66</v>
      </c>
      <c r="S184" s="4">
        <v>74183.240000000005</v>
      </c>
      <c r="T184" s="4">
        <v>310284.5</v>
      </c>
    </row>
    <row r="185" spans="1:20">
      <c r="A185" s="3">
        <f t="shared" si="2"/>
        <v>39506</v>
      </c>
      <c r="B185" s="4">
        <v>8368.7900000000009</v>
      </c>
      <c r="C185" s="4">
        <v>2172041.4700000002</v>
      </c>
      <c r="D185" s="4">
        <v>173557.96</v>
      </c>
      <c r="E185" s="4">
        <v>76176.34</v>
      </c>
      <c r="F185" s="4">
        <v>16906.830000000002</v>
      </c>
      <c r="G185" s="4">
        <v>10396.65</v>
      </c>
      <c r="H185" s="4">
        <v>15995.25</v>
      </c>
      <c r="I185" s="4">
        <v>27620.31</v>
      </c>
      <c r="J185" s="4">
        <v>113676.17</v>
      </c>
      <c r="K185" s="4">
        <v>119795.33</v>
      </c>
      <c r="L185" s="4">
        <v>14267.53</v>
      </c>
      <c r="M185" s="4">
        <v>21143.62</v>
      </c>
      <c r="N185" s="4">
        <v>45041.52</v>
      </c>
      <c r="O185" s="4">
        <v>13947.01</v>
      </c>
      <c r="P185" s="4">
        <v>69335.679999999993</v>
      </c>
      <c r="Q185" s="4">
        <v>87555.16</v>
      </c>
      <c r="R185" s="4">
        <v>1775.17</v>
      </c>
      <c r="S185" s="4">
        <v>77287.460000000006</v>
      </c>
      <c r="T185" s="4">
        <v>303164.33</v>
      </c>
    </row>
    <row r="186" spans="1:20">
      <c r="A186" s="3">
        <f t="shared" si="2"/>
        <v>39475</v>
      </c>
      <c r="B186" s="4">
        <v>8727.1200000000008</v>
      </c>
      <c r="C186" s="4">
        <v>2140969.4700000002</v>
      </c>
      <c r="D186" s="4">
        <v>177682.4</v>
      </c>
      <c r="E186" s="4">
        <v>81783.990000000005</v>
      </c>
      <c r="F186" s="4">
        <v>14016.6</v>
      </c>
      <c r="G186" s="4">
        <v>10272.64</v>
      </c>
      <c r="H186" s="4">
        <v>15729.03</v>
      </c>
      <c r="I186" s="4">
        <v>27817.67</v>
      </c>
      <c r="J186" s="4">
        <v>100834.19</v>
      </c>
      <c r="K186" s="4">
        <v>117932.09</v>
      </c>
      <c r="L186" s="4">
        <v>14009.61</v>
      </c>
      <c r="M186" s="4">
        <v>20693.490000000002</v>
      </c>
      <c r="N186" s="4">
        <v>44973.35</v>
      </c>
      <c r="O186" s="4">
        <v>13728.93</v>
      </c>
      <c r="P186" s="4">
        <v>68713.17</v>
      </c>
      <c r="Q186" s="4">
        <v>81488.12</v>
      </c>
      <c r="R186" s="4">
        <v>1593.71</v>
      </c>
      <c r="S186" s="4">
        <v>82647.92</v>
      </c>
      <c r="T186" s="4">
        <v>315526.15999999997</v>
      </c>
    </row>
    <row r="187" spans="1:20">
      <c r="A187" s="3">
        <f t="shared" si="2"/>
        <v>39444</v>
      </c>
      <c r="B187" s="4">
        <v>11960.97</v>
      </c>
      <c r="C187" s="4">
        <v>2160574.21</v>
      </c>
      <c r="D187" s="4">
        <v>165353.51</v>
      </c>
      <c r="E187" s="4">
        <v>76185.69</v>
      </c>
      <c r="F187" s="4">
        <v>14036.04</v>
      </c>
      <c r="G187" s="4">
        <v>9354.2000000000007</v>
      </c>
      <c r="H187" s="4">
        <v>13517.42</v>
      </c>
      <c r="I187" s="4">
        <v>28915.71</v>
      </c>
      <c r="J187" s="4">
        <v>93524.160000000003</v>
      </c>
      <c r="K187" s="4">
        <v>114392.78</v>
      </c>
      <c r="L187" s="4">
        <v>14025.62</v>
      </c>
      <c r="M187" s="4">
        <v>22768.63</v>
      </c>
      <c r="N187" s="4">
        <v>44868.639999999999</v>
      </c>
      <c r="O187" s="4">
        <v>14175.48</v>
      </c>
      <c r="P187" s="4">
        <v>69752.38</v>
      </c>
      <c r="Q187" s="4">
        <v>81543.210000000006</v>
      </c>
      <c r="R187" s="4">
        <v>1703.31</v>
      </c>
      <c r="S187" s="4">
        <v>82923.28</v>
      </c>
      <c r="T187" s="4">
        <v>312254.40999999997</v>
      </c>
    </row>
    <row r="188" spans="1:20">
      <c r="A188" s="3">
        <f t="shared" si="2"/>
        <v>39414</v>
      </c>
      <c r="B188" s="4">
        <v>8876.1</v>
      </c>
      <c r="C188" s="4">
        <v>2131029.08</v>
      </c>
      <c r="D188" s="4">
        <v>178667</v>
      </c>
      <c r="E188" s="4">
        <v>90975.12</v>
      </c>
      <c r="F188" s="4">
        <v>13115.92</v>
      </c>
      <c r="G188" s="4">
        <v>10390.200000000001</v>
      </c>
      <c r="H188" s="4">
        <v>13745.19</v>
      </c>
      <c r="I188" s="4">
        <v>21240.91</v>
      </c>
      <c r="J188" s="4">
        <v>87961.55</v>
      </c>
      <c r="K188" s="4">
        <v>119471.87</v>
      </c>
      <c r="L188" s="4">
        <v>14387.05</v>
      </c>
      <c r="M188" s="4">
        <v>23104.1</v>
      </c>
      <c r="N188" s="4">
        <v>44869.25</v>
      </c>
      <c r="O188" s="4">
        <v>15062.23</v>
      </c>
      <c r="P188" s="4">
        <v>66671.44</v>
      </c>
      <c r="Q188" s="4">
        <v>77378.38</v>
      </c>
      <c r="R188" s="4">
        <v>1693.26</v>
      </c>
      <c r="S188" s="4">
        <v>92965.34</v>
      </c>
      <c r="T188" s="4">
        <v>313574.15000000002</v>
      </c>
    </row>
    <row r="189" spans="1:20">
      <c r="A189" s="3">
        <f t="shared" si="2"/>
        <v>39383</v>
      </c>
      <c r="B189" s="4">
        <v>8870.76</v>
      </c>
      <c r="C189" s="4">
        <v>2104945.5499999998</v>
      </c>
      <c r="D189" s="4">
        <v>178811.11</v>
      </c>
      <c r="E189" s="4">
        <v>89946.240000000005</v>
      </c>
      <c r="F189" s="4">
        <v>13414.06</v>
      </c>
      <c r="G189" s="4">
        <v>11193.49</v>
      </c>
      <c r="H189" s="4">
        <v>14120.26</v>
      </c>
      <c r="I189" s="4">
        <v>21370.959999999999</v>
      </c>
      <c r="J189" s="4">
        <v>87080.36</v>
      </c>
      <c r="K189" s="4">
        <v>120084.91</v>
      </c>
      <c r="L189" s="4">
        <v>14140.16</v>
      </c>
      <c r="M189" s="4">
        <v>22910.06</v>
      </c>
      <c r="N189" s="4">
        <v>44864.17</v>
      </c>
      <c r="O189" s="4">
        <v>15461.96</v>
      </c>
      <c r="P189" s="4">
        <v>69598.12</v>
      </c>
      <c r="Q189" s="4">
        <v>76657.37</v>
      </c>
      <c r="R189" s="4">
        <v>1722.19</v>
      </c>
      <c r="S189" s="4">
        <v>93489.1</v>
      </c>
      <c r="T189" s="4">
        <v>313540.40999999997</v>
      </c>
    </row>
    <row r="190" spans="1:20">
      <c r="A190" s="3">
        <f t="shared" si="2"/>
        <v>39353</v>
      </c>
      <c r="B190" s="4">
        <v>8506.4599999999991</v>
      </c>
      <c r="C190" s="4">
        <v>1919969.54</v>
      </c>
      <c r="D190" s="4">
        <v>169125.44</v>
      </c>
      <c r="E190" s="4">
        <v>81248.28</v>
      </c>
      <c r="F190" s="4">
        <v>12415.25</v>
      </c>
      <c r="G190" s="4">
        <v>10995</v>
      </c>
      <c r="H190" s="4">
        <v>13780.31</v>
      </c>
      <c r="I190" s="4">
        <v>21997.4</v>
      </c>
      <c r="J190" s="4">
        <v>82679.259999999995</v>
      </c>
      <c r="K190" s="4">
        <v>112075.72</v>
      </c>
      <c r="L190" s="4">
        <v>13866.76</v>
      </c>
      <c r="M190" s="4">
        <v>21573.48</v>
      </c>
      <c r="N190" s="4">
        <v>45067.519999999997</v>
      </c>
      <c r="O190" s="4">
        <v>12741.99</v>
      </c>
      <c r="P190" s="4">
        <v>54597.42</v>
      </c>
      <c r="Q190" s="4">
        <v>80388.44</v>
      </c>
      <c r="R190" s="4">
        <v>1861.3</v>
      </c>
      <c r="S190" s="4">
        <v>80392.649999999994</v>
      </c>
      <c r="T190" s="4">
        <v>290227</v>
      </c>
    </row>
    <row r="191" spans="1:20">
      <c r="A191" s="3">
        <f t="shared" si="2"/>
        <v>39322</v>
      </c>
      <c r="B191" s="4">
        <v>8580.66</v>
      </c>
      <c r="C191" s="4">
        <v>1904738.64</v>
      </c>
      <c r="D191" s="4">
        <v>161676.81</v>
      </c>
      <c r="E191" s="4">
        <v>88947.65</v>
      </c>
      <c r="F191" s="4">
        <v>12564.31</v>
      </c>
      <c r="G191" s="4">
        <v>11439.24</v>
      </c>
      <c r="H191" s="4">
        <v>14123.99</v>
      </c>
      <c r="I191" s="4">
        <v>22984.240000000002</v>
      </c>
      <c r="J191" s="4">
        <v>81198.100000000006</v>
      </c>
      <c r="K191" s="4">
        <v>116256.65</v>
      </c>
      <c r="L191" s="4">
        <v>13785.28</v>
      </c>
      <c r="M191" s="4">
        <v>21657.16</v>
      </c>
      <c r="N191" s="4">
        <v>45011.01</v>
      </c>
      <c r="O191" s="4">
        <v>12631.3</v>
      </c>
      <c r="P191" s="4">
        <v>53397.68</v>
      </c>
      <c r="Q191" s="4">
        <v>80632.600000000006</v>
      </c>
      <c r="R191" s="4">
        <v>1551.22</v>
      </c>
      <c r="S191" s="4">
        <v>79329.289999999994</v>
      </c>
      <c r="T191" s="4">
        <v>276568</v>
      </c>
    </row>
    <row r="192" spans="1:20">
      <c r="A192" s="3">
        <f t="shared" si="2"/>
        <v>39291</v>
      </c>
      <c r="B192" s="4">
        <v>8965.0499999999993</v>
      </c>
      <c r="C192" s="4">
        <v>1903948.99</v>
      </c>
      <c r="D192" s="4">
        <v>166046.31</v>
      </c>
      <c r="E192" s="4">
        <v>89154.08</v>
      </c>
      <c r="F192" s="4">
        <v>12469.88</v>
      </c>
      <c r="G192" s="4">
        <v>14385.93</v>
      </c>
      <c r="H192" s="4">
        <v>14265.74</v>
      </c>
      <c r="I192" s="4">
        <v>23302.3</v>
      </c>
      <c r="J192" s="4">
        <v>81296.960000000006</v>
      </c>
      <c r="K192" s="4">
        <v>126646.73</v>
      </c>
      <c r="L192" s="4">
        <v>14008.04</v>
      </c>
      <c r="M192" s="4">
        <v>22014.7</v>
      </c>
      <c r="N192" s="4">
        <v>45031.8</v>
      </c>
      <c r="O192" s="4">
        <v>12822.12</v>
      </c>
      <c r="P192" s="4">
        <v>53264.160000000003</v>
      </c>
      <c r="Q192" s="4">
        <v>79562.679999999993</v>
      </c>
      <c r="R192" s="4">
        <v>1338.02</v>
      </c>
      <c r="S192" s="4">
        <v>79685.86</v>
      </c>
      <c r="T192" s="4">
        <v>285897</v>
      </c>
    </row>
    <row r="193" spans="1:20">
      <c r="A193" s="3">
        <f t="shared" si="2"/>
        <v>39261</v>
      </c>
      <c r="B193" s="4">
        <v>8597.81</v>
      </c>
      <c r="C193" s="4">
        <v>1890620.87</v>
      </c>
      <c r="D193" s="4">
        <v>160540.32</v>
      </c>
      <c r="E193" s="4">
        <v>84102.89</v>
      </c>
      <c r="F193" s="4">
        <v>12822.06</v>
      </c>
      <c r="G193" s="4">
        <v>15102.32</v>
      </c>
      <c r="H193" s="4">
        <v>14089.71</v>
      </c>
      <c r="I193" s="4">
        <v>22957.31</v>
      </c>
      <c r="J193" s="4">
        <v>82003.75</v>
      </c>
      <c r="K193" s="4">
        <v>129104.61</v>
      </c>
      <c r="L193" s="4">
        <v>15074.17</v>
      </c>
      <c r="M193" s="4">
        <v>22017.72</v>
      </c>
      <c r="N193" s="4">
        <v>45135.57</v>
      </c>
      <c r="O193" s="4">
        <v>12963.69</v>
      </c>
      <c r="P193" s="4">
        <v>61780.91</v>
      </c>
      <c r="Q193" s="4">
        <v>77403.34</v>
      </c>
      <c r="R193" s="4">
        <v>1275.43</v>
      </c>
      <c r="S193" s="4">
        <v>79657.52</v>
      </c>
      <c r="T193" s="4">
        <v>282559</v>
      </c>
    </row>
    <row r="194" spans="1:20">
      <c r="A194" s="3">
        <f t="shared" si="2"/>
        <v>39230</v>
      </c>
      <c r="B194" s="4">
        <v>8591.4500000000007</v>
      </c>
      <c r="C194" s="4">
        <v>1864268.84</v>
      </c>
      <c r="D194" s="4">
        <v>152416.49</v>
      </c>
      <c r="E194" s="4">
        <v>94008.19</v>
      </c>
      <c r="F194" s="4">
        <v>13203.74</v>
      </c>
      <c r="G194" s="4">
        <v>15690.04</v>
      </c>
      <c r="H194" s="4">
        <v>13746.69</v>
      </c>
      <c r="I194" s="4">
        <v>22397.56</v>
      </c>
      <c r="J194" s="4">
        <v>83103.23</v>
      </c>
      <c r="K194" s="4">
        <v>129061.29</v>
      </c>
      <c r="L194" s="4">
        <v>15703.01</v>
      </c>
      <c r="M194" s="4">
        <v>27040.25</v>
      </c>
      <c r="N194" s="4">
        <v>45275.48</v>
      </c>
      <c r="O194" s="4">
        <v>12755.54</v>
      </c>
      <c r="P194" s="4">
        <v>61720.92</v>
      </c>
      <c r="Q194" s="4">
        <v>85589.119999999995</v>
      </c>
      <c r="R194" s="4">
        <v>1305.25</v>
      </c>
      <c r="S194" s="4">
        <v>79480.58</v>
      </c>
      <c r="T194" s="4">
        <v>269949</v>
      </c>
    </row>
    <row r="195" spans="1:20">
      <c r="A195" s="3">
        <f t="shared" si="2"/>
        <v>39200</v>
      </c>
      <c r="B195" s="4">
        <v>8853.18</v>
      </c>
      <c r="C195" s="4">
        <v>1843496.36</v>
      </c>
      <c r="D195" s="4">
        <v>148608.95999999999</v>
      </c>
      <c r="E195" s="4">
        <v>88523.69</v>
      </c>
      <c r="F195" s="4">
        <v>12987.05</v>
      </c>
      <c r="G195" s="4">
        <v>13694.83</v>
      </c>
      <c r="H195" s="4">
        <v>13633.5</v>
      </c>
      <c r="I195" s="4">
        <v>21868.71</v>
      </c>
      <c r="J195" s="4">
        <v>81611.429999999993</v>
      </c>
      <c r="K195" s="4">
        <v>123821.95</v>
      </c>
      <c r="L195" s="4">
        <v>15228.33</v>
      </c>
      <c r="M195" s="4">
        <v>25792.23</v>
      </c>
      <c r="N195" s="4">
        <v>44790</v>
      </c>
      <c r="O195" s="4">
        <v>12359.54</v>
      </c>
      <c r="P195" s="4">
        <v>58506.8</v>
      </c>
      <c r="Q195" s="4">
        <v>78385.570000000007</v>
      </c>
      <c r="R195" s="4">
        <v>1358.3</v>
      </c>
      <c r="S195" s="4">
        <v>79133.279999999999</v>
      </c>
      <c r="T195" s="4">
        <v>266016</v>
      </c>
    </row>
    <row r="196" spans="1:20">
      <c r="A196" s="3">
        <f t="shared" si="2"/>
        <v>39169</v>
      </c>
      <c r="B196" s="4">
        <v>8001.41</v>
      </c>
      <c r="C196" s="4">
        <v>1840808.32</v>
      </c>
      <c r="D196" s="4">
        <v>141062.79999999999</v>
      </c>
      <c r="E196" s="4">
        <v>85172.54</v>
      </c>
      <c r="F196" s="4">
        <v>12532.57</v>
      </c>
      <c r="G196" s="4">
        <v>13361.48</v>
      </c>
      <c r="H196" s="4">
        <v>11653.83</v>
      </c>
      <c r="I196" s="4">
        <v>21871.52</v>
      </c>
      <c r="J196" s="4">
        <v>81392.800000000003</v>
      </c>
      <c r="K196" s="4">
        <v>123027.73</v>
      </c>
      <c r="L196" s="4">
        <v>14871.03</v>
      </c>
      <c r="M196" s="4">
        <v>24767.46</v>
      </c>
      <c r="N196" s="4">
        <v>43636.65</v>
      </c>
      <c r="O196" s="4">
        <v>11978.18</v>
      </c>
      <c r="P196" s="4">
        <v>54171.37</v>
      </c>
      <c r="Q196" s="4">
        <v>73686.47</v>
      </c>
      <c r="R196" s="4">
        <v>1314.89</v>
      </c>
      <c r="S196" s="4">
        <v>74933.31</v>
      </c>
      <c r="T196" s="4">
        <v>254500</v>
      </c>
    </row>
    <row r="197" spans="1:20">
      <c r="A197" s="3">
        <f t="shared" si="2"/>
        <v>39141</v>
      </c>
      <c r="B197" s="4">
        <v>8178.7</v>
      </c>
      <c r="C197" s="4">
        <v>1815507.1</v>
      </c>
      <c r="D197" s="4">
        <v>134904.44</v>
      </c>
      <c r="E197" s="4">
        <v>80730.25</v>
      </c>
      <c r="F197" s="4">
        <v>12909.89</v>
      </c>
      <c r="G197" s="4">
        <v>12644.17</v>
      </c>
      <c r="H197" s="4">
        <v>10338.41</v>
      </c>
      <c r="I197" s="4">
        <v>22838.959999999999</v>
      </c>
      <c r="J197" s="4">
        <v>81935.600000000006</v>
      </c>
      <c r="K197" s="4">
        <v>122030.47</v>
      </c>
      <c r="L197" s="4">
        <v>14276.35</v>
      </c>
      <c r="M197" s="4">
        <v>20655.009999999998</v>
      </c>
      <c r="N197" s="4">
        <v>37854.97</v>
      </c>
      <c r="O197" s="4">
        <v>12144.11</v>
      </c>
      <c r="P197" s="4">
        <v>53468.69</v>
      </c>
      <c r="Q197" s="4">
        <v>73225.27</v>
      </c>
      <c r="R197" s="4">
        <v>1266.22</v>
      </c>
      <c r="S197" s="4">
        <v>52598.61</v>
      </c>
      <c r="T197" s="4">
        <v>250144</v>
      </c>
    </row>
    <row r="198" spans="1:20">
      <c r="A198" s="3">
        <f t="shared" ref="A198:A261" si="3">EDATE(A197,-1)</f>
        <v>39110</v>
      </c>
      <c r="B198" s="4">
        <v>8337.74</v>
      </c>
      <c r="C198" s="4">
        <v>1811502.5</v>
      </c>
      <c r="D198" s="4">
        <v>130638.58</v>
      </c>
      <c r="E198" s="4">
        <v>78578.649999999994</v>
      </c>
      <c r="F198" s="4">
        <v>12760.21</v>
      </c>
      <c r="G198" s="4">
        <v>12551.44</v>
      </c>
      <c r="H198" s="4">
        <v>9544.26</v>
      </c>
      <c r="I198" s="4">
        <v>23071.119999999999</v>
      </c>
      <c r="J198" s="4">
        <v>81478.77</v>
      </c>
      <c r="K198" s="4">
        <v>118067.38</v>
      </c>
      <c r="L198" s="4">
        <v>14369.01</v>
      </c>
      <c r="M198" s="4">
        <v>19322.68</v>
      </c>
      <c r="N198" s="4">
        <v>37746.99</v>
      </c>
      <c r="O198" s="4">
        <v>14163.22</v>
      </c>
      <c r="P198" s="4">
        <v>53794.86</v>
      </c>
      <c r="Q198" s="4">
        <v>72902.28</v>
      </c>
      <c r="R198" s="4">
        <v>1282.74</v>
      </c>
      <c r="S198" s="4">
        <v>52292.69</v>
      </c>
      <c r="T198" s="4">
        <v>246940.05</v>
      </c>
    </row>
    <row r="199" spans="1:20">
      <c r="A199" s="3">
        <f t="shared" si="3"/>
        <v>39079</v>
      </c>
      <c r="B199" s="4">
        <v>10842.52</v>
      </c>
      <c r="C199" s="4">
        <v>1804754.68</v>
      </c>
      <c r="D199" s="4">
        <v>151054.12</v>
      </c>
      <c r="E199" s="4">
        <v>74839.070000000007</v>
      </c>
      <c r="F199" s="4">
        <v>11990.38</v>
      </c>
      <c r="G199" s="4">
        <v>10891.97</v>
      </c>
      <c r="H199" s="4">
        <v>9453.8700000000008</v>
      </c>
      <c r="I199" s="4">
        <v>23604.13</v>
      </c>
      <c r="J199" s="4">
        <v>84420.73</v>
      </c>
      <c r="K199" s="4">
        <v>110987.69</v>
      </c>
      <c r="L199" s="4">
        <v>13020.63</v>
      </c>
      <c r="M199" s="4">
        <v>18395.37</v>
      </c>
      <c r="N199" s="4">
        <v>24888.26</v>
      </c>
      <c r="O199" s="4">
        <v>14241.44</v>
      </c>
      <c r="P199" s="4">
        <v>52131.39</v>
      </c>
      <c r="Q199" s="4">
        <v>73312.929999999993</v>
      </c>
      <c r="R199" s="4">
        <v>1335.95</v>
      </c>
      <c r="S199" s="4">
        <v>52300.51</v>
      </c>
      <c r="T199" s="4">
        <v>250779.06</v>
      </c>
    </row>
    <row r="200" spans="1:20">
      <c r="A200" s="3">
        <f t="shared" si="3"/>
        <v>39049</v>
      </c>
      <c r="B200" s="4">
        <v>8587.75</v>
      </c>
      <c r="C200" s="4">
        <v>1785823.69</v>
      </c>
      <c r="D200" s="4">
        <v>151066.15</v>
      </c>
      <c r="E200" s="4">
        <v>82931.240000000005</v>
      </c>
      <c r="F200" s="4">
        <v>12742.39</v>
      </c>
      <c r="G200" s="4">
        <v>12586.43</v>
      </c>
      <c r="H200" s="4">
        <v>9248.8700000000008</v>
      </c>
      <c r="I200" s="4">
        <v>23788.78</v>
      </c>
      <c r="J200" s="4">
        <v>82149</v>
      </c>
      <c r="K200" s="4">
        <v>118469.73</v>
      </c>
      <c r="L200" s="4">
        <v>15631.4</v>
      </c>
      <c r="M200" s="4">
        <v>18020.95</v>
      </c>
      <c r="N200" s="4">
        <v>22463.07</v>
      </c>
      <c r="O200" s="4">
        <v>12984.03</v>
      </c>
      <c r="P200" s="4">
        <v>56674.44</v>
      </c>
      <c r="Q200" s="4">
        <v>60141.74</v>
      </c>
      <c r="R200" s="4">
        <v>1427.29</v>
      </c>
      <c r="S200" s="4">
        <v>50775.27</v>
      </c>
      <c r="T200" s="4">
        <v>254303.4</v>
      </c>
    </row>
    <row r="201" spans="1:20">
      <c r="A201" s="3">
        <f t="shared" si="3"/>
        <v>39018</v>
      </c>
      <c r="B201" s="4">
        <v>8309.74</v>
      </c>
      <c r="C201" s="4">
        <v>1746942.03</v>
      </c>
      <c r="D201" s="4">
        <v>141809.84</v>
      </c>
      <c r="E201" s="4">
        <v>74936.2</v>
      </c>
      <c r="F201" s="4">
        <v>12692.6</v>
      </c>
      <c r="G201" s="4">
        <v>12935.88</v>
      </c>
      <c r="H201" s="4">
        <v>8917.51</v>
      </c>
      <c r="I201" s="4">
        <v>24088.95</v>
      </c>
      <c r="J201" s="4">
        <v>79755.62</v>
      </c>
      <c r="K201" s="4">
        <v>114614.93</v>
      </c>
      <c r="L201" s="4">
        <v>15506.15</v>
      </c>
      <c r="M201" s="4">
        <v>16944.43</v>
      </c>
      <c r="N201" s="4">
        <v>22459.62</v>
      </c>
      <c r="O201" s="4">
        <v>9420.6200000000008</v>
      </c>
      <c r="P201" s="4">
        <v>59108.61</v>
      </c>
      <c r="Q201" s="4">
        <v>59996.23</v>
      </c>
      <c r="R201" s="4">
        <v>1455</v>
      </c>
      <c r="S201" s="4">
        <v>50620.18</v>
      </c>
      <c r="T201" s="4">
        <v>234096.64000000001</v>
      </c>
    </row>
    <row r="202" spans="1:20">
      <c r="A202" s="3">
        <f t="shared" si="3"/>
        <v>38988</v>
      </c>
      <c r="B202" s="4">
        <v>7971.45</v>
      </c>
      <c r="C202" s="4">
        <v>1735509.86</v>
      </c>
      <c r="D202" s="4">
        <v>145645.63</v>
      </c>
      <c r="E202" s="4">
        <v>74912.320000000007</v>
      </c>
      <c r="F202" s="4">
        <v>11430.89</v>
      </c>
      <c r="G202" s="4">
        <v>11295.87</v>
      </c>
      <c r="H202" s="4">
        <v>9301.67</v>
      </c>
      <c r="I202" s="4">
        <v>24365.919999999998</v>
      </c>
      <c r="J202" s="4">
        <v>81184.649999999994</v>
      </c>
      <c r="K202" s="4">
        <v>115146.14</v>
      </c>
      <c r="L202" s="4">
        <v>14918.8</v>
      </c>
      <c r="M202" s="4">
        <v>16995.78</v>
      </c>
      <c r="N202" s="4">
        <v>22431.759999999998</v>
      </c>
      <c r="O202" s="4">
        <v>9184.15</v>
      </c>
      <c r="P202" s="4">
        <v>55445.87</v>
      </c>
      <c r="Q202" s="4">
        <v>60242.84</v>
      </c>
      <c r="R202" s="4">
        <v>1256.54</v>
      </c>
      <c r="S202" s="4">
        <v>50334.91</v>
      </c>
      <c r="T202" s="4">
        <v>224320.26</v>
      </c>
    </row>
    <row r="203" spans="1:20">
      <c r="A203" s="3">
        <f t="shared" si="3"/>
        <v>38957</v>
      </c>
      <c r="B203" s="4">
        <v>8262.2999999999993</v>
      </c>
      <c r="C203" s="4">
        <v>1710394.47</v>
      </c>
      <c r="D203" s="4">
        <v>133211.91</v>
      </c>
      <c r="E203" s="4">
        <v>71643.06</v>
      </c>
      <c r="F203" s="4">
        <v>11053.48</v>
      </c>
      <c r="G203" s="4">
        <v>10650.84</v>
      </c>
      <c r="H203" s="4">
        <v>9181.36</v>
      </c>
      <c r="I203" s="4">
        <v>26800.02</v>
      </c>
      <c r="J203" s="4">
        <v>76955.539999999994</v>
      </c>
      <c r="K203" s="4">
        <v>109506.13</v>
      </c>
      <c r="L203" s="4">
        <v>15526.21</v>
      </c>
      <c r="M203" s="4">
        <v>17251.63</v>
      </c>
      <c r="N203" s="4">
        <v>22491.439999999999</v>
      </c>
      <c r="O203" s="4">
        <v>9207.34</v>
      </c>
      <c r="P203" s="4">
        <v>54328.32</v>
      </c>
      <c r="Q203" s="4">
        <v>60079.6</v>
      </c>
      <c r="R203" s="4">
        <v>1363.51</v>
      </c>
      <c r="S203" s="4">
        <v>50247.519999999997</v>
      </c>
      <c r="T203" s="4">
        <v>221823.99</v>
      </c>
    </row>
    <row r="204" spans="1:20">
      <c r="A204" s="3">
        <f t="shared" si="3"/>
        <v>38926</v>
      </c>
      <c r="B204" s="4">
        <v>8629.14</v>
      </c>
      <c r="C204" s="4">
        <v>1712177.82</v>
      </c>
      <c r="D204" s="4">
        <v>128589.6</v>
      </c>
      <c r="E204" s="4">
        <v>74234</v>
      </c>
      <c r="F204" s="4">
        <v>10902.74</v>
      </c>
      <c r="G204" s="4">
        <v>10691.13</v>
      </c>
      <c r="H204" s="4">
        <v>9243.74</v>
      </c>
      <c r="I204" s="4">
        <v>26846.63</v>
      </c>
      <c r="J204" s="4">
        <v>77403.87</v>
      </c>
      <c r="K204" s="4">
        <v>110835.85</v>
      </c>
      <c r="L204" s="4">
        <v>15401.94</v>
      </c>
      <c r="M204" s="4">
        <v>17128.93</v>
      </c>
      <c r="N204" s="4">
        <v>22490.36</v>
      </c>
      <c r="O204" s="4">
        <v>9231.35</v>
      </c>
      <c r="P204" s="4">
        <v>53476.77</v>
      </c>
      <c r="Q204" s="4">
        <v>59791.86</v>
      </c>
      <c r="R204" s="4">
        <v>1396.08</v>
      </c>
      <c r="S204" s="4">
        <v>50018.89</v>
      </c>
      <c r="T204" s="4">
        <v>226773.05</v>
      </c>
    </row>
    <row r="205" spans="1:20">
      <c r="A205" s="3">
        <f t="shared" si="3"/>
        <v>38896</v>
      </c>
      <c r="B205" s="4">
        <v>8098.04</v>
      </c>
      <c r="C205" s="4">
        <v>1683580.25</v>
      </c>
      <c r="D205" s="4">
        <v>128302.78</v>
      </c>
      <c r="E205" s="4">
        <v>67537.679999999993</v>
      </c>
      <c r="F205" s="4">
        <v>10419.700000000001</v>
      </c>
      <c r="G205" s="4">
        <v>10097.56</v>
      </c>
      <c r="H205" s="4">
        <v>9417.64</v>
      </c>
      <c r="I205" s="4">
        <v>24740.45</v>
      </c>
      <c r="J205" s="4">
        <v>77097.649999999994</v>
      </c>
      <c r="K205" s="4">
        <v>113690.13</v>
      </c>
      <c r="L205" s="4">
        <v>14973.05</v>
      </c>
      <c r="M205" s="4">
        <v>16724.689999999999</v>
      </c>
      <c r="N205" s="4">
        <v>21226.71</v>
      </c>
      <c r="O205" s="4">
        <v>9166.65</v>
      </c>
      <c r="P205" s="4">
        <v>56045.9</v>
      </c>
      <c r="Q205" s="4">
        <v>59985.29</v>
      </c>
      <c r="R205" s="4">
        <v>1438.54</v>
      </c>
      <c r="S205" s="4">
        <v>49893.919999999998</v>
      </c>
      <c r="T205" s="4">
        <v>232207.77</v>
      </c>
    </row>
    <row r="206" spans="1:20">
      <c r="A206" s="3">
        <f t="shared" si="3"/>
        <v>38865</v>
      </c>
      <c r="B206" s="4">
        <v>8411.36</v>
      </c>
      <c r="C206" s="4">
        <v>1679040.44</v>
      </c>
      <c r="D206" s="4">
        <v>129523.95</v>
      </c>
      <c r="E206" s="4">
        <v>69093.52</v>
      </c>
      <c r="F206" s="4">
        <v>10874.4</v>
      </c>
      <c r="G206" s="4">
        <v>11912.74</v>
      </c>
      <c r="H206" s="4">
        <v>9968.36</v>
      </c>
      <c r="I206" s="4">
        <v>24884.81</v>
      </c>
      <c r="J206" s="4">
        <v>77851.03</v>
      </c>
      <c r="K206" s="4">
        <v>109465.67</v>
      </c>
      <c r="L206" s="4">
        <v>15944.65</v>
      </c>
      <c r="M206" s="4">
        <v>16596.54</v>
      </c>
      <c r="N206" s="4">
        <v>21650.18</v>
      </c>
      <c r="O206" s="4">
        <v>9120.2900000000009</v>
      </c>
      <c r="P206" s="4">
        <v>59797.29</v>
      </c>
      <c r="Q206" s="4">
        <v>66161.62</v>
      </c>
      <c r="R206" s="4">
        <v>1176.56</v>
      </c>
      <c r="S206" s="4">
        <v>49524.15</v>
      </c>
      <c r="T206" s="4">
        <v>238815.15</v>
      </c>
    </row>
    <row r="207" spans="1:20">
      <c r="A207" s="3">
        <f t="shared" si="3"/>
        <v>38835</v>
      </c>
      <c r="B207" s="4">
        <v>8371.8799999999992</v>
      </c>
      <c r="C207" s="4">
        <v>1651886.56</v>
      </c>
      <c r="D207" s="4">
        <v>133619.34</v>
      </c>
      <c r="E207" s="4">
        <v>62942.1</v>
      </c>
      <c r="F207" s="4">
        <v>10192.93</v>
      </c>
      <c r="G207" s="4">
        <v>10838.87</v>
      </c>
      <c r="H207" s="4">
        <v>9315.86</v>
      </c>
      <c r="I207" s="4">
        <v>24446.51</v>
      </c>
      <c r="J207" s="4">
        <v>78236.45</v>
      </c>
      <c r="K207" s="4">
        <v>107450.56</v>
      </c>
      <c r="L207" s="4">
        <v>16405.990000000002</v>
      </c>
      <c r="M207" s="4">
        <v>15887.26</v>
      </c>
      <c r="N207" s="4">
        <v>21682.76</v>
      </c>
      <c r="O207" s="4">
        <v>9342.7999999999993</v>
      </c>
      <c r="P207" s="4">
        <v>58559.61</v>
      </c>
      <c r="Q207" s="4">
        <v>65257.32</v>
      </c>
      <c r="R207" s="4">
        <v>1091.95</v>
      </c>
      <c r="S207" s="4">
        <v>49549.15</v>
      </c>
      <c r="T207" s="4">
        <v>242004.87</v>
      </c>
    </row>
    <row r="208" spans="1:20">
      <c r="A208" s="3">
        <f t="shared" si="3"/>
        <v>38804</v>
      </c>
      <c r="B208" s="4">
        <v>7726.02</v>
      </c>
      <c r="C208" s="4">
        <v>1630587.89</v>
      </c>
      <c r="D208" s="4">
        <v>133174.85</v>
      </c>
      <c r="E208" s="4">
        <v>62006.78</v>
      </c>
      <c r="F208" s="4">
        <v>9986.86</v>
      </c>
      <c r="G208" s="4">
        <v>13086.71</v>
      </c>
      <c r="H208" s="4">
        <v>10131.469999999999</v>
      </c>
      <c r="I208" s="4">
        <v>24778.5</v>
      </c>
      <c r="J208" s="4">
        <v>77921.03</v>
      </c>
      <c r="K208" s="4">
        <v>108078.28</v>
      </c>
      <c r="L208" s="4">
        <v>17037.43</v>
      </c>
      <c r="M208" s="4">
        <v>15470.94</v>
      </c>
      <c r="N208" s="4">
        <v>21656.58</v>
      </c>
      <c r="O208" s="4">
        <v>9302.16</v>
      </c>
      <c r="P208" s="4">
        <v>55160.74</v>
      </c>
      <c r="Q208" s="4">
        <v>62481.41</v>
      </c>
      <c r="R208" s="4">
        <v>1250.27</v>
      </c>
      <c r="S208" s="4">
        <v>48903.45</v>
      </c>
      <c r="T208" s="4">
        <v>239818.1</v>
      </c>
    </row>
    <row r="209" spans="1:20">
      <c r="A209" s="3">
        <f t="shared" si="3"/>
        <v>38776</v>
      </c>
      <c r="B209" s="4">
        <v>8002.54</v>
      </c>
      <c r="C209" s="4">
        <v>1610328.44</v>
      </c>
      <c r="D209" s="4">
        <v>115101.4</v>
      </c>
      <c r="E209" s="4">
        <v>57924.160000000003</v>
      </c>
      <c r="F209" s="4">
        <v>9342.26</v>
      </c>
      <c r="G209" s="4">
        <v>14203.39</v>
      </c>
      <c r="H209" s="4">
        <v>11225</v>
      </c>
      <c r="I209" s="4">
        <v>25431.41</v>
      </c>
      <c r="J209" s="4">
        <v>77146.87</v>
      </c>
      <c r="K209" s="4">
        <v>112100.28</v>
      </c>
      <c r="L209" s="4">
        <v>18387.849999999999</v>
      </c>
      <c r="M209" s="4">
        <v>14887.19</v>
      </c>
      <c r="N209" s="4">
        <v>21545.57</v>
      </c>
      <c r="O209" s="4">
        <v>9663.98</v>
      </c>
      <c r="P209" s="4">
        <v>52484.45</v>
      </c>
      <c r="Q209" s="4">
        <v>60760.02</v>
      </c>
      <c r="R209" s="4">
        <v>1348.9</v>
      </c>
      <c r="S209" s="4">
        <v>48663.87</v>
      </c>
      <c r="T209" s="4">
        <v>246647.03</v>
      </c>
    </row>
    <row r="210" spans="1:20">
      <c r="A210" s="3">
        <f t="shared" si="3"/>
        <v>38745</v>
      </c>
      <c r="B210" s="4">
        <v>7870.91</v>
      </c>
      <c r="C210" s="4">
        <v>1623391.89</v>
      </c>
      <c r="D210" s="4">
        <v>121445.56</v>
      </c>
      <c r="E210" s="4">
        <v>65825.929999999993</v>
      </c>
      <c r="F210" s="4">
        <v>9151.9599999999991</v>
      </c>
      <c r="G210" s="4">
        <v>14176.05</v>
      </c>
      <c r="H210" s="4">
        <v>11017.73</v>
      </c>
      <c r="I210" s="4">
        <v>25202.59</v>
      </c>
      <c r="J210" s="4">
        <v>75851.37</v>
      </c>
      <c r="K210" s="4">
        <v>113132.1</v>
      </c>
      <c r="L210" s="4">
        <v>18413.57</v>
      </c>
      <c r="M210" s="4">
        <v>14120.05</v>
      </c>
      <c r="N210" s="4">
        <v>21540.21</v>
      </c>
      <c r="O210" s="4">
        <v>9543.07</v>
      </c>
      <c r="P210" s="4">
        <v>50523.05</v>
      </c>
      <c r="Q210" s="4">
        <v>60085.84</v>
      </c>
      <c r="R210" s="4">
        <v>1379.07</v>
      </c>
      <c r="S210" s="4">
        <v>48634.43</v>
      </c>
      <c r="T210" s="4">
        <v>246858.02</v>
      </c>
    </row>
    <row r="211" spans="1:20">
      <c r="A211" s="3">
        <f t="shared" si="3"/>
        <v>38714</v>
      </c>
      <c r="B211" s="4">
        <v>9290.7800000000007</v>
      </c>
      <c r="C211" s="4">
        <v>1606758.9</v>
      </c>
      <c r="D211" s="4">
        <v>120053.93</v>
      </c>
      <c r="E211" s="4">
        <v>63588.160000000003</v>
      </c>
      <c r="F211" s="4">
        <v>8886.2000000000007</v>
      </c>
      <c r="G211" s="4">
        <v>12392.63</v>
      </c>
      <c r="H211" s="4">
        <v>10718.6</v>
      </c>
      <c r="I211" s="4">
        <v>25374.7</v>
      </c>
      <c r="J211" s="4">
        <v>75252.800000000003</v>
      </c>
      <c r="K211" s="4">
        <v>106432.88</v>
      </c>
      <c r="L211" s="4">
        <v>14729.56</v>
      </c>
      <c r="M211" s="4">
        <v>13855.16</v>
      </c>
      <c r="N211" s="4">
        <v>21416.959999999999</v>
      </c>
      <c r="O211" s="4">
        <v>9506.64</v>
      </c>
      <c r="P211" s="4">
        <v>50204.28</v>
      </c>
      <c r="Q211" s="4">
        <v>58903.17</v>
      </c>
      <c r="R211" s="4">
        <v>1530.97</v>
      </c>
      <c r="S211" s="4">
        <v>48463.06</v>
      </c>
      <c r="T211" s="4">
        <v>252076</v>
      </c>
    </row>
    <row r="212" spans="1:20">
      <c r="A212" s="3">
        <f t="shared" si="3"/>
        <v>38684</v>
      </c>
      <c r="B212" s="4">
        <v>8278.65</v>
      </c>
      <c r="C212" s="4">
        <v>1595883.97</v>
      </c>
      <c r="D212" s="4">
        <v>116046.92</v>
      </c>
      <c r="E212" s="4">
        <v>68201.42</v>
      </c>
      <c r="F212" s="4">
        <v>8216.9500000000007</v>
      </c>
      <c r="G212" s="4">
        <v>15338.5</v>
      </c>
      <c r="H212" s="4">
        <v>11171.97</v>
      </c>
      <c r="I212" s="4">
        <v>25350.3</v>
      </c>
      <c r="J212" s="4">
        <v>70667.740000000005</v>
      </c>
      <c r="K212" s="4">
        <v>116767.59</v>
      </c>
      <c r="L212" s="4">
        <v>20052.72</v>
      </c>
      <c r="M212" s="4">
        <v>13880.69</v>
      </c>
      <c r="N212" s="4">
        <v>21431.52</v>
      </c>
      <c r="O212" s="4">
        <v>9488.82</v>
      </c>
      <c r="P212" s="4">
        <v>56668.77</v>
      </c>
      <c r="Q212" s="4">
        <v>61131.34</v>
      </c>
      <c r="R212" s="4">
        <v>1542.54</v>
      </c>
      <c r="S212" s="4">
        <v>48337.29</v>
      </c>
      <c r="T212" s="4">
        <v>253361.8</v>
      </c>
    </row>
    <row r="213" spans="1:20">
      <c r="A213" s="3">
        <f t="shared" si="3"/>
        <v>38653</v>
      </c>
      <c r="B213" s="4">
        <v>7911.6</v>
      </c>
      <c r="C213" s="4">
        <v>1584904.16</v>
      </c>
      <c r="D213" s="4">
        <v>110779.17</v>
      </c>
      <c r="E213" s="4">
        <v>66810.259999999995</v>
      </c>
      <c r="F213" s="4">
        <v>8440.41</v>
      </c>
      <c r="G213" s="4">
        <v>14321.5</v>
      </c>
      <c r="H213" s="4">
        <v>11557.69</v>
      </c>
      <c r="I213" s="4">
        <v>25209.18</v>
      </c>
      <c r="J213" s="4">
        <v>69516.320000000007</v>
      </c>
      <c r="K213" s="4">
        <v>116628.45</v>
      </c>
      <c r="L213" s="4">
        <v>20117.419999999998</v>
      </c>
      <c r="M213" s="4">
        <v>13121.33</v>
      </c>
      <c r="N213" s="4">
        <v>5346.91</v>
      </c>
      <c r="O213" s="4">
        <v>9490.7000000000007</v>
      </c>
      <c r="P213" s="4">
        <v>62925.26</v>
      </c>
      <c r="Q213" s="4">
        <v>60101.24</v>
      </c>
      <c r="R213" s="4">
        <v>1495.2</v>
      </c>
      <c r="S213" s="4">
        <v>47990.86</v>
      </c>
      <c r="T213" s="4">
        <v>242849.07</v>
      </c>
    </row>
    <row r="214" spans="1:20">
      <c r="A214" s="3">
        <f t="shared" si="3"/>
        <v>38623</v>
      </c>
      <c r="B214" s="4">
        <v>7410.18</v>
      </c>
      <c r="C214" s="4">
        <v>1565229.94</v>
      </c>
      <c r="D214" s="4">
        <v>111799.55</v>
      </c>
      <c r="E214" s="4">
        <v>69140.94</v>
      </c>
      <c r="F214" s="4">
        <v>7867.12</v>
      </c>
      <c r="G214" s="4">
        <v>15396.84</v>
      </c>
      <c r="H214" s="4">
        <v>11735.64</v>
      </c>
      <c r="I214" s="4">
        <v>24976.240000000002</v>
      </c>
      <c r="J214" s="4">
        <v>70374.66</v>
      </c>
      <c r="K214" s="4">
        <v>111645.33</v>
      </c>
      <c r="L214" s="4">
        <v>20255.32</v>
      </c>
      <c r="M214" s="4">
        <v>12959.23</v>
      </c>
      <c r="N214" s="4">
        <v>5100.6899999999996</v>
      </c>
      <c r="O214" s="4">
        <v>9286.27</v>
      </c>
      <c r="P214" s="4">
        <v>53025.94</v>
      </c>
      <c r="Q214" s="4">
        <v>60537.14</v>
      </c>
      <c r="R214" s="4">
        <v>1605.67</v>
      </c>
      <c r="S214" s="4">
        <v>47266.84</v>
      </c>
      <c r="T214" s="4">
        <v>244076.07</v>
      </c>
    </row>
    <row r="215" spans="1:20">
      <c r="A215" s="3">
        <f t="shared" si="3"/>
        <v>38592</v>
      </c>
      <c r="B215" s="4">
        <v>7601.93</v>
      </c>
      <c r="C215" s="4">
        <v>1550232.94</v>
      </c>
      <c r="D215" s="4">
        <v>115402.09</v>
      </c>
      <c r="E215" s="4">
        <v>60233.49</v>
      </c>
      <c r="F215" s="4">
        <v>7717.76</v>
      </c>
      <c r="G215" s="4">
        <v>15813.45</v>
      </c>
      <c r="H215" s="4">
        <v>11687.73</v>
      </c>
      <c r="I215" s="4">
        <v>24232.77</v>
      </c>
      <c r="J215" s="4">
        <v>67261.8</v>
      </c>
      <c r="K215" s="4">
        <v>109555.98</v>
      </c>
      <c r="L215" s="4">
        <v>20768.759999999998</v>
      </c>
      <c r="M215" s="4">
        <v>12289.58</v>
      </c>
      <c r="N215" s="4">
        <v>5304.38</v>
      </c>
      <c r="O215" s="4">
        <v>9307.34</v>
      </c>
      <c r="P215" s="4">
        <v>48599.15</v>
      </c>
      <c r="Q215" s="4">
        <v>60550.51</v>
      </c>
      <c r="R215" s="4">
        <v>1592.71</v>
      </c>
      <c r="S215" s="4">
        <v>47329.98</v>
      </c>
      <c r="T215" s="4">
        <v>236375.25</v>
      </c>
    </row>
    <row r="216" spans="1:20">
      <c r="A216" s="3">
        <f t="shared" si="3"/>
        <v>38561</v>
      </c>
      <c r="B216" s="4">
        <v>7656.8</v>
      </c>
      <c r="C216" s="4">
        <v>1549545.64</v>
      </c>
      <c r="D216" s="4">
        <v>108755.21</v>
      </c>
      <c r="E216" s="4">
        <v>65976.52</v>
      </c>
      <c r="F216" s="4">
        <v>8286.31</v>
      </c>
      <c r="G216" s="4">
        <v>16497.98</v>
      </c>
      <c r="H216" s="4">
        <v>11319.38</v>
      </c>
      <c r="I216" s="4">
        <v>24643.79</v>
      </c>
      <c r="J216" s="4">
        <v>67641.55</v>
      </c>
      <c r="K216" s="4">
        <v>110501.04</v>
      </c>
      <c r="L216" s="4">
        <v>20952.79</v>
      </c>
      <c r="M216" s="4">
        <v>12507.54</v>
      </c>
      <c r="N216" s="4">
        <v>5134.45</v>
      </c>
      <c r="O216" s="4">
        <v>9317.35</v>
      </c>
      <c r="P216" s="4">
        <v>48621.99</v>
      </c>
      <c r="Q216" s="4">
        <v>60824.1</v>
      </c>
      <c r="R216" s="4">
        <v>1712.41</v>
      </c>
      <c r="S216" s="4">
        <v>47278.38</v>
      </c>
      <c r="T216" s="4">
        <v>242303.03</v>
      </c>
    </row>
    <row r="217" spans="1:20">
      <c r="A217" s="3">
        <f t="shared" si="3"/>
        <v>38531</v>
      </c>
      <c r="B217" s="4">
        <v>7592.95</v>
      </c>
      <c r="C217" s="4">
        <v>1559151.43</v>
      </c>
      <c r="D217" s="4">
        <v>109740.73</v>
      </c>
      <c r="E217" s="4">
        <v>65535.95</v>
      </c>
      <c r="F217" s="4">
        <v>8264.5499999999993</v>
      </c>
      <c r="G217" s="4">
        <v>17285.57</v>
      </c>
      <c r="H217" s="4">
        <v>11042.72</v>
      </c>
      <c r="I217" s="4">
        <v>24917.47</v>
      </c>
      <c r="J217" s="4">
        <v>66517.100000000006</v>
      </c>
      <c r="K217" s="4">
        <v>112045.51</v>
      </c>
      <c r="L217" s="4">
        <v>19072.22</v>
      </c>
      <c r="M217" s="4">
        <v>13841.88</v>
      </c>
      <c r="N217" s="4">
        <v>5369.77</v>
      </c>
      <c r="O217" s="4">
        <v>9017.32</v>
      </c>
      <c r="P217" s="4">
        <v>58848.87</v>
      </c>
      <c r="Q217" s="4">
        <v>57125.81</v>
      </c>
      <c r="R217" s="4">
        <v>1714.92</v>
      </c>
      <c r="S217" s="4">
        <v>46643.06</v>
      </c>
      <c r="T217" s="4">
        <v>251203</v>
      </c>
    </row>
    <row r="218" spans="1:20">
      <c r="A218" s="3">
        <f t="shared" si="3"/>
        <v>38500</v>
      </c>
      <c r="B218" s="4">
        <v>7600.71</v>
      </c>
      <c r="C218" s="4">
        <v>1533826.17</v>
      </c>
      <c r="D218" s="4">
        <v>110529.92</v>
      </c>
      <c r="E218" s="4">
        <v>63102.73</v>
      </c>
      <c r="F218" s="4">
        <v>8353.94</v>
      </c>
      <c r="G218" s="4">
        <v>18764.150000000001</v>
      </c>
      <c r="H218" s="4">
        <v>10690.81</v>
      </c>
      <c r="I218" s="4">
        <v>24231.69</v>
      </c>
      <c r="J218" s="4">
        <v>62242.45</v>
      </c>
      <c r="K218" s="4">
        <v>106496.45</v>
      </c>
      <c r="L218" s="4">
        <v>18686.95</v>
      </c>
      <c r="M218" s="4">
        <v>13585.07</v>
      </c>
      <c r="N218" s="4">
        <v>5247.94</v>
      </c>
      <c r="O218" s="4">
        <v>10716.75</v>
      </c>
      <c r="P218" s="4">
        <v>63165.55</v>
      </c>
      <c r="Q218" s="4">
        <v>60915.03</v>
      </c>
      <c r="R218" s="4">
        <v>1688.8</v>
      </c>
      <c r="S218" s="4">
        <v>46785.51</v>
      </c>
      <c r="T218" s="4">
        <v>250720.83</v>
      </c>
    </row>
    <row r="219" spans="1:20">
      <c r="A219" s="3">
        <f t="shared" si="3"/>
        <v>38470</v>
      </c>
      <c r="B219" s="4">
        <v>7414.22</v>
      </c>
      <c r="C219" s="4">
        <v>1509669.09</v>
      </c>
      <c r="D219" s="4">
        <v>105549.64</v>
      </c>
      <c r="E219" s="4">
        <v>59430.75</v>
      </c>
      <c r="F219" s="4">
        <v>8503.81</v>
      </c>
      <c r="G219" s="4">
        <v>17573.759999999998</v>
      </c>
      <c r="H219" s="4">
        <v>10716.91</v>
      </c>
      <c r="I219" s="4">
        <v>24135.88</v>
      </c>
      <c r="J219" s="4">
        <v>61006.38</v>
      </c>
      <c r="K219" s="4">
        <v>106022.19</v>
      </c>
      <c r="L219" s="4">
        <v>18218.990000000002</v>
      </c>
      <c r="M219" s="4">
        <v>12864.21</v>
      </c>
      <c r="N219" s="4">
        <v>5120.53</v>
      </c>
      <c r="O219" s="4">
        <v>10317.85</v>
      </c>
      <c r="P219" s="4">
        <v>57560.32</v>
      </c>
      <c r="Q219" s="4">
        <v>59794.64</v>
      </c>
      <c r="R219" s="4">
        <v>1761.75</v>
      </c>
      <c r="S219" s="4">
        <v>46668.25</v>
      </c>
      <c r="T219" s="4">
        <v>233662</v>
      </c>
    </row>
    <row r="220" spans="1:20">
      <c r="A220" s="3">
        <f t="shared" si="3"/>
        <v>38439</v>
      </c>
      <c r="B220" s="4">
        <v>8045.36</v>
      </c>
      <c r="C220" s="4">
        <v>1503471.82</v>
      </c>
      <c r="D220" s="4">
        <v>101595.42</v>
      </c>
      <c r="E220" s="4">
        <v>56838.54</v>
      </c>
      <c r="F220" s="4">
        <v>8280.4599999999991</v>
      </c>
      <c r="G220" s="4">
        <v>18003.8</v>
      </c>
      <c r="H220" s="4">
        <v>10361.81</v>
      </c>
      <c r="I220" s="4">
        <v>22932.94</v>
      </c>
      <c r="J220" s="4">
        <v>60653.06</v>
      </c>
      <c r="K220" s="4">
        <v>103669.61</v>
      </c>
      <c r="L220" s="4">
        <v>18825.669999999998</v>
      </c>
      <c r="M220" s="4">
        <v>12847.86</v>
      </c>
      <c r="N220" s="4">
        <v>5085.74</v>
      </c>
      <c r="O220" s="4">
        <v>10254.290000000001</v>
      </c>
      <c r="P220" s="4">
        <v>52583.14</v>
      </c>
      <c r="Q220" s="4">
        <v>55456.36</v>
      </c>
      <c r="R220" s="4">
        <v>1808.65</v>
      </c>
      <c r="S220" s="4">
        <v>46989.67</v>
      </c>
      <c r="T220" s="4">
        <v>231863.23</v>
      </c>
    </row>
    <row r="221" spans="1:20">
      <c r="A221" s="3">
        <f t="shared" si="3"/>
        <v>38411</v>
      </c>
      <c r="B221" s="4">
        <v>7465.05</v>
      </c>
      <c r="C221" s="4">
        <v>1489041.61</v>
      </c>
      <c r="D221" s="4">
        <v>100436.98</v>
      </c>
      <c r="E221" s="4">
        <v>54068.160000000003</v>
      </c>
      <c r="F221" s="4">
        <v>7779.03</v>
      </c>
      <c r="G221" s="4">
        <v>19028.400000000001</v>
      </c>
      <c r="H221" s="4">
        <v>9279.01</v>
      </c>
      <c r="I221" s="4">
        <v>21860.23</v>
      </c>
      <c r="J221" s="4">
        <v>60344.63</v>
      </c>
      <c r="K221" s="4">
        <v>101820.77</v>
      </c>
      <c r="L221" s="4">
        <v>17716.060000000001</v>
      </c>
      <c r="M221" s="4">
        <v>12798.02</v>
      </c>
      <c r="N221" s="4">
        <v>5271.58</v>
      </c>
      <c r="O221" s="4">
        <v>10092.049999999999</v>
      </c>
      <c r="P221" s="4">
        <v>49943.56</v>
      </c>
      <c r="Q221" s="4">
        <v>53082.9</v>
      </c>
      <c r="R221" s="4">
        <v>1877.46</v>
      </c>
      <c r="S221" s="4">
        <v>46981.27</v>
      </c>
      <c r="T221" s="4">
        <v>222932.82</v>
      </c>
    </row>
    <row r="222" spans="1:20">
      <c r="A222" s="3">
        <f t="shared" si="3"/>
        <v>38380</v>
      </c>
      <c r="B222" s="4">
        <v>7508.39</v>
      </c>
      <c r="C222" s="4">
        <v>1496391.54</v>
      </c>
      <c r="D222" s="4">
        <v>97645.11</v>
      </c>
      <c r="E222" s="4">
        <v>55060.36</v>
      </c>
      <c r="F222" s="4">
        <v>7925.88</v>
      </c>
      <c r="G222" s="4">
        <v>18618.07</v>
      </c>
      <c r="H222" s="4">
        <v>8307.9</v>
      </c>
      <c r="I222" s="4">
        <v>22155.34</v>
      </c>
      <c r="J222" s="4">
        <v>59265.09</v>
      </c>
      <c r="K222" s="4">
        <v>96963.46</v>
      </c>
      <c r="L222" s="4">
        <v>17961.759999999998</v>
      </c>
      <c r="M222" s="4">
        <v>12192.86</v>
      </c>
      <c r="N222" s="4">
        <v>5231.76</v>
      </c>
      <c r="O222" s="4">
        <v>9995.61</v>
      </c>
      <c r="P222" s="4">
        <v>48477.31</v>
      </c>
      <c r="Q222" s="4">
        <v>52955.360000000001</v>
      </c>
      <c r="R222" s="4">
        <v>1709.37</v>
      </c>
      <c r="S222" s="4">
        <v>46543.7</v>
      </c>
      <c r="T222" s="4">
        <v>225708</v>
      </c>
    </row>
    <row r="223" spans="1:20">
      <c r="A223" s="3">
        <f t="shared" si="3"/>
        <v>38349</v>
      </c>
      <c r="B223" s="4">
        <v>9082.9599999999991</v>
      </c>
      <c r="C223" s="4">
        <v>1487979.14</v>
      </c>
      <c r="D223" s="4">
        <v>106593.4</v>
      </c>
      <c r="E223" s="4">
        <v>61097.71</v>
      </c>
      <c r="F223" s="4">
        <v>7855.12</v>
      </c>
      <c r="G223" s="4">
        <v>17262.37</v>
      </c>
      <c r="H223" s="4">
        <v>7650.32</v>
      </c>
      <c r="I223" s="4">
        <v>22476.57</v>
      </c>
      <c r="J223" s="4">
        <v>59521.03</v>
      </c>
      <c r="K223" s="4">
        <v>95070.12</v>
      </c>
      <c r="L223" s="4">
        <v>14401.88</v>
      </c>
      <c r="M223" s="4">
        <v>12383.18</v>
      </c>
      <c r="N223" s="4">
        <v>5442.31</v>
      </c>
      <c r="O223" s="4">
        <v>8368.08</v>
      </c>
      <c r="P223" s="4">
        <v>45944.4</v>
      </c>
      <c r="Q223" s="4">
        <v>52572.83</v>
      </c>
      <c r="R223" s="4">
        <v>1869.27</v>
      </c>
      <c r="S223" s="4">
        <v>47075.86</v>
      </c>
      <c r="T223" s="4">
        <v>212983.22</v>
      </c>
    </row>
    <row r="224" spans="1:20">
      <c r="A224" s="3">
        <f t="shared" si="3"/>
        <v>38319</v>
      </c>
      <c r="B224" s="4">
        <v>7980.8</v>
      </c>
      <c r="C224" s="4">
        <v>1454692.41</v>
      </c>
      <c r="D224" s="4">
        <v>100443.17</v>
      </c>
      <c r="E224" s="4">
        <v>67184.94</v>
      </c>
      <c r="F224" s="4">
        <v>7819.93</v>
      </c>
      <c r="G224" s="4">
        <v>17504.53</v>
      </c>
      <c r="H224" s="4">
        <v>7804.96</v>
      </c>
      <c r="I224" s="4">
        <v>24432.14</v>
      </c>
      <c r="J224" s="4">
        <v>61962.16</v>
      </c>
      <c r="K224" s="4">
        <v>106227.54</v>
      </c>
      <c r="L224" s="4">
        <v>16810.55</v>
      </c>
      <c r="M224" s="4">
        <v>12995.14</v>
      </c>
      <c r="N224" s="4">
        <v>5334.97</v>
      </c>
      <c r="O224" s="4">
        <v>10633.15</v>
      </c>
      <c r="P224" s="4">
        <v>47500.7</v>
      </c>
      <c r="Q224" s="4">
        <v>52795.59</v>
      </c>
      <c r="R224" s="4">
        <v>1822.56</v>
      </c>
      <c r="S224" s="4">
        <v>46835.41</v>
      </c>
      <c r="T224" s="4">
        <v>213045.94</v>
      </c>
    </row>
    <row r="225" spans="1:20">
      <c r="A225" s="3">
        <f t="shared" si="3"/>
        <v>38288</v>
      </c>
      <c r="B225" s="4">
        <v>7043.66</v>
      </c>
      <c r="C225" s="4">
        <v>1441548.02</v>
      </c>
      <c r="D225" s="4">
        <v>95577.7</v>
      </c>
      <c r="E225" s="4">
        <v>63399.23</v>
      </c>
      <c r="F225" s="4">
        <v>8124.31</v>
      </c>
      <c r="G225" s="4">
        <v>15305.89</v>
      </c>
      <c r="H225" s="4">
        <v>7624.07</v>
      </c>
      <c r="I225" s="4">
        <v>21741.58</v>
      </c>
      <c r="J225" s="4">
        <v>62718.85</v>
      </c>
      <c r="K225" s="4">
        <v>108107.59</v>
      </c>
      <c r="L225" s="4">
        <v>17819.72</v>
      </c>
      <c r="M225" s="4">
        <v>12802.22</v>
      </c>
      <c r="N225" s="4">
        <v>5322.2</v>
      </c>
      <c r="O225" s="4">
        <v>10699.82</v>
      </c>
      <c r="P225" s="4">
        <v>45565.1</v>
      </c>
      <c r="Q225" s="4">
        <v>51898.94</v>
      </c>
      <c r="R225" s="4">
        <v>1793.86</v>
      </c>
      <c r="S225" s="4">
        <v>47128.21</v>
      </c>
      <c r="T225" s="4">
        <v>198644.8</v>
      </c>
    </row>
    <row r="226" spans="1:20">
      <c r="A226" s="3">
        <f t="shared" si="3"/>
        <v>38258</v>
      </c>
      <c r="B226" s="4">
        <v>7475.8</v>
      </c>
      <c r="C226" s="4">
        <v>1438874.35</v>
      </c>
      <c r="D226" s="4">
        <v>86278.64</v>
      </c>
      <c r="E226" s="4">
        <v>67480.06</v>
      </c>
      <c r="F226" s="4">
        <v>7817.61</v>
      </c>
      <c r="G226" s="4">
        <v>15333.19</v>
      </c>
      <c r="H226" s="4">
        <v>6964.84</v>
      </c>
      <c r="I226" s="4">
        <v>21134.7</v>
      </c>
      <c r="J226" s="4">
        <v>61463.24</v>
      </c>
      <c r="K226" s="4">
        <v>108367.37</v>
      </c>
      <c r="L226" s="4">
        <v>16683.09</v>
      </c>
      <c r="M226" s="4">
        <v>12311.57</v>
      </c>
      <c r="N226" s="4">
        <v>5617.3</v>
      </c>
      <c r="O226" s="4">
        <v>10284.98</v>
      </c>
      <c r="P226" s="4">
        <v>44312.1</v>
      </c>
      <c r="Q226" s="4">
        <v>51345.5</v>
      </c>
      <c r="R226" s="4">
        <v>1636.5</v>
      </c>
      <c r="S226" s="4">
        <v>47071.12</v>
      </c>
      <c r="T226" s="4">
        <v>193110.84</v>
      </c>
    </row>
    <row r="227" spans="1:20">
      <c r="A227" s="3">
        <f t="shared" si="3"/>
        <v>38227</v>
      </c>
      <c r="B227" s="4">
        <v>7288.68</v>
      </c>
      <c r="C227" s="4">
        <v>1434671.16</v>
      </c>
      <c r="D227" s="4">
        <v>85858.93</v>
      </c>
      <c r="E227" s="4">
        <v>64429.41</v>
      </c>
      <c r="F227" s="4">
        <v>7847.08</v>
      </c>
      <c r="G227" s="4">
        <v>16537.240000000002</v>
      </c>
      <c r="H227" s="4">
        <v>6605.39</v>
      </c>
      <c r="I227" s="4">
        <v>20719.52</v>
      </c>
      <c r="J227" s="4">
        <v>60672.24</v>
      </c>
      <c r="K227" s="4">
        <v>105172.52</v>
      </c>
      <c r="L227" s="4">
        <v>16341.03</v>
      </c>
      <c r="M227" s="4">
        <v>12532.01</v>
      </c>
      <c r="N227" s="4">
        <v>5379.99</v>
      </c>
      <c r="O227" s="4">
        <v>9977.75</v>
      </c>
      <c r="P227" s="4">
        <v>48571.72</v>
      </c>
      <c r="Q227" s="4">
        <v>51659.85</v>
      </c>
      <c r="R227" s="4">
        <v>1527.16</v>
      </c>
      <c r="S227" s="4">
        <v>46979.46</v>
      </c>
      <c r="T227" s="4">
        <v>181226.23</v>
      </c>
    </row>
    <row r="228" spans="1:20">
      <c r="A228" s="3">
        <f t="shared" si="3"/>
        <v>38196</v>
      </c>
      <c r="B228" s="4">
        <v>7271.31</v>
      </c>
      <c r="C228" s="4">
        <v>1438023.11</v>
      </c>
      <c r="D228" s="4">
        <v>84224.51</v>
      </c>
      <c r="E228" s="4">
        <v>67355.69</v>
      </c>
      <c r="F228" s="4">
        <v>8213.91</v>
      </c>
      <c r="G228" s="4">
        <v>15551.58</v>
      </c>
      <c r="H228" s="4">
        <v>6570.79</v>
      </c>
      <c r="I228" s="4">
        <v>20805.419999999998</v>
      </c>
      <c r="J228" s="4">
        <v>61136.65</v>
      </c>
      <c r="K228" s="4">
        <v>105682.31</v>
      </c>
      <c r="L228" s="4">
        <v>16639.240000000002</v>
      </c>
      <c r="M228" s="4">
        <v>12295.58</v>
      </c>
      <c r="N228" s="4">
        <v>5393.65</v>
      </c>
      <c r="O228" s="4">
        <v>9541.77</v>
      </c>
      <c r="P228" s="4">
        <v>49581.2</v>
      </c>
      <c r="Q228" s="4">
        <v>51826.55</v>
      </c>
      <c r="R228" s="4">
        <v>1490.08</v>
      </c>
      <c r="S228" s="4">
        <v>46954.7</v>
      </c>
      <c r="T228" s="4">
        <v>187250.05</v>
      </c>
    </row>
    <row r="229" spans="1:20">
      <c r="A229" s="3">
        <f t="shared" si="3"/>
        <v>38166</v>
      </c>
      <c r="B229" s="4">
        <v>7066.11</v>
      </c>
      <c r="C229" s="4">
        <v>1417428.27</v>
      </c>
      <c r="D229" s="4">
        <v>80035.58</v>
      </c>
      <c r="E229" s="4">
        <v>66527.759999999995</v>
      </c>
      <c r="F229" s="4">
        <v>8868.36</v>
      </c>
      <c r="G229" s="4">
        <v>14041.26</v>
      </c>
      <c r="H229" s="4">
        <v>6506.4</v>
      </c>
      <c r="I229" s="4">
        <v>20573.509999999998</v>
      </c>
      <c r="J229" s="4">
        <v>61516.76</v>
      </c>
      <c r="K229" s="4">
        <v>109900.29</v>
      </c>
      <c r="L229" s="4">
        <v>16083.12</v>
      </c>
      <c r="M229" s="4">
        <v>12558.71</v>
      </c>
      <c r="N229" s="4">
        <v>5402.88</v>
      </c>
      <c r="O229" s="4">
        <v>8105.66</v>
      </c>
      <c r="P229" s="4">
        <v>54120.62</v>
      </c>
      <c r="Q229" s="4">
        <v>52543.48</v>
      </c>
      <c r="R229" s="4">
        <v>1456.56</v>
      </c>
      <c r="S229" s="4">
        <v>46776.18</v>
      </c>
      <c r="T229" s="4">
        <v>201064.49</v>
      </c>
    </row>
    <row r="230" spans="1:20">
      <c r="A230" s="3">
        <f t="shared" si="3"/>
        <v>38135</v>
      </c>
      <c r="B230" s="4">
        <v>7452.64</v>
      </c>
      <c r="C230" s="4">
        <v>1411248.07</v>
      </c>
      <c r="D230" s="4">
        <v>80860.960000000006</v>
      </c>
      <c r="E230" s="4">
        <v>66795.58</v>
      </c>
      <c r="F230" s="4">
        <v>9612.1299999999992</v>
      </c>
      <c r="G230" s="4">
        <v>14661.86</v>
      </c>
      <c r="H230" s="4">
        <v>6815.76</v>
      </c>
      <c r="I230" s="4">
        <v>19486.61</v>
      </c>
      <c r="J230" s="4">
        <v>61749.43</v>
      </c>
      <c r="K230" s="4">
        <v>106168.13</v>
      </c>
      <c r="L230" s="4">
        <v>15926.23</v>
      </c>
      <c r="M230" s="4">
        <v>12574.67</v>
      </c>
      <c r="N230" s="4">
        <v>5380.17</v>
      </c>
      <c r="O230" s="4">
        <v>9413.92</v>
      </c>
      <c r="P230" s="4">
        <v>58342.48</v>
      </c>
      <c r="Q230" s="4">
        <v>55496.77</v>
      </c>
      <c r="R230" s="4">
        <v>1381.5</v>
      </c>
      <c r="S230" s="4">
        <v>46655.24</v>
      </c>
      <c r="T230" s="4">
        <v>197141.54</v>
      </c>
    </row>
    <row r="231" spans="1:20">
      <c r="A231" s="3">
        <f t="shared" si="3"/>
        <v>38105</v>
      </c>
      <c r="B231" s="4">
        <v>6858.99</v>
      </c>
      <c r="C231" s="4">
        <v>1409141.04</v>
      </c>
      <c r="D231" s="4">
        <v>83913.11</v>
      </c>
      <c r="E231" s="4">
        <v>68049.25</v>
      </c>
      <c r="F231" s="4">
        <v>9288.19</v>
      </c>
      <c r="G231" s="4">
        <v>13710.19</v>
      </c>
      <c r="H231" s="4">
        <v>6795.93</v>
      </c>
      <c r="I231" s="4">
        <v>18446.41</v>
      </c>
      <c r="J231" s="4">
        <v>59237.3</v>
      </c>
      <c r="K231" s="4">
        <v>109114.83</v>
      </c>
      <c r="L231" s="4">
        <v>15827.25</v>
      </c>
      <c r="M231" s="4">
        <v>12777.51</v>
      </c>
      <c r="N231" s="4">
        <v>5154.6099999999997</v>
      </c>
      <c r="O231" s="4">
        <v>9496.73</v>
      </c>
      <c r="P231" s="4">
        <v>54523.79</v>
      </c>
      <c r="Q231" s="4">
        <v>53699.03</v>
      </c>
      <c r="R231" s="4">
        <v>1400.17</v>
      </c>
      <c r="S231" s="4">
        <v>46593.2</v>
      </c>
      <c r="T231" s="4">
        <v>197529.5</v>
      </c>
    </row>
    <row r="232" spans="1:20">
      <c r="A232" s="3">
        <f t="shared" si="3"/>
        <v>38074</v>
      </c>
      <c r="B232" s="4">
        <v>7012.57</v>
      </c>
      <c r="C232" s="4">
        <v>1407545.04</v>
      </c>
      <c r="D232" s="4">
        <v>87253.3</v>
      </c>
      <c r="E232" s="4">
        <v>68401.440000000002</v>
      </c>
      <c r="F232" s="4">
        <v>9587.15</v>
      </c>
      <c r="G232" s="4">
        <v>13124.65</v>
      </c>
      <c r="H232" s="4">
        <v>6421.68</v>
      </c>
      <c r="I232" s="4">
        <v>18513.09</v>
      </c>
      <c r="J232" s="4">
        <v>58995.62</v>
      </c>
      <c r="K232" s="4">
        <v>110773.78</v>
      </c>
      <c r="L232" s="4">
        <v>15495.55</v>
      </c>
      <c r="M232" s="4">
        <v>12419.41</v>
      </c>
      <c r="N232" s="4">
        <v>5182.22</v>
      </c>
      <c r="O232" s="4">
        <v>9505.98</v>
      </c>
      <c r="P232" s="4">
        <v>50725.09</v>
      </c>
      <c r="Q232" s="4">
        <v>53268.04</v>
      </c>
      <c r="R232" s="4">
        <v>1375.52</v>
      </c>
      <c r="S232" s="4">
        <v>46567.97</v>
      </c>
      <c r="T232" s="4">
        <v>209804.11</v>
      </c>
    </row>
    <row r="233" spans="1:20">
      <c r="A233" s="3">
        <f t="shared" si="3"/>
        <v>38045</v>
      </c>
      <c r="B233" s="4">
        <v>6505.69</v>
      </c>
      <c r="C233" s="4">
        <v>1397048.41</v>
      </c>
      <c r="D233" s="4">
        <v>80780.06</v>
      </c>
      <c r="E233" s="4">
        <v>64427.72</v>
      </c>
      <c r="F233" s="4">
        <v>9300.44</v>
      </c>
      <c r="G233" s="4">
        <v>13998.49</v>
      </c>
      <c r="H233" s="4">
        <v>5960.37</v>
      </c>
      <c r="I233" s="4">
        <v>19024.61</v>
      </c>
      <c r="J233" s="4">
        <v>55496.41</v>
      </c>
      <c r="K233" s="4">
        <v>106156.96</v>
      </c>
      <c r="L233" s="4">
        <v>13093.55</v>
      </c>
      <c r="M233" s="4">
        <v>12336.94</v>
      </c>
      <c r="N233" s="4">
        <v>5102.8</v>
      </c>
      <c r="O233" s="4">
        <v>9497.24</v>
      </c>
      <c r="P233" s="4">
        <v>46212.51</v>
      </c>
      <c r="Q233" s="4">
        <v>52446.44</v>
      </c>
      <c r="R233" s="4">
        <v>1326.33</v>
      </c>
      <c r="S233" s="4">
        <v>46648.47</v>
      </c>
      <c r="T233" s="4">
        <v>200176.57</v>
      </c>
    </row>
    <row r="234" spans="1:20">
      <c r="A234" s="3">
        <f t="shared" si="3"/>
        <v>38014</v>
      </c>
      <c r="B234" s="4">
        <v>6779.36</v>
      </c>
      <c r="C234" s="4">
        <v>1401065.76</v>
      </c>
      <c r="D234" s="4">
        <v>85919.15</v>
      </c>
      <c r="E234" s="4">
        <v>70482.789999999994</v>
      </c>
      <c r="F234" s="4">
        <v>9196.43</v>
      </c>
      <c r="G234" s="4">
        <v>11253.49</v>
      </c>
      <c r="H234" s="4">
        <v>6168.19</v>
      </c>
      <c r="I234" s="4">
        <v>16477.849999999999</v>
      </c>
      <c r="J234" s="4">
        <v>55432.55</v>
      </c>
      <c r="K234" s="4">
        <v>105316.05</v>
      </c>
      <c r="L234" s="4">
        <v>13690.95</v>
      </c>
      <c r="M234" s="4">
        <v>12272.9</v>
      </c>
      <c r="N234" s="4">
        <v>5357.78</v>
      </c>
      <c r="O234" s="4">
        <v>7796.58</v>
      </c>
      <c r="P234" s="4">
        <v>43587.55</v>
      </c>
      <c r="Q234" s="4">
        <v>52025.8</v>
      </c>
      <c r="R234" s="4">
        <v>1349.03</v>
      </c>
      <c r="S234" s="4">
        <v>45920.11</v>
      </c>
      <c r="T234" s="4">
        <v>207630.57</v>
      </c>
    </row>
    <row r="235" spans="1:20">
      <c r="A235" s="3">
        <f t="shared" si="3"/>
        <v>37983</v>
      </c>
      <c r="B235" s="4">
        <v>9488.34</v>
      </c>
      <c r="C235" s="4">
        <v>1402106.2</v>
      </c>
      <c r="D235" s="4">
        <v>90442.93</v>
      </c>
      <c r="E235" s="4">
        <v>61705.8</v>
      </c>
      <c r="F235" s="4">
        <v>8382.35</v>
      </c>
      <c r="G235" s="4">
        <v>7860.47</v>
      </c>
      <c r="H235" s="4">
        <v>5668.79</v>
      </c>
      <c r="I235" s="4">
        <v>16308.08</v>
      </c>
      <c r="J235" s="4">
        <v>54521.77</v>
      </c>
      <c r="K235" s="4">
        <v>99617.87</v>
      </c>
      <c r="L235" s="4">
        <v>13331.5</v>
      </c>
      <c r="M235" s="4">
        <v>12028.63</v>
      </c>
      <c r="N235" s="4">
        <v>5232.0200000000004</v>
      </c>
      <c r="O235" s="4">
        <v>7618.05</v>
      </c>
      <c r="P235" s="4">
        <v>43419.65</v>
      </c>
      <c r="Q235" s="4">
        <v>51003.57</v>
      </c>
      <c r="R235" s="4">
        <v>1235.6199999999999</v>
      </c>
      <c r="S235" s="4">
        <v>46545.33</v>
      </c>
      <c r="T235" s="4">
        <v>188848.94</v>
      </c>
    </row>
    <row r="236" spans="1:20">
      <c r="A236" s="3">
        <f t="shared" si="3"/>
        <v>37953</v>
      </c>
      <c r="B236" s="4">
        <v>6822.71</v>
      </c>
      <c r="C236" s="4">
        <v>1373207.53</v>
      </c>
      <c r="D236" s="4">
        <v>82975.570000000007</v>
      </c>
      <c r="E236" s="4">
        <v>62409</v>
      </c>
      <c r="F236" s="4">
        <v>8639.83</v>
      </c>
      <c r="G236" s="4">
        <v>8878.9500000000007</v>
      </c>
      <c r="H236" s="4">
        <v>5835.13</v>
      </c>
      <c r="I236" s="4">
        <v>15949.78</v>
      </c>
      <c r="J236" s="4">
        <v>48317.01</v>
      </c>
      <c r="K236" s="4">
        <v>111301.59</v>
      </c>
      <c r="L236" s="4">
        <v>15744.59</v>
      </c>
      <c r="M236" s="4">
        <v>11687.14</v>
      </c>
      <c r="N236" s="4">
        <v>5996.72</v>
      </c>
      <c r="O236" s="4">
        <v>9259.31</v>
      </c>
      <c r="P236" s="4">
        <v>46084.160000000003</v>
      </c>
      <c r="Q236" s="4">
        <v>48309.37</v>
      </c>
      <c r="R236" s="4">
        <v>1264.6600000000001</v>
      </c>
      <c r="S236" s="4">
        <v>45431.99</v>
      </c>
      <c r="T236" s="4">
        <v>182452.52</v>
      </c>
    </row>
    <row r="237" spans="1:20">
      <c r="A237" s="3">
        <f t="shared" si="3"/>
        <v>37922</v>
      </c>
      <c r="B237" s="4">
        <v>6845.56</v>
      </c>
      <c r="C237" s="4">
        <v>1367643.41</v>
      </c>
      <c r="D237" s="4">
        <v>81622.149999999994</v>
      </c>
      <c r="E237" s="4">
        <v>66362.710000000006</v>
      </c>
      <c r="F237" s="4">
        <v>8753.24</v>
      </c>
      <c r="G237" s="4">
        <v>8705.7199999999993</v>
      </c>
      <c r="H237" s="4">
        <v>5317.7</v>
      </c>
      <c r="I237" s="4">
        <v>15535.68</v>
      </c>
      <c r="J237" s="4">
        <v>47859.06</v>
      </c>
      <c r="K237" s="4">
        <v>107681.38</v>
      </c>
      <c r="L237" s="4">
        <v>16072.37</v>
      </c>
      <c r="M237" s="4">
        <v>11690.77</v>
      </c>
      <c r="N237" s="4">
        <v>6125.76</v>
      </c>
      <c r="O237" s="4">
        <v>9211.9699999999993</v>
      </c>
      <c r="P237" s="4">
        <v>45248.6</v>
      </c>
      <c r="Q237" s="4">
        <v>47370.29</v>
      </c>
      <c r="R237" s="4">
        <v>1028.67</v>
      </c>
      <c r="S237" s="4">
        <v>45610.43</v>
      </c>
      <c r="T237" s="4">
        <v>178554.77</v>
      </c>
    </row>
    <row r="238" spans="1:20">
      <c r="A238" s="3">
        <f t="shared" si="3"/>
        <v>37892</v>
      </c>
      <c r="B238" s="4">
        <v>7200.73</v>
      </c>
      <c r="C238" s="4">
        <v>1358194.43</v>
      </c>
      <c r="D238" s="4">
        <v>81674.25</v>
      </c>
      <c r="E238" s="4">
        <v>64667.34</v>
      </c>
      <c r="F238" s="4">
        <v>8430.7199999999993</v>
      </c>
      <c r="G238" s="4">
        <v>8553.8799999999992</v>
      </c>
      <c r="H238" s="4">
        <v>5238.82</v>
      </c>
      <c r="I238" s="4">
        <v>15686.16</v>
      </c>
      <c r="J238" s="4">
        <v>47685.55</v>
      </c>
      <c r="K238" s="4">
        <v>111392.48</v>
      </c>
      <c r="L238" s="4">
        <v>16141.02</v>
      </c>
      <c r="M238" s="4">
        <v>10569.55</v>
      </c>
      <c r="N238" s="4">
        <v>6222.56</v>
      </c>
      <c r="O238" s="4">
        <v>8076.32</v>
      </c>
      <c r="P238" s="4">
        <v>43777.64</v>
      </c>
      <c r="Q238" s="4">
        <v>47071.26</v>
      </c>
      <c r="R238" s="4">
        <v>1389.52</v>
      </c>
      <c r="S238" s="4">
        <v>45943.78</v>
      </c>
      <c r="T238" s="4">
        <v>190656.49</v>
      </c>
    </row>
    <row r="239" spans="1:20">
      <c r="A239" s="3">
        <f t="shared" si="3"/>
        <v>37861</v>
      </c>
      <c r="B239" s="4">
        <v>6956.15</v>
      </c>
      <c r="C239" s="4">
        <v>1341668.29</v>
      </c>
      <c r="D239" s="4">
        <v>85155.35</v>
      </c>
      <c r="E239" s="4">
        <v>58170.28</v>
      </c>
      <c r="F239" s="4">
        <v>8115.87</v>
      </c>
      <c r="G239" s="4">
        <v>8823.33</v>
      </c>
      <c r="H239" s="4">
        <v>5263.87</v>
      </c>
      <c r="I239" s="4">
        <v>16326.03</v>
      </c>
      <c r="J239" s="4">
        <v>47640.91</v>
      </c>
      <c r="K239" s="4">
        <v>110529.39</v>
      </c>
      <c r="L239" s="4">
        <v>15846.78</v>
      </c>
      <c r="M239" s="4">
        <v>10587.2</v>
      </c>
      <c r="N239" s="4">
        <v>6126.13</v>
      </c>
      <c r="O239" s="4">
        <v>8472.6299999999992</v>
      </c>
      <c r="P239" s="4">
        <v>42626.91</v>
      </c>
      <c r="Q239" s="4">
        <v>47111.68</v>
      </c>
      <c r="R239" s="4">
        <v>1385.49</v>
      </c>
      <c r="S239" s="4">
        <v>45769.48</v>
      </c>
      <c r="T239" s="4">
        <v>173747.42</v>
      </c>
    </row>
    <row r="240" spans="1:20">
      <c r="A240" s="3">
        <f t="shared" si="3"/>
        <v>37830</v>
      </c>
      <c r="B240" s="4">
        <v>7203.2</v>
      </c>
      <c r="C240" s="4">
        <v>1338895.18</v>
      </c>
      <c r="D240" s="4">
        <v>85794.25</v>
      </c>
      <c r="E240" s="4">
        <v>63248.58</v>
      </c>
      <c r="F240" s="4">
        <v>8037.64</v>
      </c>
      <c r="G240" s="4">
        <v>8535.57</v>
      </c>
      <c r="H240" s="4">
        <v>5497.21</v>
      </c>
      <c r="I240" s="4">
        <v>16252.12</v>
      </c>
      <c r="J240" s="4">
        <v>47567.33</v>
      </c>
      <c r="K240" s="4">
        <v>110272.33</v>
      </c>
      <c r="L240" s="4">
        <v>15184.27</v>
      </c>
      <c r="M240" s="4">
        <v>10380.780000000001</v>
      </c>
      <c r="N240" s="4">
        <v>6316.36</v>
      </c>
      <c r="O240" s="4">
        <v>8232.33</v>
      </c>
      <c r="P240" s="4">
        <v>42292.76</v>
      </c>
      <c r="Q240" s="4">
        <v>47151.65</v>
      </c>
      <c r="R240" s="4">
        <v>1352.42</v>
      </c>
      <c r="S240" s="4">
        <v>45632.72</v>
      </c>
      <c r="T240" s="4">
        <v>190136.8</v>
      </c>
    </row>
    <row r="241" spans="1:20">
      <c r="A241" s="3">
        <f t="shared" si="3"/>
        <v>37800</v>
      </c>
      <c r="B241" s="4">
        <v>6953.89</v>
      </c>
      <c r="C241" s="4">
        <v>1338201.19</v>
      </c>
      <c r="D241" s="4">
        <v>85949.52</v>
      </c>
      <c r="E241" s="4">
        <v>65062</v>
      </c>
      <c r="F241" s="4">
        <v>8244.4</v>
      </c>
      <c r="G241" s="4">
        <v>9046.92</v>
      </c>
      <c r="H241" s="4">
        <v>5551.93</v>
      </c>
      <c r="I241" s="4">
        <v>15754.73</v>
      </c>
      <c r="J241" s="4">
        <v>48253.34</v>
      </c>
      <c r="K241" s="4">
        <v>108167.23</v>
      </c>
      <c r="L241" s="4">
        <v>14627.9</v>
      </c>
      <c r="M241" s="4">
        <v>10343.42</v>
      </c>
      <c r="N241" s="4">
        <v>6056.09</v>
      </c>
      <c r="O241" s="4">
        <v>8055.15</v>
      </c>
      <c r="P241" s="4">
        <v>48451.74</v>
      </c>
      <c r="Q241" s="4">
        <v>43748.04</v>
      </c>
      <c r="R241" s="4">
        <v>1287.08</v>
      </c>
      <c r="S241" s="4">
        <v>45454.99</v>
      </c>
      <c r="T241" s="4">
        <v>205887.72</v>
      </c>
    </row>
    <row r="242" spans="1:20">
      <c r="A242" s="3">
        <f t="shared" si="3"/>
        <v>37769</v>
      </c>
      <c r="B242" s="4">
        <v>6757.6</v>
      </c>
      <c r="C242" s="4">
        <v>1315876.0900000001</v>
      </c>
      <c r="D242" s="4">
        <v>88031.94</v>
      </c>
      <c r="E242" s="4">
        <v>62788.15</v>
      </c>
      <c r="F242" s="4">
        <v>8117.58</v>
      </c>
      <c r="G242" s="4">
        <v>8747.48</v>
      </c>
      <c r="H242" s="4">
        <v>5601.34</v>
      </c>
      <c r="I242" s="4">
        <v>15959.28</v>
      </c>
      <c r="J242" s="4">
        <v>48304.42</v>
      </c>
      <c r="K242" s="4">
        <v>108808.76</v>
      </c>
      <c r="L242" s="4">
        <v>14375.64</v>
      </c>
      <c r="M242" s="4">
        <v>10101.790000000001</v>
      </c>
      <c r="N242" s="4">
        <v>6522.56</v>
      </c>
      <c r="O242" s="4">
        <v>8694.14</v>
      </c>
      <c r="P242" s="4">
        <v>50744.4</v>
      </c>
      <c r="Q242" s="4">
        <v>45263.22</v>
      </c>
      <c r="R242" s="4">
        <v>1127.6199999999999</v>
      </c>
      <c r="S242" s="4">
        <v>45578.11</v>
      </c>
      <c r="T242" s="4">
        <v>206471.47</v>
      </c>
    </row>
    <row r="243" spans="1:20">
      <c r="A243" s="3">
        <f t="shared" si="3"/>
        <v>37739</v>
      </c>
      <c r="B243" s="4">
        <v>7333.63</v>
      </c>
      <c r="C243" s="4">
        <v>1303324.52</v>
      </c>
      <c r="D243" s="4">
        <v>91354.43</v>
      </c>
      <c r="E243" s="4">
        <v>63874.879999999997</v>
      </c>
      <c r="F243" s="4">
        <v>7893.9</v>
      </c>
      <c r="G243" s="4">
        <v>8419.2999999999993</v>
      </c>
      <c r="H243" s="4">
        <v>5542.96</v>
      </c>
      <c r="I243" s="4">
        <v>15882.89</v>
      </c>
      <c r="J243" s="4">
        <v>48147.8</v>
      </c>
      <c r="K243" s="4">
        <v>109178.69</v>
      </c>
      <c r="L243" s="4">
        <v>14915.87</v>
      </c>
      <c r="M243" s="4">
        <v>9905.32</v>
      </c>
      <c r="N243" s="4">
        <v>6691.53</v>
      </c>
      <c r="O243" s="4">
        <v>8778.57</v>
      </c>
      <c r="P243" s="4">
        <v>46475.45</v>
      </c>
      <c r="Q243" s="4">
        <v>44141.77</v>
      </c>
      <c r="R243" s="4">
        <v>1074.58</v>
      </c>
      <c r="S243" s="4">
        <v>45305.05</v>
      </c>
      <c r="T243" s="4">
        <v>194747.99</v>
      </c>
    </row>
    <row r="244" spans="1:20">
      <c r="A244" s="3">
        <f t="shared" si="3"/>
        <v>37708</v>
      </c>
      <c r="B244" s="4">
        <v>6974.97</v>
      </c>
      <c r="C244" s="4">
        <v>1315062.1000000001</v>
      </c>
      <c r="D244" s="4">
        <v>92175.07</v>
      </c>
      <c r="E244" s="4">
        <v>62701.09</v>
      </c>
      <c r="F244" s="4">
        <v>8610.68</v>
      </c>
      <c r="G244" s="4">
        <v>7939.3</v>
      </c>
      <c r="H244" s="4">
        <v>5428.99</v>
      </c>
      <c r="I244" s="4">
        <v>14434.92</v>
      </c>
      <c r="J244" s="4">
        <v>47383.98</v>
      </c>
      <c r="K244" s="4">
        <v>107893.67</v>
      </c>
      <c r="L244" s="4">
        <v>12387.78</v>
      </c>
      <c r="M244" s="4">
        <v>9455.76</v>
      </c>
      <c r="N244" s="4">
        <v>6466.73</v>
      </c>
      <c r="O244" s="4">
        <v>8530.64</v>
      </c>
      <c r="P244" s="4">
        <v>42025.69</v>
      </c>
      <c r="Q244" s="4">
        <v>43681.01</v>
      </c>
      <c r="R244" s="4">
        <v>774.63</v>
      </c>
      <c r="S244" s="4">
        <v>47341.120000000003</v>
      </c>
      <c r="T244" s="4">
        <v>199765.29</v>
      </c>
    </row>
    <row r="245" spans="1:20">
      <c r="A245" s="3">
        <f t="shared" si="3"/>
        <v>37680</v>
      </c>
      <c r="B245" s="4">
        <v>6522.85</v>
      </c>
      <c r="C245" s="4">
        <v>1321742.94</v>
      </c>
      <c r="D245" s="4">
        <v>92810.32</v>
      </c>
      <c r="E245" s="4">
        <v>61144.94</v>
      </c>
      <c r="F245" s="4">
        <v>8676.66</v>
      </c>
      <c r="G245" s="4">
        <v>8831.86</v>
      </c>
      <c r="H245" s="4">
        <v>5216.91</v>
      </c>
      <c r="I245" s="4">
        <v>14129.92</v>
      </c>
      <c r="J245" s="4">
        <v>47335</v>
      </c>
      <c r="K245" s="4">
        <v>108988.96</v>
      </c>
      <c r="L245" s="4">
        <v>12272.83</v>
      </c>
      <c r="M245" s="4">
        <v>9860.14</v>
      </c>
      <c r="N245" s="4">
        <v>6636.53</v>
      </c>
      <c r="O245" s="4">
        <v>8179.31</v>
      </c>
      <c r="P245" s="4">
        <v>38923.089999999997</v>
      </c>
      <c r="Q245" s="4">
        <v>42830.86</v>
      </c>
      <c r="R245" s="4">
        <v>625.16999999999996</v>
      </c>
      <c r="S245" s="4">
        <v>49160.73</v>
      </c>
      <c r="T245" s="4">
        <v>191132.79999999999</v>
      </c>
    </row>
    <row r="246" spans="1:20">
      <c r="A246" s="3">
        <f t="shared" si="3"/>
        <v>37649</v>
      </c>
      <c r="B246" s="4">
        <v>6799.38</v>
      </c>
      <c r="C246" s="4">
        <v>1321496.06</v>
      </c>
      <c r="D246" s="4">
        <v>85795.13</v>
      </c>
      <c r="E246" s="4">
        <v>60481.29</v>
      </c>
      <c r="F246" s="4">
        <v>8364.85</v>
      </c>
      <c r="G246" s="4">
        <v>7436.43</v>
      </c>
      <c r="H246" s="4">
        <v>4668.1099999999997</v>
      </c>
      <c r="I246" s="4">
        <v>13422.25</v>
      </c>
      <c r="J246" s="4">
        <v>47507.78</v>
      </c>
      <c r="K246" s="4">
        <v>106805.72</v>
      </c>
      <c r="L246" s="4">
        <v>11696.48</v>
      </c>
      <c r="M246" s="4">
        <v>10629.45</v>
      </c>
      <c r="N246" s="4">
        <v>6636.16</v>
      </c>
      <c r="O246" s="4">
        <v>7672.3</v>
      </c>
      <c r="P246" s="4">
        <v>38200.47</v>
      </c>
      <c r="Q246" s="4">
        <v>42029.81</v>
      </c>
      <c r="R246" s="4">
        <v>554.16</v>
      </c>
      <c r="S246" s="4">
        <v>49568.26</v>
      </c>
      <c r="T246" s="4">
        <v>191148.2</v>
      </c>
    </row>
    <row r="247" spans="1:20">
      <c r="A247" s="3">
        <f t="shared" si="3"/>
        <v>37618</v>
      </c>
      <c r="B247" s="4">
        <v>9566.35</v>
      </c>
      <c r="C247" s="4">
        <v>1322114.49</v>
      </c>
      <c r="D247" s="4">
        <v>86481.13</v>
      </c>
      <c r="E247" s="4">
        <v>71405.62</v>
      </c>
      <c r="F247" s="4">
        <v>8332.8700000000008</v>
      </c>
      <c r="G247" s="4">
        <v>5692.24</v>
      </c>
      <c r="H247" s="4">
        <v>4456.08</v>
      </c>
      <c r="I247" s="4">
        <v>13127.24</v>
      </c>
      <c r="J247" s="4">
        <v>48039.67</v>
      </c>
      <c r="K247" s="4">
        <v>103128.09</v>
      </c>
      <c r="L247" s="4">
        <v>11354.38</v>
      </c>
      <c r="M247" s="4">
        <v>11072.56</v>
      </c>
      <c r="N247" s="4">
        <v>6692.4</v>
      </c>
      <c r="O247" s="4">
        <v>6817.97</v>
      </c>
      <c r="P247" s="4">
        <v>38105.440000000002</v>
      </c>
      <c r="Q247" s="4">
        <v>42178.66</v>
      </c>
      <c r="R247" s="4">
        <v>0</v>
      </c>
      <c r="S247" s="4">
        <v>49991.65</v>
      </c>
      <c r="T247" s="4">
        <v>185600.07</v>
      </c>
    </row>
    <row r="248" spans="1:20">
      <c r="A248" s="3">
        <f t="shared" si="3"/>
        <v>37588</v>
      </c>
      <c r="B248" s="4">
        <v>6989.02</v>
      </c>
      <c r="C248" s="4">
        <v>1258990.5900000001</v>
      </c>
      <c r="D248" s="4">
        <v>86966.02</v>
      </c>
      <c r="E248" s="4">
        <v>67864.039999999994</v>
      </c>
      <c r="F248" s="4">
        <v>7290.09</v>
      </c>
      <c r="G248" s="4">
        <v>6660.55</v>
      </c>
      <c r="H248" s="4">
        <v>4802.1099999999997</v>
      </c>
      <c r="I248" s="4">
        <v>12123.23</v>
      </c>
      <c r="J248" s="4">
        <v>47456.09</v>
      </c>
      <c r="K248" s="4">
        <v>110004.74</v>
      </c>
      <c r="L248" s="4">
        <v>12034.69</v>
      </c>
      <c r="M248" s="4">
        <v>11615.19</v>
      </c>
      <c r="N248" s="4">
        <v>6349.89</v>
      </c>
      <c r="O248" s="4">
        <v>8816.18</v>
      </c>
      <c r="P248" s="4">
        <v>40866.639999999999</v>
      </c>
      <c r="Q248" s="4">
        <v>46515.74</v>
      </c>
      <c r="R248" s="4">
        <v>0</v>
      </c>
      <c r="S248" s="4">
        <v>48886.73</v>
      </c>
      <c r="T248" s="4">
        <v>172426.88</v>
      </c>
    </row>
    <row r="249" spans="1:20">
      <c r="A249" s="3">
        <f t="shared" si="3"/>
        <v>37557</v>
      </c>
      <c r="B249" s="4">
        <v>7084.44</v>
      </c>
      <c r="C249" s="4">
        <v>1239882.3</v>
      </c>
      <c r="D249" s="4">
        <v>84562.2</v>
      </c>
      <c r="E249" s="4">
        <v>70945.279999999999</v>
      </c>
      <c r="F249" s="4">
        <v>7408.65</v>
      </c>
      <c r="G249" s="4">
        <v>7984.16</v>
      </c>
      <c r="H249" s="4">
        <v>4757.16</v>
      </c>
      <c r="I249" s="4">
        <v>12283.98</v>
      </c>
      <c r="J249" s="4">
        <v>46959.22</v>
      </c>
      <c r="K249" s="4">
        <v>114260.77</v>
      </c>
      <c r="L249" s="4">
        <v>12015.35</v>
      </c>
      <c r="M249" s="4">
        <v>11545.34</v>
      </c>
      <c r="N249" s="4">
        <v>6343.27</v>
      </c>
      <c r="O249" s="4">
        <v>8737.69</v>
      </c>
      <c r="P249" s="4">
        <v>35659.89</v>
      </c>
      <c r="Q249" s="4">
        <v>47156.12</v>
      </c>
      <c r="R249" s="4">
        <v>0</v>
      </c>
      <c r="S249" s="4">
        <v>48756.88</v>
      </c>
      <c r="T249" s="4">
        <v>156457.91</v>
      </c>
    </row>
    <row r="250" spans="1:20">
      <c r="A250" s="3">
        <f t="shared" si="3"/>
        <v>37527</v>
      </c>
      <c r="B250" s="4">
        <v>7420.59</v>
      </c>
      <c r="C250" s="4">
        <v>1225002.43</v>
      </c>
      <c r="D250" s="4">
        <v>84343.18</v>
      </c>
      <c r="E250" s="4">
        <v>60277.54</v>
      </c>
      <c r="F250" s="4">
        <v>7390.1</v>
      </c>
      <c r="G250" s="4">
        <v>8012.33</v>
      </c>
      <c r="H250" s="4">
        <v>5346.31</v>
      </c>
      <c r="I250" s="4">
        <v>12292.4</v>
      </c>
      <c r="J250" s="4">
        <v>46654.15</v>
      </c>
      <c r="K250" s="4">
        <v>115490.28</v>
      </c>
      <c r="L250" s="4">
        <v>11902.33</v>
      </c>
      <c r="M250" s="4">
        <v>11020.27</v>
      </c>
      <c r="N250" s="4">
        <v>6330.62</v>
      </c>
      <c r="O250" s="4">
        <v>7940.3</v>
      </c>
      <c r="P250" s="4">
        <v>34579.58</v>
      </c>
      <c r="Q250" s="4">
        <v>46768.69</v>
      </c>
      <c r="R250" s="4">
        <v>0</v>
      </c>
      <c r="S250" s="4">
        <v>48007.62</v>
      </c>
      <c r="T250" s="4">
        <v>161998.68</v>
      </c>
    </row>
    <row r="251" spans="1:20">
      <c r="A251" s="3">
        <f t="shared" si="3"/>
        <v>37496</v>
      </c>
      <c r="B251" s="4">
        <v>7281.62</v>
      </c>
      <c r="C251" s="4">
        <v>1224361.8600000001</v>
      </c>
      <c r="D251" s="4">
        <v>77279.759999999995</v>
      </c>
      <c r="E251" s="4">
        <v>60408.59</v>
      </c>
      <c r="F251" s="4">
        <v>7098.27</v>
      </c>
      <c r="G251" s="4">
        <v>6208.87</v>
      </c>
      <c r="H251" s="4">
        <v>5474.48</v>
      </c>
      <c r="I251" s="4">
        <v>12088.64</v>
      </c>
      <c r="J251" s="4">
        <v>45446.99</v>
      </c>
      <c r="K251" s="4">
        <v>113184.46</v>
      </c>
      <c r="L251" s="4">
        <v>12048.33</v>
      </c>
      <c r="M251" s="4">
        <v>11839.32</v>
      </c>
      <c r="N251" s="4">
        <v>6145.72</v>
      </c>
      <c r="O251" s="4">
        <v>8174.22</v>
      </c>
      <c r="P251" s="4">
        <v>35406.339999999997</v>
      </c>
      <c r="Q251" s="4">
        <v>47251.07</v>
      </c>
      <c r="R251" s="4">
        <v>0</v>
      </c>
      <c r="S251" s="4">
        <v>47598.89</v>
      </c>
      <c r="T251" s="4">
        <v>159802.47</v>
      </c>
    </row>
    <row r="252" spans="1:20">
      <c r="A252" s="3">
        <f t="shared" si="3"/>
        <v>37465</v>
      </c>
      <c r="B252" s="4">
        <v>7833.6</v>
      </c>
      <c r="C252" s="4">
        <v>1227639.8600000001</v>
      </c>
      <c r="D252" s="4">
        <v>78700.240000000005</v>
      </c>
      <c r="E252" s="4">
        <v>66137.7</v>
      </c>
      <c r="F252" s="4">
        <v>7182.91</v>
      </c>
      <c r="G252" s="4">
        <v>4737.99</v>
      </c>
      <c r="H252" s="4">
        <v>5248.98</v>
      </c>
      <c r="I252" s="4">
        <v>12329.49</v>
      </c>
      <c r="J252" s="4">
        <v>45083.55</v>
      </c>
      <c r="K252" s="4">
        <v>118066.08</v>
      </c>
      <c r="L252" s="4">
        <v>11830.44</v>
      </c>
      <c r="M252" s="4">
        <v>11013.07</v>
      </c>
      <c r="N252" s="4">
        <v>6164.44</v>
      </c>
      <c r="O252" s="4">
        <v>8087.18</v>
      </c>
      <c r="P252" s="4">
        <v>35980.92</v>
      </c>
      <c r="Q252" s="4">
        <v>47185.21</v>
      </c>
      <c r="R252" s="4">
        <v>0</v>
      </c>
      <c r="S252" s="4">
        <v>46899.14</v>
      </c>
      <c r="T252" s="4">
        <v>170131.62</v>
      </c>
    </row>
    <row r="253" spans="1:20">
      <c r="A253" s="3">
        <f t="shared" si="3"/>
        <v>37435</v>
      </c>
      <c r="B253" s="4">
        <v>7385.95</v>
      </c>
      <c r="C253" s="4">
        <v>1199399.03</v>
      </c>
      <c r="D253" s="4">
        <v>79351.820000000007</v>
      </c>
      <c r="E253" s="4">
        <v>62324.06</v>
      </c>
      <c r="F253" s="4">
        <v>7186.38</v>
      </c>
      <c r="G253" s="4">
        <v>3808.07</v>
      </c>
      <c r="H253" s="4">
        <v>5034.1000000000004</v>
      </c>
      <c r="I253" s="4">
        <v>12180.67</v>
      </c>
      <c r="J253" s="4">
        <v>47645.73</v>
      </c>
      <c r="K253" s="4">
        <v>125336.11</v>
      </c>
      <c r="L253" s="4">
        <v>12103.67</v>
      </c>
      <c r="M253" s="4">
        <v>11420.34</v>
      </c>
      <c r="N253" s="4">
        <v>6074.84</v>
      </c>
      <c r="O253" s="4">
        <v>7505.51</v>
      </c>
      <c r="P253" s="4">
        <v>43918.95</v>
      </c>
      <c r="Q253" s="4">
        <v>39912.629999999997</v>
      </c>
      <c r="R253" s="4">
        <v>0</v>
      </c>
      <c r="S253" s="4">
        <v>46800.3</v>
      </c>
      <c r="T253" s="4">
        <v>167368.15</v>
      </c>
    </row>
    <row r="254" spans="1:20">
      <c r="A254" s="3">
        <f t="shared" si="3"/>
        <v>37404</v>
      </c>
      <c r="B254" s="4">
        <v>8141.26</v>
      </c>
      <c r="C254" s="4">
        <v>1205715.04</v>
      </c>
      <c r="D254" s="4">
        <v>76004.33</v>
      </c>
      <c r="E254" s="4">
        <v>65140.66</v>
      </c>
      <c r="F254" s="4">
        <v>7697.73</v>
      </c>
      <c r="G254" s="4">
        <v>4440.46</v>
      </c>
      <c r="H254" s="4">
        <v>4753.29</v>
      </c>
      <c r="I254" s="4">
        <v>12161.8</v>
      </c>
      <c r="J254" s="4">
        <v>46001.41</v>
      </c>
      <c r="K254" s="4">
        <v>131230.07</v>
      </c>
      <c r="L254" s="4">
        <v>12591.54</v>
      </c>
      <c r="M254" s="4">
        <v>10486.1</v>
      </c>
      <c r="N254" s="4">
        <v>6164.3</v>
      </c>
      <c r="O254" s="4">
        <v>9784</v>
      </c>
      <c r="P254" s="4">
        <v>40564.370000000003</v>
      </c>
      <c r="Q254" s="4">
        <v>42766.16</v>
      </c>
      <c r="R254" s="4">
        <v>0</v>
      </c>
      <c r="S254" s="4">
        <v>47231.7</v>
      </c>
      <c r="T254" s="4">
        <v>160163.93</v>
      </c>
    </row>
    <row r="255" spans="1:20">
      <c r="A255" s="3">
        <f t="shared" si="3"/>
        <v>37374</v>
      </c>
      <c r="B255" s="4">
        <v>9214.23</v>
      </c>
      <c r="C255" s="4">
        <v>1184881.79</v>
      </c>
      <c r="D255" s="4">
        <v>77483.289999999994</v>
      </c>
      <c r="E255" s="4">
        <v>66728.73</v>
      </c>
      <c r="F255" s="4">
        <v>7486.78</v>
      </c>
      <c r="G255" s="4">
        <v>4550.9399999999996</v>
      </c>
      <c r="H255" s="4">
        <v>4577.42</v>
      </c>
      <c r="I255" s="4">
        <v>12693.6</v>
      </c>
      <c r="J255" s="4">
        <v>45418.12</v>
      </c>
      <c r="K255" s="4">
        <v>130132.46</v>
      </c>
      <c r="L255" s="4">
        <v>12618.69</v>
      </c>
      <c r="M255" s="4">
        <v>10632.66</v>
      </c>
      <c r="N255" s="4">
        <v>6213.87</v>
      </c>
      <c r="O255" s="4">
        <v>9021</v>
      </c>
      <c r="P255" s="4">
        <v>39288.129999999997</v>
      </c>
      <c r="Q255" s="4">
        <v>44547.79</v>
      </c>
      <c r="R255" s="4">
        <v>0</v>
      </c>
      <c r="S255" s="4">
        <v>47230.39</v>
      </c>
      <c r="T255" s="4">
        <v>165583.84</v>
      </c>
    </row>
    <row r="256" spans="1:20">
      <c r="A256" s="3">
        <f t="shared" si="3"/>
        <v>37343</v>
      </c>
      <c r="B256" s="4">
        <v>9704.7999999999993</v>
      </c>
      <c r="C256" s="4">
        <v>1178645.67</v>
      </c>
      <c r="D256" s="4">
        <v>70937.740000000005</v>
      </c>
      <c r="E256" s="4">
        <v>67651.72</v>
      </c>
      <c r="F256" s="4">
        <v>7352.85</v>
      </c>
      <c r="G256" s="4">
        <v>4612.21</v>
      </c>
      <c r="H256" s="4">
        <v>4492.62</v>
      </c>
      <c r="I256" s="4">
        <v>12442.78</v>
      </c>
      <c r="J256" s="4">
        <v>44716.52</v>
      </c>
      <c r="K256" s="4">
        <v>134099.01999999999</v>
      </c>
      <c r="L256" s="4">
        <v>12776.31</v>
      </c>
      <c r="M256" s="4">
        <v>10521.83</v>
      </c>
      <c r="N256" s="4">
        <v>6097.27</v>
      </c>
      <c r="O256" s="4">
        <v>7547.73</v>
      </c>
      <c r="P256" s="4">
        <v>33329.129999999997</v>
      </c>
      <c r="Q256" s="4">
        <v>43405.57</v>
      </c>
      <c r="R256" s="4">
        <v>0</v>
      </c>
      <c r="S256" s="4">
        <v>47391.73</v>
      </c>
      <c r="T256" s="4">
        <v>169554.22</v>
      </c>
    </row>
    <row r="257" spans="1:20">
      <c r="A257" s="3">
        <f t="shared" si="3"/>
        <v>37315</v>
      </c>
      <c r="B257" s="4">
        <v>14794.17</v>
      </c>
      <c r="C257" s="4">
        <v>1161296.79</v>
      </c>
      <c r="D257" s="4">
        <v>66748.56</v>
      </c>
      <c r="E257" s="4">
        <v>63669.9</v>
      </c>
      <c r="F257" s="4">
        <v>6864.47</v>
      </c>
      <c r="G257" s="4">
        <v>4365.22</v>
      </c>
      <c r="H257" s="4">
        <v>4775.63</v>
      </c>
      <c r="I257" s="4">
        <v>12347.16</v>
      </c>
      <c r="J257" s="4">
        <v>43305.11</v>
      </c>
      <c r="K257" s="4">
        <v>128911.8</v>
      </c>
      <c r="L257" s="4">
        <v>12591.3</v>
      </c>
      <c r="M257" s="4">
        <v>10305.200000000001</v>
      </c>
      <c r="N257" s="4">
        <v>6206.49</v>
      </c>
      <c r="O257" s="4">
        <v>7038.46</v>
      </c>
      <c r="P257" s="4">
        <v>30842.71</v>
      </c>
      <c r="Q257" s="4">
        <v>42797.94</v>
      </c>
      <c r="R257" s="4">
        <v>0</v>
      </c>
      <c r="S257" s="4">
        <v>47770.74</v>
      </c>
      <c r="T257" s="4">
        <v>170547.9</v>
      </c>
    </row>
    <row r="258" spans="1:20">
      <c r="A258" s="3">
        <f t="shared" si="3"/>
        <v>37284</v>
      </c>
      <c r="B258" s="4">
        <v>20214.330000000002</v>
      </c>
      <c r="C258" s="4">
        <v>1162891.92</v>
      </c>
      <c r="D258" s="4">
        <v>65835.28</v>
      </c>
      <c r="E258" s="4">
        <v>60914.06</v>
      </c>
      <c r="F258" s="4">
        <v>6539.92</v>
      </c>
      <c r="G258" s="4">
        <v>4257.93</v>
      </c>
      <c r="H258" s="4">
        <v>4763.4399999999996</v>
      </c>
      <c r="I258" s="4">
        <v>12520.43</v>
      </c>
      <c r="J258" s="4">
        <v>41780.1</v>
      </c>
      <c r="K258" s="4">
        <v>128932.4</v>
      </c>
      <c r="L258" s="4">
        <v>12592.12</v>
      </c>
      <c r="M258" s="4">
        <v>10386.290000000001</v>
      </c>
      <c r="N258" s="4">
        <v>6470.47</v>
      </c>
      <c r="O258" s="4">
        <v>7196.2</v>
      </c>
      <c r="P258" s="4">
        <v>30956.560000000001</v>
      </c>
      <c r="Q258" s="4">
        <v>43071.05</v>
      </c>
      <c r="R258" s="4">
        <v>0</v>
      </c>
      <c r="S258" s="4">
        <v>47723.25</v>
      </c>
      <c r="T258" s="4">
        <v>188959.91</v>
      </c>
    </row>
    <row r="259" spans="1:20">
      <c r="A259" s="3">
        <f t="shared" si="3"/>
        <v>37253</v>
      </c>
      <c r="B259" s="4">
        <v>8686.8700000000008</v>
      </c>
      <c r="C259" s="4">
        <v>1185653.67</v>
      </c>
      <c r="D259" s="4">
        <v>63838.82</v>
      </c>
      <c r="E259" s="4">
        <v>65094.27</v>
      </c>
      <c r="F259" s="4">
        <v>6279.05</v>
      </c>
      <c r="G259" s="4">
        <v>4671.43</v>
      </c>
      <c r="H259" s="4">
        <v>4038.73</v>
      </c>
      <c r="I259" s="4">
        <v>13508.66</v>
      </c>
      <c r="J259" s="4">
        <v>42487.77</v>
      </c>
      <c r="K259" s="4">
        <v>122984.71</v>
      </c>
      <c r="L259" s="4">
        <v>13286</v>
      </c>
      <c r="M259" s="4">
        <v>10393.42</v>
      </c>
      <c r="N259" s="4">
        <v>6481.43</v>
      </c>
      <c r="O259" s="4">
        <v>6454.43</v>
      </c>
      <c r="P259" s="4">
        <v>30512.61</v>
      </c>
      <c r="Q259" s="4">
        <v>42956.7</v>
      </c>
      <c r="R259" s="4">
        <v>0</v>
      </c>
      <c r="S259" s="4">
        <v>48396.55</v>
      </c>
      <c r="T259" s="4">
        <v>176265.98</v>
      </c>
    </row>
    <row r="260" spans="1:20">
      <c r="A260" s="3">
        <f t="shared" si="3"/>
        <v>37223</v>
      </c>
      <c r="B260" s="4">
        <v>6427.91</v>
      </c>
      <c r="C260" s="4">
        <v>1176688.7</v>
      </c>
      <c r="D260" s="4">
        <v>65695.7</v>
      </c>
      <c r="E260" s="4">
        <v>76603.3</v>
      </c>
      <c r="F260" s="4">
        <v>6445.11</v>
      </c>
      <c r="G260" s="4">
        <v>5413.39</v>
      </c>
      <c r="H260" s="4">
        <v>4319.8599999999997</v>
      </c>
      <c r="I260" s="4">
        <v>10327.379999999999</v>
      </c>
      <c r="J260" s="4">
        <v>41322.93</v>
      </c>
      <c r="K260" s="4">
        <v>128514.47</v>
      </c>
      <c r="L260" s="4">
        <v>14558.45</v>
      </c>
      <c r="M260" s="4">
        <v>10716.94</v>
      </c>
      <c r="N260" s="4">
        <v>6242.86</v>
      </c>
      <c r="O260" s="4">
        <v>7282.39</v>
      </c>
      <c r="P260" s="4">
        <v>29559.81</v>
      </c>
      <c r="Q260" s="4">
        <v>42869.62</v>
      </c>
      <c r="R260" s="4">
        <v>0</v>
      </c>
      <c r="S260" s="4">
        <v>48134.29</v>
      </c>
      <c r="T260" s="4">
        <v>165797.12</v>
      </c>
    </row>
    <row r="261" spans="1:20">
      <c r="A261" s="3">
        <f t="shared" si="3"/>
        <v>37192</v>
      </c>
      <c r="B261" s="4">
        <v>6008.63</v>
      </c>
      <c r="C261" s="4">
        <v>1145141.3500000001</v>
      </c>
      <c r="D261" s="4">
        <v>74084.649999999994</v>
      </c>
      <c r="E261" s="4">
        <v>72838.89</v>
      </c>
      <c r="F261" s="4">
        <v>6370.16</v>
      </c>
      <c r="G261" s="4">
        <v>5742.7</v>
      </c>
      <c r="H261" s="4">
        <v>4286.67</v>
      </c>
      <c r="I261" s="4">
        <v>9773.43</v>
      </c>
      <c r="J261" s="4">
        <v>40063.61</v>
      </c>
      <c r="K261" s="4">
        <v>131870.91</v>
      </c>
      <c r="L261" s="4">
        <v>14885.46</v>
      </c>
      <c r="M261" s="4">
        <v>10877.86</v>
      </c>
      <c r="N261" s="4">
        <v>6208.09</v>
      </c>
      <c r="O261" s="4">
        <v>7338.59</v>
      </c>
      <c r="P261" s="4">
        <v>27940.59</v>
      </c>
      <c r="Q261" s="4">
        <v>42935.39</v>
      </c>
      <c r="R261" s="4">
        <v>0</v>
      </c>
      <c r="S261" s="4">
        <v>47884.35</v>
      </c>
      <c r="T261" s="4">
        <v>160435.53</v>
      </c>
    </row>
    <row r="262" spans="1:20">
      <c r="A262" s="3">
        <f t="shared" ref="A262:A325" si="4">EDATE(A261,-1)</f>
        <v>37162</v>
      </c>
      <c r="B262" s="4">
        <v>5654.01</v>
      </c>
      <c r="C262" s="4">
        <v>1139810.04</v>
      </c>
      <c r="D262" s="4">
        <v>72720.06</v>
      </c>
      <c r="E262" s="4">
        <v>75664.69</v>
      </c>
      <c r="F262" s="4">
        <v>6809.32</v>
      </c>
      <c r="G262" s="4">
        <v>6402.58</v>
      </c>
      <c r="H262" s="4">
        <v>4093.96</v>
      </c>
      <c r="I262" s="4">
        <v>9866.2999999999993</v>
      </c>
      <c r="J262" s="4">
        <v>40133.17</v>
      </c>
      <c r="K262" s="4">
        <v>131691.19</v>
      </c>
      <c r="L262" s="4">
        <v>14272.93</v>
      </c>
      <c r="M262" s="4">
        <v>10737.64</v>
      </c>
      <c r="N262" s="4">
        <v>5702.55</v>
      </c>
      <c r="O262" s="4">
        <v>9046.64</v>
      </c>
      <c r="P262" s="4">
        <v>26834.16</v>
      </c>
      <c r="Q262" s="4">
        <v>42932.41</v>
      </c>
      <c r="R262" s="4">
        <v>0</v>
      </c>
      <c r="S262" s="4">
        <v>47310.66</v>
      </c>
      <c r="T262" s="4">
        <v>156805</v>
      </c>
    </row>
    <row r="263" spans="1:20">
      <c r="A263" s="3">
        <f t="shared" si="4"/>
        <v>37131</v>
      </c>
      <c r="B263" s="4">
        <v>5736.97</v>
      </c>
      <c r="C263" s="4">
        <v>1130717.3400000001</v>
      </c>
      <c r="D263" s="4">
        <v>71854.95</v>
      </c>
      <c r="E263" s="4">
        <v>68489.279999999999</v>
      </c>
      <c r="F263" s="4">
        <v>6518.38</v>
      </c>
      <c r="G263" s="4">
        <v>6800.88</v>
      </c>
      <c r="H263" s="4">
        <v>4310.37</v>
      </c>
      <c r="I263" s="4">
        <v>9756.7099999999991</v>
      </c>
      <c r="J263" s="4">
        <v>39606.9</v>
      </c>
      <c r="K263" s="4">
        <v>129863.27</v>
      </c>
      <c r="L263" s="4">
        <v>13732.92</v>
      </c>
      <c r="M263" s="4">
        <v>10927.01</v>
      </c>
      <c r="N263" s="4">
        <v>5953.48</v>
      </c>
      <c r="O263" s="4">
        <v>8592.4699999999993</v>
      </c>
      <c r="P263" s="4">
        <v>28732.99</v>
      </c>
      <c r="Q263" s="4">
        <v>41498.400000000001</v>
      </c>
      <c r="R263" s="4">
        <v>0</v>
      </c>
      <c r="S263" s="4">
        <v>47246.33</v>
      </c>
      <c r="T263" s="4">
        <v>143830.56</v>
      </c>
    </row>
    <row r="264" spans="1:20">
      <c r="A264" s="3">
        <f t="shared" si="4"/>
        <v>37100</v>
      </c>
      <c r="B264" s="4">
        <v>6231.46</v>
      </c>
      <c r="C264" s="4">
        <v>1142113.73</v>
      </c>
      <c r="D264" s="4">
        <v>71528.39</v>
      </c>
      <c r="E264" s="4">
        <v>71592.09</v>
      </c>
      <c r="F264" s="4">
        <v>6544.54</v>
      </c>
      <c r="G264" s="4">
        <v>7645.78</v>
      </c>
      <c r="H264" s="4">
        <v>4351.8500000000004</v>
      </c>
      <c r="I264" s="4">
        <v>9524.17</v>
      </c>
      <c r="J264" s="4">
        <v>39868.01</v>
      </c>
      <c r="K264" s="4">
        <v>132369.54</v>
      </c>
      <c r="L264" s="4">
        <v>13982.34</v>
      </c>
      <c r="M264" s="4">
        <v>10795.74</v>
      </c>
      <c r="N264" s="4">
        <v>5961.18</v>
      </c>
      <c r="O264" s="4">
        <v>8045.94</v>
      </c>
      <c r="P264" s="4">
        <v>29832.48</v>
      </c>
      <c r="Q264" s="4">
        <v>41073.5</v>
      </c>
      <c r="R264" s="4">
        <v>0</v>
      </c>
      <c r="S264" s="4">
        <v>47074.68</v>
      </c>
      <c r="T264" s="4">
        <v>153652.24</v>
      </c>
    </row>
    <row r="265" spans="1:20">
      <c r="A265" s="3">
        <f t="shared" si="4"/>
        <v>37070</v>
      </c>
      <c r="B265" s="4">
        <v>5406.54</v>
      </c>
      <c r="C265" s="4">
        <v>1136973.1399999999</v>
      </c>
      <c r="D265" s="4">
        <v>75086.899999999994</v>
      </c>
      <c r="E265" s="4">
        <v>73534.06</v>
      </c>
      <c r="F265" s="4">
        <v>6271.72</v>
      </c>
      <c r="G265" s="4">
        <v>8129.83</v>
      </c>
      <c r="H265" s="4">
        <v>4270.7700000000004</v>
      </c>
      <c r="I265" s="4">
        <v>9538.2199999999993</v>
      </c>
      <c r="J265" s="4">
        <v>39846.6</v>
      </c>
      <c r="K265" s="4">
        <v>137170.72</v>
      </c>
      <c r="L265" s="4">
        <v>14276.14</v>
      </c>
      <c r="M265" s="4">
        <v>9920.9</v>
      </c>
      <c r="N265" s="4">
        <v>6035.18</v>
      </c>
      <c r="O265" s="4">
        <v>8206.5300000000007</v>
      </c>
      <c r="P265" s="4">
        <v>32644.720000000001</v>
      </c>
      <c r="Q265" s="4">
        <v>40148.07</v>
      </c>
      <c r="R265" s="4">
        <v>0</v>
      </c>
      <c r="S265" s="4">
        <v>47069.98</v>
      </c>
      <c r="T265" s="4">
        <v>165814.51999999999</v>
      </c>
    </row>
    <row r="266" spans="1:20">
      <c r="A266" s="3">
        <f t="shared" si="4"/>
        <v>37039</v>
      </c>
      <c r="B266" s="4">
        <v>5609.47</v>
      </c>
      <c r="C266" s="4">
        <v>1115482.97</v>
      </c>
      <c r="D266" s="4">
        <v>78172.87</v>
      </c>
      <c r="E266" s="4">
        <v>70976.42</v>
      </c>
      <c r="F266" s="4">
        <v>6316.07</v>
      </c>
      <c r="G266" s="4">
        <v>8001.75</v>
      </c>
      <c r="H266" s="4">
        <v>4386.26</v>
      </c>
      <c r="I266" s="4">
        <v>9556.4699999999993</v>
      </c>
      <c r="J266" s="4">
        <v>39620.870000000003</v>
      </c>
      <c r="K266" s="4">
        <v>136784</v>
      </c>
      <c r="L266" s="4">
        <v>14541.32</v>
      </c>
      <c r="M266" s="4">
        <v>9534.43</v>
      </c>
      <c r="N266" s="4">
        <v>5989.63</v>
      </c>
      <c r="O266" s="4">
        <v>8565.57</v>
      </c>
      <c r="P266" s="4">
        <v>32603.33</v>
      </c>
      <c r="Q266" s="4">
        <v>42672.52</v>
      </c>
      <c r="R266" s="4">
        <v>0</v>
      </c>
      <c r="S266" s="4">
        <v>46833.72</v>
      </c>
      <c r="T266" s="4">
        <v>163904</v>
      </c>
    </row>
    <row r="267" spans="1:20">
      <c r="A267" s="3">
        <f t="shared" si="4"/>
        <v>37009</v>
      </c>
      <c r="B267" s="4">
        <v>5999.5</v>
      </c>
      <c r="C267" s="4">
        <v>1112823.3899999999</v>
      </c>
      <c r="D267" s="4">
        <v>72060.92</v>
      </c>
      <c r="E267" s="4">
        <v>72556.63</v>
      </c>
      <c r="F267" s="4">
        <v>6036.8</v>
      </c>
      <c r="G267" s="4">
        <v>8268.33</v>
      </c>
      <c r="H267" s="4">
        <v>3989.96</v>
      </c>
      <c r="I267" s="4">
        <v>8242.67</v>
      </c>
      <c r="J267" s="4">
        <v>40145.53</v>
      </c>
      <c r="K267" s="4">
        <v>138486.76999999999</v>
      </c>
      <c r="L267" s="4">
        <v>14446.83</v>
      </c>
      <c r="M267" s="4">
        <v>9606.27</v>
      </c>
      <c r="N267" s="4">
        <v>5745.28</v>
      </c>
      <c r="O267" s="4">
        <v>7911.64</v>
      </c>
      <c r="P267" s="4">
        <v>31194.42</v>
      </c>
      <c r="Q267" s="4">
        <v>44892.22</v>
      </c>
      <c r="R267" s="4">
        <v>0</v>
      </c>
      <c r="S267" s="4">
        <v>46566.6</v>
      </c>
      <c r="T267" s="4">
        <v>162643.14000000001</v>
      </c>
    </row>
    <row r="268" spans="1:20">
      <c r="A268" s="3">
        <f t="shared" si="4"/>
        <v>36978</v>
      </c>
      <c r="B268" s="4">
        <v>5260.04</v>
      </c>
      <c r="C268" s="4">
        <v>1108247.08</v>
      </c>
      <c r="D268" s="4">
        <v>76051.839999999997</v>
      </c>
      <c r="E268" s="4">
        <v>78691.789999999994</v>
      </c>
      <c r="F268" s="4">
        <v>5648.39</v>
      </c>
      <c r="G268" s="4">
        <v>7206.35</v>
      </c>
      <c r="H268" s="4">
        <v>3973.43</v>
      </c>
      <c r="I268" s="4">
        <v>7812.96</v>
      </c>
      <c r="J268" s="4">
        <v>42088.85</v>
      </c>
      <c r="K268" s="4">
        <v>137166.76999999999</v>
      </c>
      <c r="L268" s="4">
        <v>14750.92</v>
      </c>
      <c r="M268" s="4">
        <v>8873.0300000000007</v>
      </c>
      <c r="N268" s="4">
        <v>5819.89</v>
      </c>
      <c r="O268" s="4">
        <v>7980.94</v>
      </c>
      <c r="P268" s="4">
        <v>28528.79</v>
      </c>
      <c r="Q268" s="4">
        <v>43593</v>
      </c>
      <c r="R268" s="4">
        <v>0</v>
      </c>
      <c r="S268" s="4">
        <v>46491.64</v>
      </c>
      <c r="T268" s="4">
        <v>167907.6</v>
      </c>
    </row>
    <row r="269" spans="1:20">
      <c r="A269" s="3">
        <f t="shared" si="4"/>
        <v>36950</v>
      </c>
      <c r="B269" s="4">
        <v>5348.07</v>
      </c>
      <c r="C269" s="4">
        <v>1081582.26</v>
      </c>
      <c r="D269" s="4">
        <v>68485.14</v>
      </c>
      <c r="E269" s="4">
        <v>68917.009999999995</v>
      </c>
      <c r="F269" s="4">
        <v>5491.61</v>
      </c>
      <c r="G269" s="4">
        <v>6146.06</v>
      </c>
      <c r="H269" s="4">
        <v>3589.94</v>
      </c>
      <c r="I269" s="4">
        <v>7961.07</v>
      </c>
      <c r="J269" s="4">
        <v>40220.31</v>
      </c>
      <c r="K269" s="4">
        <v>137889.76</v>
      </c>
      <c r="L269" s="4">
        <v>14123.43</v>
      </c>
      <c r="M269" s="4">
        <v>8431.66</v>
      </c>
      <c r="N269" s="4">
        <v>5696.58</v>
      </c>
      <c r="O269" s="4">
        <v>7223.01</v>
      </c>
      <c r="P269" s="4">
        <v>27056.240000000002</v>
      </c>
      <c r="Q269" s="4">
        <v>41504.01</v>
      </c>
      <c r="R269" s="4">
        <v>0</v>
      </c>
      <c r="S269" s="4">
        <v>46741.22</v>
      </c>
      <c r="T269" s="4">
        <v>153131</v>
      </c>
    </row>
    <row r="270" spans="1:20">
      <c r="A270" s="3">
        <f t="shared" si="4"/>
        <v>36919</v>
      </c>
      <c r="B270" s="4">
        <v>5123.8999999999996</v>
      </c>
      <c r="C270" s="4">
        <v>1090326.32</v>
      </c>
      <c r="D270" s="4">
        <v>69983.59</v>
      </c>
      <c r="E270" s="4">
        <v>67205.740000000005</v>
      </c>
      <c r="F270" s="4">
        <v>5237.38</v>
      </c>
      <c r="G270" s="4">
        <v>5685.36</v>
      </c>
      <c r="H270" s="4">
        <v>3638.51</v>
      </c>
      <c r="I270" s="4">
        <v>8061.74</v>
      </c>
      <c r="J270" s="4">
        <v>40671.1</v>
      </c>
      <c r="K270" s="4">
        <v>137708.25</v>
      </c>
      <c r="L270" s="4">
        <v>14030.87</v>
      </c>
      <c r="M270" s="4">
        <v>8222.8700000000008</v>
      </c>
      <c r="N270" s="4">
        <v>5748.39</v>
      </c>
      <c r="O270" s="4">
        <v>7203.12</v>
      </c>
      <c r="P270" s="4">
        <v>26794.87</v>
      </c>
      <c r="Q270" s="4">
        <v>40583.040000000001</v>
      </c>
      <c r="R270" s="4">
        <v>0</v>
      </c>
      <c r="S270" s="4">
        <v>46129.61</v>
      </c>
      <c r="T270" s="4">
        <v>154432</v>
      </c>
    </row>
    <row r="271" spans="1:20">
      <c r="A271" s="3">
        <f t="shared" si="4"/>
        <v>36888</v>
      </c>
      <c r="B271" s="4">
        <v>7012.74</v>
      </c>
      <c r="C271" s="4">
        <v>1110507.26</v>
      </c>
      <c r="D271" s="4">
        <v>74641.2</v>
      </c>
      <c r="E271" s="4">
        <v>69307.88</v>
      </c>
      <c r="F271" s="4">
        <v>5355.15</v>
      </c>
      <c r="G271" s="4">
        <v>4580.54</v>
      </c>
      <c r="H271" s="4">
        <v>3704.98</v>
      </c>
      <c r="I271" s="4">
        <v>7936.11</v>
      </c>
      <c r="J271" s="4">
        <v>43387.95</v>
      </c>
      <c r="K271" s="4">
        <v>136022.07999999999</v>
      </c>
      <c r="L271" s="4">
        <v>15392.46</v>
      </c>
      <c r="M271" s="4">
        <v>8238.7199999999993</v>
      </c>
      <c r="N271" s="4">
        <v>5946.55</v>
      </c>
      <c r="O271" s="4">
        <v>7317.92</v>
      </c>
      <c r="P271" s="4">
        <v>26636.09</v>
      </c>
      <c r="Q271" s="4">
        <v>40803</v>
      </c>
      <c r="R271" s="4">
        <v>0</v>
      </c>
      <c r="S271" s="4">
        <v>46283.05</v>
      </c>
      <c r="T271" s="4">
        <v>158052.59</v>
      </c>
    </row>
    <row r="272" spans="1:20">
      <c r="A272" s="3">
        <f t="shared" si="4"/>
        <v>36858</v>
      </c>
      <c r="B272" s="4">
        <v>5611.26</v>
      </c>
      <c r="C272" s="4">
        <v>1096563.8999999999</v>
      </c>
      <c r="D272" s="4">
        <v>70175.59</v>
      </c>
      <c r="E272" s="4">
        <v>68814.490000000005</v>
      </c>
      <c r="F272" s="4">
        <v>5666</v>
      </c>
      <c r="G272" s="4">
        <v>5453.04</v>
      </c>
      <c r="H272" s="4">
        <v>3990.87</v>
      </c>
      <c r="I272" s="4">
        <v>7118.17</v>
      </c>
      <c r="J272" s="4">
        <v>42498.11</v>
      </c>
      <c r="K272" s="4">
        <v>143376.97</v>
      </c>
      <c r="L272" s="4">
        <v>16737.62</v>
      </c>
      <c r="M272" s="4">
        <v>8064.64</v>
      </c>
      <c r="N272" s="4">
        <v>5508.25</v>
      </c>
      <c r="O272" s="4">
        <v>7545.02</v>
      </c>
      <c r="P272" s="4">
        <v>27262.07</v>
      </c>
      <c r="Q272" s="4">
        <v>42350.86</v>
      </c>
      <c r="R272" s="4">
        <v>0</v>
      </c>
      <c r="S272" s="4">
        <v>45515.39</v>
      </c>
      <c r="T272" s="4">
        <v>160511.93</v>
      </c>
    </row>
    <row r="273" spans="1:20">
      <c r="A273" s="3">
        <f t="shared" si="4"/>
        <v>36827</v>
      </c>
      <c r="B273" s="4">
        <v>5274.56</v>
      </c>
      <c r="C273" s="4">
        <v>1071828.3799999999</v>
      </c>
      <c r="D273" s="4">
        <v>70746.17</v>
      </c>
      <c r="E273" s="4">
        <v>69307.899999999994</v>
      </c>
      <c r="F273" s="4">
        <v>5440.84</v>
      </c>
      <c r="G273" s="4">
        <v>5253.72</v>
      </c>
      <c r="H273" s="4">
        <v>3871.68</v>
      </c>
      <c r="I273" s="4">
        <v>6967.43</v>
      </c>
      <c r="J273" s="4">
        <v>42578.41</v>
      </c>
      <c r="K273" s="4">
        <v>147786.12</v>
      </c>
      <c r="L273" s="4">
        <v>17121.650000000001</v>
      </c>
      <c r="M273" s="4">
        <v>7940.38</v>
      </c>
      <c r="N273" s="4">
        <v>5513.75</v>
      </c>
      <c r="O273" s="4">
        <v>7408.22</v>
      </c>
      <c r="P273" s="4">
        <v>26186.74</v>
      </c>
      <c r="Q273" s="4">
        <v>41775.65</v>
      </c>
      <c r="R273" s="4">
        <v>0</v>
      </c>
      <c r="S273" s="4">
        <v>45457.07</v>
      </c>
      <c r="T273" s="4">
        <v>170961.09</v>
      </c>
    </row>
    <row r="274" spans="1:20">
      <c r="A274" s="3">
        <f t="shared" si="4"/>
        <v>36797</v>
      </c>
      <c r="B274" s="4">
        <v>5073.55</v>
      </c>
      <c r="C274" s="4">
        <v>1048595.5</v>
      </c>
      <c r="D274" s="4">
        <v>68704.58</v>
      </c>
      <c r="E274" s="4">
        <v>69600.92</v>
      </c>
      <c r="F274" s="4">
        <v>5358.66</v>
      </c>
      <c r="G274" s="4">
        <v>5230.32</v>
      </c>
      <c r="H274" s="4">
        <v>3735.99</v>
      </c>
      <c r="I274" s="4">
        <v>7226.11</v>
      </c>
      <c r="J274" s="4">
        <v>43534.38</v>
      </c>
      <c r="K274" s="4">
        <v>146628.96</v>
      </c>
      <c r="L274" s="4">
        <v>17528.09</v>
      </c>
      <c r="M274" s="4">
        <v>7793.03</v>
      </c>
      <c r="N274" s="4">
        <v>5541.02</v>
      </c>
      <c r="O274" s="4">
        <v>7044.6</v>
      </c>
      <c r="P274" s="4">
        <v>25728.66</v>
      </c>
      <c r="Q274" s="4">
        <v>41828.19</v>
      </c>
      <c r="R274" s="4">
        <v>0</v>
      </c>
      <c r="S274" s="4">
        <v>44513.84</v>
      </c>
      <c r="T274" s="4">
        <v>155172</v>
      </c>
    </row>
    <row r="275" spans="1:20">
      <c r="A275" s="3">
        <f t="shared" si="4"/>
        <v>36766</v>
      </c>
      <c r="B275" s="4">
        <v>5323.44</v>
      </c>
      <c r="C275" s="4">
        <v>1042597.57</v>
      </c>
      <c r="D275" s="4">
        <v>66730.89</v>
      </c>
      <c r="E275" s="4">
        <v>68295</v>
      </c>
      <c r="F275" s="4">
        <v>5449.51</v>
      </c>
      <c r="G275" s="4">
        <v>5007.3900000000003</v>
      </c>
      <c r="H275" s="4">
        <v>3961.11</v>
      </c>
      <c r="I275" s="4">
        <v>7110.18</v>
      </c>
      <c r="J275" s="4">
        <v>42635.73</v>
      </c>
      <c r="K275" s="4">
        <v>147914.18</v>
      </c>
      <c r="L275" s="4">
        <v>16700.68</v>
      </c>
      <c r="M275" s="4">
        <v>7617.88</v>
      </c>
      <c r="N275" s="4">
        <v>5397.26</v>
      </c>
      <c r="O275" s="4">
        <v>5596.28</v>
      </c>
      <c r="P275" s="4">
        <v>26540.12</v>
      </c>
      <c r="Q275" s="4">
        <v>41883.360000000001</v>
      </c>
      <c r="R275" s="4">
        <v>0</v>
      </c>
      <c r="S275" s="4">
        <v>44398.01</v>
      </c>
      <c r="T275" s="4">
        <v>144025.19</v>
      </c>
    </row>
    <row r="276" spans="1:20">
      <c r="A276" s="3">
        <f t="shared" si="4"/>
        <v>36735</v>
      </c>
      <c r="B276" s="4">
        <v>5910.38</v>
      </c>
      <c r="C276" s="4">
        <v>1050404.72</v>
      </c>
      <c r="D276" s="4">
        <v>65041.32</v>
      </c>
      <c r="E276" s="4">
        <v>66236.31</v>
      </c>
      <c r="F276" s="4">
        <v>5429.85</v>
      </c>
      <c r="G276" s="4">
        <v>4867.2700000000004</v>
      </c>
      <c r="H276" s="4">
        <v>4345.04</v>
      </c>
      <c r="I276" s="4">
        <v>7105.69</v>
      </c>
      <c r="J276" s="4">
        <v>42832.160000000003</v>
      </c>
      <c r="K276" s="4">
        <v>150722.93</v>
      </c>
      <c r="L276" s="4">
        <v>16485.740000000002</v>
      </c>
      <c r="M276" s="4">
        <v>7391.34</v>
      </c>
      <c r="N276" s="4">
        <v>5188.55</v>
      </c>
      <c r="O276" s="4">
        <v>5357.03</v>
      </c>
      <c r="P276" s="4">
        <v>29408.09</v>
      </c>
      <c r="Q276" s="4">
        <v>41773.57</v>
      </c>
      <c r="R276" s="4">
        <v>0</v>
      </c>
      <c r="S276" s="4">
        <v>44552.33</v>
      </c>
      <c r="T276" s="4">
        <v>153784.76</v>
      </c>
    </row>
    <row r="277" spans="1:20">
      <c r="A277" s="3">
        <f t="shared" si="4"/>
        <v>36705</v>
      </c>
      <c r="B277" s="4">
        <v>5101.43</v>
      </c>
      <c r="C277" s="4">
        <v>1056056.6299999999</v>
      </c>
      <c r="D277" s="4">
        <v>73576.899999999994</v>
      </c>
      <c r="E277" s="4">
        <v>74771.199999999997</v>
      </c>
      <c r="F277" s="4">
        <v>5502.71</v>
      </c>
      <c r="G277" s="4">
        <v>5073.38</v>
      </c>
      <c r="H277" s="4">
        <v>4314.51</v>
      </c>
      <c r="I277" s="4">
        <v>6206.12</v>
      </c>
      <c r="J277" s="4">
        <v>44149.2</v>
      </c>
      <c r="K277" s="4">
        <v>155548.41</v>
      </c>
      <c r="L277" s="4">
        <v>16513.099999999999</v>
      </c>
      <c r="M277" s="4">
        <v>7097.49</v>
      </c>
      <c r="N277" s="4">
        <v>5171.43</v>
      </c>
      <c r="O277" s="4">
        <v>5122.72</v>
      </c>
      <c r="P277" s="4">
        <v>28656.82</v>
      </c>
      <c r="Q277" s="4">
        <v>42047.8</v>
      </c>
      <c r="R277" s="4">
        <v>0</v>
      </c>
      <c r="S277" s="4">
        <v>44252.5</v>
      </c>
      <c r="T277" s="4">
        <v>151679.97</v>
      </c>
    </row>
    <row r="278" spans="1:20">
      <c r="A278" s="3">
        <f t="shared" si="4"/>
        <v>36674</v>
      </c>
      <c r="B278" s="4">
        <v>5197.16</v>
      </c>
      <c r="C278" s="4">
        <v>1024134.18</v>
      </c>
      <c r="D278" s="4">
        <v>84106.87</v>
      </c>
      <c r="E278" s="4">
        <v>77862.600000000006</v>
      </c>
      <c r="F278" s="4">
        <v>5701.92</v>
      </c>
      <c r="G278" s="4">
        <v>4725.5200000000004</v>
      </c>
      <c r="H278" s="4">
        <v>4338.66</v>
      </c>
      <c r="I278" s="4">
        <v>7174.17</v>
      </c>
      <c r="J278" s="4">
        <v>43609.55</v>
      </c>
      <c r="K278" s="4">
        <v>156249.56</v>
      </c>
      <c r="L278" s="4">
        <v>17496.03</v>
      </c>
      <c r="M278" s="4">
        <v>7556.01</v>
      </c>
      <c r="N278" s="4">
        <v>5133.4799999999996</v>
      </c>
      <c r="O278" s="4">
        <v>5122.84</v>
      </c>
      <c r="P278" s="4">
        <v>27234.080000000002</v>
      </c>
      <c r="Q278" s="4">
        <v>43724.89</v>
      </c>
      <c r="R278" s="4">
        <v>0</v>
      </c>
      <c r="S278" s="4">
        <v>44083.3</v>
      </c>
      <c r="T278" s="4">
        <v>156775.91</v>
      </c>
    </row>
    <row r="279" spans="1:20">
      <c r="A279" s="3">
        <f t="shared" si="4"/>
        <v>36644</v>
      </c>
      <c r="B279" s="4">
        <v>5623.43</v>
      </c>
      <c r="C279" s="4">
        <v>1013689.18</v>
      </c>
      <c r="D279" s="4">
        <v>72190.649999999994</v>
      </c>
      <c r="E279" s="4">
        <v>72506.77</v>
      </c>
      <c r="F279" s="4">
        <v>5591.49</v>
      </c>
      <c r="G279" s="4">
        <v>3854.13</v>
      </c>
      <c r="H279" s="4">
        <v>4512.21</v>
      </c>
      <c r="I279" s="4">
        <v>7060.31</v>
      </c>
      <c r="J279" s="4">
        <v>44144.86</v>
      </c>
      <c r="K279" s="4">
        <v>158310.15</v>
      </c>
      <c r="L279" s="4">
        <v>17739.13</v>
      </c>
      <c r="M279" s="4">
        <v>7199.23</v>
      </c>
      <c r="N279" s="4">
        <v>5094.9399999999996</v>
      </c>
      <c r="O279" s="4">
        <v>5166.7700000000004</v>
      </c>
      <c r="P279" s="4">
        <v>26839.69</v>
      </c>
      <c r="Q279" s="4">
        <v>43370.06</v>
      </c>
      <c r="R279" s="4">
        <v>0</v>
      </c>
      <c r="S279" s="4">
        <v>44074.66</v>
      </c>
      <c r="T279" s="4">
        <v>164893.85999999999</v>
      </c>
    </row>
    <row r="280" spans="1:20">
      <c r="A280" s="3">
        <f t="shared" si="4"/>
        <v>36613</v>
      </c>
      <c r="B280" s="4">
        <v>4871.43</v>
      </c>
      <c r="C280" s="4">
        <v>1011013.05</v>
      </c>
      <c r="D280" s="4">
        <v>73935.14</v>
      </c>
      <c r="E280" s="4">
        <v>69338.62</v>
      </c>
      <c r="F280" s="4">
        <v>5714.25</v>
      </c>
      <c r="G280" s="4">
        <v>4120.78</v>
      </c>
      <c r="H280" s="4">
        <v>4155.2299999999996</v>
      </c>
      <c r="I280" s="4">
        <v>6264.15</v>
      </c>
      <c r="J280" s="4">
        <v>44678.7</v>
      </c>
      <c r="K280" s="4">
        <v>158042.9</v>
      </c>
      <c r="L280" s="4">
        <v>17907.150000000001</v>
      </c>
      <c r="M280" s="4">
        <v>6810.57</v>
      </c>
      <c r="N280" s="4">
        <v>5062.8999999999996</v>
      </c>
      <c r="O280" s="4">
        <v>5062.55</v>
      </c>
      <c r="P280" s="4">
        <v>25928.46</v>
      </c>
      <c r="Q280" s="4">
        <v>43369.59</v>
      </c>
      <c r="R280" s="4">
        <v>0</v>
      </c>
      <c r="S280" s="4">
        <v>44111.34</v>
      </c>
      <c r="T280" s="4">
        <v>159460.35999999999</v>
      </c>
    </row>
    <row r="281" spans="1:20">
      <c r="A281" s="3">
        <f t="shared" si="4"/>
        <v>36584</v>
      </c>
      <c r="B281" s="4">
        <v>4951.79</v>
      </c>
      <c r="C281" s="4">
        <v>998259.93</v>
      </c>
      <c r="D281" s="4">
        <v>67165.53</v>
      </c>
      <c r="E281" s="4">
        <v>65099.28</v>
      </c>
      <c r="F281" s="4">
        <v>4851.97</v>
      </c>
      <c r="G281" s="4">
        <v>3779.38</v>
      </c>
      <c r="H281" s="4">
        <v>4217.5</v>
      </c>
      <c r="I281" s="4">
        <v>6343.72</v>
      </c>
      <c r="J281" s="4">
        <v>40024.339999999997</v>
      </c>
      <c r="K281" s="4">
        <v>160076.60999999999</v>
      </c>
      <c r="L281" s="4">
        <v>17779.14</v>
      </c>
      <c r="M281" s="4">
        <v>6385.12</v>
      </c>
      <c r="N281" s="4">
        <v>5060.92</v>
      </c>
      <c r="O281" s="4">
        <v>4966.57</v>
      </c>
      <c r="P281" s="4">
        <v>24539.74</v>
      </c>
      <c r="Q281" s="4">
        <v>42095.69</v>
      </c>
      <c r="R281" s="4">
        <v>0</v>
      </c>
      <c r="S281" s="4">
        <v>44528.58</v>
      </c>
      <c r="T281" s="4">
        <v>161847.71</v>
      </c>
    </row>
    <row r="282" spans="1:20">
      <c r="A282" s="3">
        <f t="shared" si="4"/>
        <v>36553</v>
      </c>
      <c r="B282" s="4">
        <v>5157.7</v>
      </c>
      <c r="C282" s="4">
        <v>990410.08</v>
      </c>
      <c r="D282" s="4">
        <v>65546.55</v>
      </c>
      <c r="E282" s="4">
        <v>71765.22</v>
      </c>
      <c r="F282" s="4">
        <v>5060.09</v>
      </c>
      <c r="G282" s="4">
        <v>3303.4</v>
      </c>
      <c r="H282" s="4">
        <v>4041.28</v>
      </c>
      <c r="I282" s="4">
        <v>5748.64</v>
      </c>
      <c r="J282" s="4">
        <v>39595.410000000003</v>
      </c>
      <c r="K282" s="4">
        <v>160702.47</v>
      </c>
      <c r="L282" s="4">
        <v>17878.75</v>
      </c>
      <c r="M282" s="4">
        <v>5670.87</v>
      </c>
      <c r="N282" s="4">
        <v>5032.33</v>
      </c>
      <c r="O282" s="4">
        <v>4790.8500000000004</v>
      </c>
      <c r="P282" s="4">
        <v>21725.34</v>
      </c>
      <c r="Q282" s="4">
        <v>40408.36</v>
      </c>
      <c r="R282" s="4">
        <v>0</v>
      </c>
      <c r="S282" s="4">
        <v>44389.37</v>
      </c>
      <c r="T282" s="4">
        <v>166553.79</v>
      </c>
    </row>
    <row r="283" spans="1:20">
      <c r="A283" s="3">
        <f t="shared" si="4"/>
        <v>36522</v>
      </c>
      <c r="B283" s="4">
        <v>6149.58</v>
      </c>
      <c r="C283" s="4">
        <v>979237.34</v>
      </c>
      <c r="D283" s="4">
        <v>70505.45</v>
      </c>
      <c r="E283" s="4">
        <v>67629.48</v>
      </c>
      <c r="F283" s="4">
        <v>4870.1899999999996</v>
      </c>
      <c r="G283" s="4">
        <v>3079.71</v>
      </c>
      <c r="H283" s="4">
        <v>4338.51</v>
      </c>
      <c r="I283" s="4">
        <v>5399.21</v>
      </c>
      <c r="J283" s="4">
        <v>37806.14</v>
      </c>
      <c r="K283" s="4">
        <v>163778.97</v>
      </c>
      <c r="L283" s="4">
        <v>17887.740000000002</v>
      </c>
      <c r="M283" s="4">
        <v>5192.6499999999996</v>
      </c>
      <c r="N283" s="4">
        <v>5077.6499999999996</v>
      </c>
      <c r="O283" s="4">
        <v>4600.54</v>
      </c>
      <c r="P283" s="4">
        <v>21511.71</v>
      </c>
      <c r="Q283" s="4">
        <v>39051.06</v>
      </c>
      <c r="R283" s="4">
        <v>0</v>
      </c>
      <c r="S283" s="4">
        <v>44719.37</v>
      </c>
      <c r="T283" s="4">
        <v>147968.82999999999</v>
      </c>
    </row>
    <row r="284" spans="1:20">
      <c r="A284" s="3">
        <f t="shared" si="4"/>
        <v>36492</v>
      </c>
      <c r="B284" s="4">
        <v>5361.9</v>
      </c>
      <c r="C284" s="4">
        <v>953837.66</v>
      </c>
      <c r="D284" s="4">
        <v>72612</v>
      </c>
      <c r="E284" s="4">
        <v>68108.31</v>
      </c>
      <c r="F284" s="4">
        <v>4716.66</v>
      </c>
      <c r="G284" s="4">
        <v>3543.58</v>
      </c>
      <c r="H284" s="4">
        <v>4290.8</v>
      </c>
      <c r="I284" s="4">
        <v>5256.85</v>
      </c>
      <c r="J284" s="4">
        <v>37165.94</v>
      </c>
      <c r="K284" s="4">
        <v>172082.14</v>
      </c>
      <c r="L284" s="4">
        <v>20004.439999999999</v>
      </c>
      <c r="M284" s="4">
        <v>5403.71</v>
      </c>
      <c r="N284" s="4">
        <v>5264.65</v>
      </c>
      <c r="O284" s="4">
        <v>4576.8599999999997</v>
      </c>
      <c r="P284" s="4">
        <v>22444.65</v>
      </c>
      <c r="Q284" s="4">
        <v>32713.33</v>
      </c>
      <c r="R284" s="4">
        <v>0</v>
      </c>
      <c r="S284" s="4">
        <v>44776.11</v>
      </c>
      <c r="T284" s="4">
        <v>145930.23000000001</v>
      </c>
    </row>
    <row r="285" spans="1:20">
      <c r="A285" s="3">
        <f t="shared" si="4"/>
        <v>36461</v>
      </c>
      <c r="B285" s="4">
        <v>4669.03</v>
      </c>
      <c r="C285" s="4">
        <v>926532.3</v>
      </c>
      <c r="D285" s="4">
        <v>65444.87</v>
      </c>
      <c r="E285" s="4">
        <v>69357.23</v>
      </c>
      <c r="F285" s="4">
        <v>4587.84</v>
      </c>
      <c r="G285" s="4">
        <v>3528.46</v>
      </c>
      <c r="H285" s="4">
        <v>4368.28</v>
      </c>
      <c r="I285" s="4">
        <v>5179.32</v>
      </c>
      <c r="J285" s="4">
        <v>37120.589999999997</v>
      </c>
      <c r="K285" s="4">
        <v>181136.11</v>
      </c>
      <c r="L285" s="4">
        <v>19311.02</v>
      </c>
      <c r="M285" s="4">
        <v>4395.3900000000003</v>
      </c>
      <c r="N285" s="4">
        <v>5168.05</v>
      </c>
      <c r="O285" s="4">
        <v>4440.07</v>
      </c>
      <c r="P285" s="4">
        <v>20216.43</v>
      </c>
      <c r="Q285" s="4">
        <v>32908.18</v>
      </c>
      <c r="R285" s="4">
        <v>0</v>
      </c>
      <c r="S285" s="4">
        <v>44519.71</v>
      </c>
      <c r="T285" s="4">
        <v>149054.64000000001</v>
      </c>
    </row>
    <row r="286" spans="1:20">
      <c r="A286" s="3">
        <f t="shared" si="4"/>
        <v>36431</v>
      </c>
      <c r="B286" s="4">
        <v>4856.9399999999996</v>
      </c>
      <c r="C286" s="4">
        <v>919785.7</v>
      </c>
      <c r="D286" s="4">
        <v>65000.22</v>
      </c>
      <c r="E286" s="4">
        <v>69997.759999999995</v>
      </c>
      <c r="F286" s="4">
        <v>4555.16</v>
      </c>
      <c r="G286" s="4">
        <v>3711.74</v>
      </c>
      <c r="H286" s="4">
        <v>4391.42</v>
      </c>
      <c r="I286" s="4">
        <v>4887.2</v>
      </c>
      <c r="J286" s="4">
        <v>36445.370000000003</v>
      </c>
      <c r="K286" s="4">
        <v>180373.26</v>
      </c>
      <c r="L286" s="4">
        <v>20439.419999999998</v>
      </c>
      <c r="M286" s="4">
        <v>4261.22</v>
      </c>
      <c r="N286" s="4">
        <v>4991.22</v>
      </c>
      <c r="O286" s="4">
        <v>4319.4799999999996</v>
      </c>
      <c r="P286" s="4">
        <v>20247.419999999998</v>
      </c>
      <c r="Q286" s="4">
        <v>32690.31</v>
      </c>
      <c r="R286" s="4">
        <v>0</v>
      </c>
      <c r="S286" s="4">
        <v>44946.77</v>
      </c>
      <c r="T286" s="4">
        <v>137244.67000000001</v>
      </c>
    </row>
    <row r="287" spans="1:20">
      <c r="A287" s="3">
        <f t="shared" si="4"/>
        <v>36400</v>
      </c>
      <c r="B287" s="4">
        <v>4940</v>
      </c>
      <c r="C287" s="4">
        <v>915772.37</v>
      </c>
      <c r="D287" s="4">
        <v>66347.990000000005</v>
      </c>
      <c r="E287" s="4">
        <v>75707.240000000005</v>
      </c>
      <c r="F287" s="4">
        <v>4772.71</v>
      </c>
      <c r="G287" s="4">
        <v>3511.67</v>
      </c>
      <c r="H287" s="4">
        <v>3927.74</v>
      </c>
      <c r="I287" s="4">
        <v>3686.73</v>
      </c>
      <c r="J287" s="4">
        <v>35295.21</v>
      </c>
      <c r="K287" s="4">
        <v>179071.72</v>
      </c>
      <c r="L287" s="4">
        <v>21035.56</v>
      </c>
      <c r="M287" s="4">
        <v>4211.3</v>
      </c>
      <c r="N287" s="4">
        <v>4975.28</v>
      </c>
      <c r="O287" s="4">
        <v>4433.75</v>
      </c>
      <c r="P287" s="4">
        <v>19614.939999999999</v>
      </c>
      <c r="Q287" s="4">
        <v>32364.75</v>
      </c>
      <c r="R287" s="4">
        <v>0</v>
      </c>
      <c r="S287" s="4">
        <v>44819.71</v>
      </c>
      <c r="T287" s="4">
        <v>135952.79</v>
      </c>
    </row>
    <row r="288" spans="1:20">
      <c r="A288" s="3">
        <f t="shared" si="4"/>
        <v>36369</v>
      </c>
      <c r="B288" s="4">
        <v>5075.13</v>
      </c>
      <c r="C288" s="4">
        <v>918184.26</v>
      </c>
      <c r="D288" s="4">
        <v>68669.91</v>
      </c>
      <c r="E288" s="4">
        <v>73492.38</v>
      </c>
      <c r="F288" s="4">
        <v>4870.6099999999997</v>
      </c>
      <c r="G288" s="4">
        <v>3463.12</v>
      </c>
      <c r="H288" s="4">
        <v>3662.96</v>
      </c>
      <c r="I288" s="4">
        <v>3514.62</v>
      </c>
      <c r="J288" s="4">
        <v>35472.17</v>
      </c>
      <c r="K288" s="4">
        <v>180662.19</v>
      </c>
      <c r="L288" s="4">
        <v>19841.189999999999</v>
      </c>
      <c r="M288" s="4">
        <v>4014.27</v>
      </c>
      <c r="N288" s="4">
        <v>5174.53</v>
      </c>
      <c r="O288" s="4">
        <v>3388.1</v>
      </c>
      <c r="P288" s="4">
        <v>21709.27</v>
      </c>
      <c r="Q288" s="4">
        <v>31307.37</v>
      </c>
      <c r="R288" s="4">
        <v>0</v>
      </c>
      <c r="S288" s="4">
        <v>44645.81</v>
      </c>
      <c r="T288" s="4">
        <v>151034.82</v>
      </c>
    </row>
    <row r="289" spans="1:20">
      <c r="A289" s="3">
        <f t="shared" si="4"/>
        <v>36339</v>
      </c>
      <c r="B289" s="4">
        <v>4847.08</v>
      </c>
      <c r="C289" s="4">
        <v>930650.98</v>
      </c>
      <c r="D289" s="4">
        <v>74551.42</v>
      </c>
      <c r="E289" s="4">
        <v>78772.210000000006</v>
      </c>
      <c r="F289" s="4">
        <v>2941.69</v>
      </c>
      <c r="G289" s="4">
        <v>3670.83</v>
      </c>
      <c r="H289" s="4">
        <v>4021.67</v>
      </c>
      <c r="I289" s="4">
        <v>3067.96</v>
      </c>
      <c r="J289" s="4">
        <v>35751.03</v>
      </c>
      <c r="K289" s="4">
        <v>185066.54</v>
      </c>
      <c r="L289" s="4">
        <v>20477.12</v>
      </c>
      <c r="M289" s="4">
        <v>3969.29</v>
      </c>
      <c r="N289" s="4">
        <v>4796.5200000000004</v>
      </c>
      <c r="O289" s="4">
        <v>3624.73</v>
      </c>
      <c r="P289" s="4">
        <v>21783.99</v>
      </c>
      <c r="Q289" s="4">
        <v>32387.54</v>
      </c>
      <c r="R289" s="4">
        <v>0</v>
      </c>
      <c r="S289" s="4">
        <v>44761.94</v>
      </c>
      <c r="T289" s="4">
        <v>157565.07</v>
      </c>
    </row>
    <row r="290" spans="1:20">
      <c r="A290" s="3">
        <f t="shared" si="4"/>
        <v>36308</v>
      </c>
      <c r="B290" s="4">
        <v>4998.6400000000003</v>
      </c>
      <c r="C290" s="4">
        <v>896953.22</v>
      </c>
      <c r="D290" s="4">
        <v>74262.679999999993</v>
      </c>
      <c r="E290" s="4">
        <v>68277.23</v>
      </c>
      <c r="F290" s="4">
        <v>2348.33</v>
      </c>
      <c r="G290" s="4">
        <v>3853.88</v>
      </c>
      <c r="H290" s="4">
        <v>3767.7</v>
      </c>
      <c r="I290" s="4">
        <v>2983.57</v>
      </c>
      <c r="J290" s="4">
        <v>34588.51</v>
      </c>
      <c r="K290" s="4">
        <v>186684.67</v>
      </c>
      <c r="L290" s="4">
        <v>21240.93</v>
      </c>
      <c r="M290" s="4">
        <v>4417.29</v>
      </c>
      <c r="N290" s="4">
        <v>5312.44</v>
      </c>
      <c r="O290" s="4">
        <v>3521.81</v>
      </c>
      <c r="P290" s="4">
        <v>23076.41</v>
      </c>
      <c r="Q290" s="4">
        <v>31654.97</v>
      </c>
      <c r="R290" s="4">
        <v>0</v>
      </c>
      <c r="S290" s="4">
        <v>44464.92</v>
      </c>
      <c r="T290" s="4">
        <v>158629.21</v>
      </c>
    </row>
    <row r="291" spans="1:20">
      <c r="A291" s="3">
        <f t="shared" si="4"/>
        <v>36278</v>
      </c>
      <c r="B291" s="4">
        <v>4511.8900000000003</v>
      </c>
      <c r="C291" s="4">
        <v>886808.68</v>
      </c>
      <c r="D291" s="4">
        <v>69892.12</v>
      </c>
      <c r="E291" s="4">
        <v>76738.59</v>
      </c>
      <c r="F291" s="4">
        <v>2276.21</v>
      </c>
      <c r="G291" s="4">
        <v>3506.66</v>
      </c>
      <c r="H291" s="4">
        <v>3502.77</v>
      </c>
      <c r="I291" s="4">
        <v>2983.44</v>
      </c>
      <c r="J291" s="4">
        <v>33827.919999999998</v>
      </c>
      <c r="K291" s="4">
        <v>188025.73</v>
      </c>
      <c r="L291" s="4">
        <v>19673.93</v>
      </c>
      <c r="M291" s="4">
        <v>3641.23</v>
      </c>
      <c r="N291" s="4">
        <v>4561.12</v>
      </c>
      <c r="O291" s="4">
        <v>3305.67</v>
      </c>
      <c r="P291" s="4">
        <v>21991.41</v>
      </c>
      <c r="Q291" s="4">
        <v>32246.54</v>
      </c>
      <c r="R291" s="4">
        <v>0</v>
      </c>
      <c r="S291" s="4">
        <v>44391.47</v>
      </c>
      <c r="T291" s="4">
        <v>158621.22</v>
      </c>
    </row>
    <row r="292" spans="1:20">
      <c r="A292" s="3">
        <f t="shared" si="4"/>
        <v>36247</v>
      </c>
      <c r="B292" s="4">
        <v>4459.8500000000004</v>
      </c>
      <c r="C292" s="4">
        <v>876513.66</v>
      </c>
      <c r="D292" s="4">
        <v>71121.06</v>
      </c>
      <c r="E292" s="4">
        <v>68607.33</v>
      </c>
      <c r="F292" s="4">
        <v>2518.4899999999998</v>
      </c>
      <c r="G292" s="4">
        <v>3558.61</v>
      </c>
      <c r="H292" s="4">
        <v>3229.03</v>
      </c>
      <c r="I292" s="4">
        <v>2951.03</v>
      </c>
      <c r="J292" s="4">
        <v>33823.730000000003</v>
      </c>
      <c r="K292" s="4">
        <v>187370.67</v>
      </c>
      <c r="L292" s="4">
        <v>18411.98</v>
      </c>
      <c r="M292" s="4">
        <v>3757.67</v>
      </c>
      <c r="N292" s="4">
        <v>4534.4799999999996</v>
      </c>
      <c r="O292" s="4">
        <v>3209.29</v>
      </c>
      <c r="P292" s="4">
        <v>20393.73</v>
      </c>
      <c r="Q292" s="4">
        <v>31797.85</v>
      </c>
      <c r="R292" s="4">
        <v>0</v>
      </c>
      <c r="S292" s="4">
        <v>44385.83</v>
      </c>
      <c r="T292" s="4">
        <v>165868.38</v>
      </c>
    </row>
    <row r="293" spans="1:20">
      <c r="A293" s="3">
        <f t="shared" si="4"/>
        <v>36219</v>
      </c>
      <c r="B293" s="4">
        <v>4242.83</v>
      </c>
      <c r="C293" s="4">
        <v>877602.62</v>
      </c>
      <c r="D293" s="4">
        <v>71301.11</v>
      </c>
      <c r="E293" s="4">
        <v>81480.460000000006</v>
      </c>
      <c r="F293" s="4">
        <v>2127.91</v>
      </c>
      <c r="G293" s="4">
        <v>3111.55</v>
      </c>
      <c r="H293" s="4">
        <v>3092.95</v>
      </c>
      <c r="I293" s="4">
        <v>3586.83</v>
      </c>
      <c r="J293" s="4">
        <v>33108.629999999997</v>
      </c>
      <c r="K293" s="4">
        <v>192359.32</v>
      </c>
      <c r="L293" s="4">
        <v>17151.14</v>
      </c>
      <c r="M293" s="4">
        <v>3640.17</v>
      </c>
      <c r="N293" s="4">
        <v>4428.33</v>
      </c>
      <c r="O293" s="4">
        <v>3035.83</v>
      </c>
      <c r="P293" s="4">
        <v>19327.939999999999</v>
      </c>
      <c r="Q293" s="4">
        <v>29961.1</v>
      </c>
      <c r="R293" s="4">
        <v>0</v>
      </c>
      <c r="S293" s="4">
        <v>44605.94</v>
      </c>
      <c r="T293" s="4">
        <v>179210</v>
      </c>
    </row>
    <row r="294" spans="1:20">
      <c r="A294" s="3">
        <f t="shared" si="4"/>
        <v>36188</v>
      </c>
      <c r="B294" s="4">
        <v>4367.03</v>
      </c>
      <c r="C294" s="4">
        <v>882454.32</v>
      </c>
      <c r="D294" s="4">
        <v>72823.7</v>
      </c>
      <c r="E294" s="4">
        <v>90293.6</v>
      </c>
      <c r="F294" s="4">
        <v>1825.84</v>
      </c>
      <c r="G294" s="4">
        <v>2401.16</v>
      </c>
      <c r="H294" s="4">
        <v>1904.68</v>
      </c>
      <c r="I294" s="4">
        <v>3145.65</v>
      </c>
      <c r="J294" s="4">
        <v>33142.050000000003</v>
      </c>
      <c r="K294" s="4">
        <v>187307.49</v>
      </c>
      <c r="L294" s="4">
        <v>16491.86</v>
      </c>
      <c r="M294" s="4">
        <v>3526.14</v>
      </c>
      <c r="N294" s="4">
        <v>4254.76</v>
      </c>
      <c r="O294" s="4">
        <v>3035.14</v>
      </c>
      <c r="P294" s="4">
        <v>17136.52</v>
      </c>
      <c r="Q294" s="4">
        <v>29456.69</v>
      </c>
      <c r="R294" s="4">
        <v>0</v>
      </c>
      <c r="S294" s="4">
        <v>44429.02</v>
      </c>
      <c r="T294" s="4">
        <v>200922.21</v>
      </c>
    </row>
    <row r="295" spans="1:20">
      <c r="A295" s="3">
        <f t="shared" si="4"/>
        <v>36157</v>
      </c>
      <c r="B295" s="4">
        <v>6153.47</v>
      </c>
      <c r="C295" s="4">
        <v>887894.52</v>
      </c>
      <c r="D295" s="4">
        <v>72550.240000000005</v>
      </c>
      <c r="E295" s="4">
        <v>83440.02</v>
      </c>
      <c r="F295" s="4">
        <v>1635.7</v>
      </c>
      <c r="G295" s="4">
        <v>3479.3</v>
      </c>
      <c r="H295" s="4">
        <v>1940.96</v>
      </c>
      <c r="I295" s="4">
        <v>2880.2</v>
      </c>
      <c r="J295" s="4">
        <v>32794.769999999997</v>
      </c>
      <c r="K295" s="4">
        <v>183510.91</v>
      </c>
      <c r="L295" s="4">
        <v>16616.82</v>
      </c>
      <c r="M295" s="4">
        <v>3394.61</v>
      </c>
      <c r="N295" s="4">
        <v>4234.6899999999996</v>
      </c>
      <c r="O295" s="4">
        <v>3018.23</v>
      </c>
      <c r="P295" s="4">
        <v>16827.509999999998</v>
      </c>
      <c r="Q295" s="4">
        <v>28871.22</v>
      </c>
      <c r="R295" s="4">
        <v>0</v>
      </c>
      <c r="S295" s="4">
        <v>44594.92</v>
      </c>
      <c r="T295" s="4">
        <v>136931.64000000001</v>
      </c>
    </row>
    <row r="296" spans="1:20">
      <c r="A296" s="3">
        <f t="shared" si="4"/>
        <v>36127</v>
      </c>
      <c r="B296" s="4">
        <v>5416.51</v>
      </c>
      <c r="C296" s="4">
        <v>876436.37</v>
      </c>
      <c r="D296" s="4">
        <v>74745.72</v>
      </c>
      <c r="E296" s="4">
        <v>89620.72</v>
      </c>
      <c r="F296" s="4">
        <v>1629.07</v>
      </c>
      <c r="G296" s="4">
        <v>3249.28</v>
      </c>
      <c r="H296" s="4">
        <v>1693.32</v>
      </c>
      <c r="I296" s="4">
        <v>3270.42</v>
      </c>
      <c r="J296" s="4">
        <v>31501.94</v>
      </c>
      <c r="K296" s="4">
        <v>189267.97</v>
      </c>
      <c r="L296" s="4">
        <v>15710.58</v>
      </c>
      <c r="M296" s="4">
        <v>3402.16</v>
      </c>
      <c r="N296" s="4">
        <v>4263.26</v>
      </c>
      <c r="O296" s="4">
        <v>2757.01</v>
      </c>
      <c r="P296" s="4">
        <v>17197.68</v>
      </c>
      <c r="Q296" s="4">
        <v>28199.71</v>
      </c>
      <c r="R296" s="4">
        <v>0</v>
      </c>
      <c r="S296" s="4">
        <v>44549.760000000002</v>
      </c>
      <c r="T296" s="4">
        <v>147631.21</v>
      </c>
    </row>
    <row r="297" spans="1:20">
      <c r="A297" s="3">
        <f t="shared" si="4"/>
        <v>36096</v>
      </c>
      <c r="B297" s="4">
        <v>4538</v>
      </c>
      <c r="C297" s="4">
        <v>857553.93</v>
      </c>
      <c r="D297" s="4">
        <v>65505.66</v>
      </c>
      <c r="E297" s="4">
        <v>97052.94</v>
      </c>
      <c r="F297" s="4">
        <v>1539.24</v>
      </c>
      <c r="G297" s="4">
        <v>2914.89</v>
      </c>
      <c r="H297" s="4">
        <v>1751.31</v>
      </c>
      <c r="I297" s="4">
        <v>2927.17</v>
      </c>
      <c r="J297" s="4">
        <v>31156.18</v>
      </c>
      <c r="K297" s="4">
        <v>200845.22</v>
      </c>
      <c r="L297" s="4">
        <v>14432.85</v>
      </c>
      <c r="M297" s="4">
        <v>3334.44</v>
      </c>
      <c r="N297" s="4">
        <v>4105.3100000000004</v>
      </c>
      <c r="O297" s="4">
        <v>2803.24</v>
      </c>
      <c r="P297" s="4">
        <v>16743.509999999998</v>
      </c>
      <c r="Q297" s="4">
        <v>28356.94</v>
      </c>
      <c r="R297" s="4">
        <v>0</v>
      </c>
      <c r="S297" s="4">
        <v>44485.66</v>
      </c>
      <c r="T297" s="4">
        <v>129244.36</v>
      </c>
    </row>
    <row r="298" spans="1:20">
      <c r="A298" s="3">
        <f t="shared" si="4"/>
        <v>36066</v>
      </c>
      <c r="B298" s="4">
        <v>4652.3999999999996</v>
      </c>
      <c r="C298" s="4">
        <v>854522.35</v>
      </c>
      <c r="D298" s="4">
        <v>64655.33</v>
      </c>
      <c r="E298" s="4">
        <v>95419.48</v>
      </c>
      <c r="F298" s="4">
        <v>1550.49</v>
      </c>
      <c r="G298" s="4">
        <v>2379.41</v>
      </c>
      <c r="H298" s="4">
        <v>3435.94</v>
      </c>
      <c r="I298" s="4">
        <v>3038.86</v>
      </c>
      <c r="J298" s="4">
        <v>30276.03</v>
      </c>
      <c r="K298" s="4">
        <v>195396.32</v>
      </c>
      <c r="L298" s="4">
        <v>14687.49</v>
      </c>
      <c r="M298" s="4">
        <v>3741.13</v>
      </c>
      <c r="N298" s="4">
        <v>3786.05</v>
      </c>
      <c r="O298" s="4">
        <v>2729.26</v>
      </c>
      <c r="P298" s="4">
        <v>16692.419999999998</v>
      </c>
      <c r="Q298" s="4">
        <v>25573.75</v>
      </c>
      <c r="R298" s="4">
        <v>0</v>
      </c>
      <c r="S298" s="4">
        <v>44285.26</v>
      </c>
      <c r="T298" s="4">
        <v>140866.34</v>
      </c>
    </row>
    <row r="299" spans="1:20">
      <c r="A299" s="3">
        <f t="shared" si="4"/>
        <v>36035</v>
      </c>
      <c r="B299" s="4">
        <v>4884.49</v>
      </c>
      <c r="C299" s="4">
        <v>855910.19</v>
      </c>
      <c r="D299" s="4">
        <v>59882.37</v>
      </c>
      <c r="E299" s="4">
        <v>99740.45</v>
      </c>
      <c r="F299" s="4">
        <v>1633.22</v>
      </c>
      <c r="G299" s="4">
        <v>2639.09</v>
      </c>
      <c r="H299" s="4">
        <v>3227.85</v>
      </c>
      <c r="I299" s="4">
        <v>3512.23</v>
      </c>
      <c r="J299" s="4">
        <v>29297.59</v>
      </c>
      <c r="K299" s="4">
        <v>190893.76</v>
      </c>
      <c r="L299" s="4">
        <v>15765.51</v>
      </c>
      <c r="M299" s="4">
        <v>3723.8</v>
      </c>
      <c r="N299" s="4">
        <v>3771.83</v>
      </c>
      <c r="O299" s="4">
        <v>2738.14</v>
      </c>
      <c r="P299" s="4">
        <v>17299.2</v>
      </c>
      <c r="Q299" s="4">
        <v>25664.5</v>
      </c>
      <c r="R299" s="4">
        <v>0</v>
      </c>
      <c r="S299" s="4">
        <v>44160.7</v>
      </c>
      <c r="T299" s="4">
        <v>151617.64000000001</v>
      </c>
    </row>
    <row r="300" spans="1:20">
      <c r="A300" s="3">
        <f t="shared" si="4"/>
        <v>36004</v>
      </c>
      <c r="B300" s="4">
        <v>5074.3</v>
      </c>
      <c r="C300" s="4">
        <v>874414.97</v>
      </c>
      <c r="D300" s="4">
        <v>56638.92</v>
      </c>
      <c r="E300" s="4">
        <v>97107.74</v>
      </c>
      <c r="F300" s="4">
        <v>3364.56</v>
      </c>
      <c r="G300" s="4">
        <v>3655.23</v>
      </c>
      <c r="H300" s="4">
        <v>2118.17</v>
      </c>
      <c r="I300" s="4">
        <v>4187.74</v>
      </c>
      <c r="J300" s="4">
        <v>29542.18</v>
      </c>
      <c r="K300" s="4">
        <v>195053.3</v>
      </c>
      <c r="L300" s="4">
        <v>16289.33</v>
      </c>
      <c r="M300" s="4">
        <v>3593.31</v>
      </c>
      <c r="N300" s="4">
        <v>3352.41</v>
      </c>
      <c r="O300" s="4">
        <v>2404.62</v>
      </c>
      <c r="P300" s="4">
        <v>18388.34</v>
      </c>
      <c r="Q300" s="4">
        <v>25277.97</v>
      </c>
      <c r="R300" s="4">
        <v>0</v>
      </c>
      <c r="S300" s="4">
        <v>44047.47</v>
      </c>
      <c r="T300" s="4">
        <v>141418.71</v>
      </c>
    </row>
    <row r="301" spans="1:20">
      <c r="A301" s="3">
        <f t="shared" si="4"/>
        <v>35974</v>
      </c>
      <c r="B301" s="4">
        <v>4549.28</v>
      </c>
      <c r="C301" s="4">
        <v>883323.92</v>
      </c>
      <c r="D301" s="4">
        <v>65354.879999999997</v>
      </c>
      <c r="E301" s="4">
        <v>103406.31</v>
      </c>
      <c r="F301" s="4">
        <v>2176.1999999999998</v>
      </c>
      <c r="G301" s="4">
        <v>3487.6</v>
      </c>
      <c r="H301" s="4">
        <v>3354.39</v>
      </c>
      <c r="I301" s="4">
        <v>4450.83</v>
      </c>
      <c r="J301" s="4">
        <v>30877.64</v>
      </c>
      <c r="K301" s="4">
        <v>190542.43</v>
      </c>
      <c r="L301" s="4">
        <v>15027.26</v>
      </c>
      <c r="M301" s="4">
        <v>3551.25</v>
      </c>
      <c r="N301" s="4">
        <v>3347.37</v>
      </c>
      <c r="O301" s="4">
        <v>2345.9299999999998</v>
      </c>
      <c r="P301" s="4">
        <v>18530.38</v>
      </c>
      <c r="Q301" s="4">
        <v>25171.66</v>
      </c>
      <c r="R301" s="4">
        <v>0</v>
      </c>
      <c r="S301" s="4">
        <v>43786.14</v>
      </c>
      <c r="T301" s="4">
        <v>160376.79</v>
      </c>
    </row>
    <row r="302" spans="1:20">
      <c r="A302" s="3">
        <f t="shared" si="4"/>
        <v>35943</v>
      </c>
      <c r="B302" s="4">
        <v>4230.3</v>
      </c>
      <c r="C302" s="4">
        <v>866541.72</v>
      </c>
      <c r="D302" s="4">
        <v>52134.45</v>
      </c>
      <c r="E302" s="4">
        <v>96582.41</v>
      </c>
      <c r="F302" s="4">
        <v>1899.79</v>
      </c>
      <c r="G302" s="4">
        <v>4437.17</v>
      </c>
      <c r="H302" s="4">
        <v>1897.02</v>
      </c>
      <c r="I302" s="4">
        <v>3726.75</v>
      </c>
      <c r="J302" s="4">
        <v>30111.74</v>
      </c>
      <c r="K302" s="4">
        <v>184260.98</v>
      </c>
      <c r="L302" s="4">
        <v>12367.64</v>
      </c>
      <c r="M302" s="4">
        <v>3324.42</v>
      </c>
      <c r="N302" s="4">
        <v>2955.43</v>
      </c>
      <c r="O302" s="4">
        <v>2418.0500000000002</v>
      </c>
      <c r="P302" s="4">
        <v>17175.29</v>
      </c>
      <c r="Q302" s="4">
        <v>24263.66</v>
      </c>
      <c r="R302" s="4">
        <v>0</v>
      </c>
      <c r="S302" s="4">
        <v>43608.07</v>
      </c>
      <c r="T302" s="4">
        <v>273921.28999999998</v>
      </c>
    </row>
    <row r="303" spans="1:20">
      <c r="A303" s="3">
        <f t="shared" si="4"/>
        <v>35913</v>
      </c>
      <c r="B303" s="4">
        <v>4287.1099999999997</v>
      </c>
      <c r="C303" s="4">
        <v>867989.45</v>
      </c>
      <c r="D303" s="4">
        <v>51171.58</v>
      </c>
      <c r="E303" s="4">
        <v>95466.54</v>
      </c>
      <c r="F303" s="4">
        <v>2061.1799999999998</v>
      </c>
      <c r="G303" s="4">
        <v>4537.21</v>
      </c>
      <c r="H303" s="4">
        <v>1853.1</v>
      </c>
      <c r="I303" s="4">
        <v>2864.27</v>
      </c>
      <c r="J303" s="4">
        <v>29746.67</v>
      </c>
      <c r="K303" s="4">
        <v>185270.65</v>
      </c>
      <c r="L303" s="4">
        <v>11525.21</v>
      </c>
      <c r="M303" s="4">
        <v>3222.01</v>
      </c>
      <c r="N303" s="4">
        <v>2993.81</v>
      </c>
      <c r="O303" s="4">
        <v>2441.96</v>
      </c>
      <c r="P303" s="4">
        <v>16344.31</v>
      </c>
      <c r="Q303" s="4">
        <v>24138.16</v>
      </c>
      <c r="R303" s="4">
        <v>0</v>
      </c>
      <c r="S303" s="4">
        <v>43394.77</v>
      </c>
      <c r="T303" s="4">
        <v>264151.31</v>
      </c>
    </row>
    <row r="304" spans="1:20">
      <c r="A304" s="3">
        <f t="shared" si="4"/>
        <v>35882</v>
      </c>
      <c r="B304" s="4">
        <v>4302.6000000000004</v>
      </c>
      <c r="C304" s="4">
        <v>866533.53</v>
      </c>
      <c r="D304" s="4">
        <v>54805.8</v>
      </c>
      <c r="E304" s="4">
        <v>100366.78</v>
      </c>
      <c r="F304" s="4">
        <v>1744.3</v>
      </c>
      <c r="G304" s="4">
        <v>3131.74</v>
      </c>
      <c r="H304" s="4">
        <v>1582.48</v>
      </c>
      <c r="I304" s="4">
        <v>2739.29</v>
      </c>
      <c r="J304" s="4">
        <v>28592.93</v>
      </c>
      <c r="K304" s="4">
        <v>185391.5</v>
      </c>
      <c r="L304" s="4">
        <v>15186.19</v>
      </c>
      <c r="M304" s="4">
        <v>3179.1</v>
      </c>
      <c r="N304" s="4">
        <v>2995.91</v>
      </c>
      <c r="O304" s="4">
        <v>2451.54</v>
      </c>
      <c r="P304" s="4">
        <v>15743.16</v>
      </c>
      <c r="Q304" s="4">
        <v>24350.43</v>
      </c>
      <c r="R304" s="4">
        <v>0</v>
      </c>
      <c r="S304" s="4">
        <v>43344.68</v>
      </c>
      <c r="T304" s="4">
        <v>262414.33</v>
      </c>
    </row>
    <row r="305" spans="1:20">
      <c r="A305" s="3">
        <f t="shared" si="4"/>
        <v>35854</v>
      </c>
      <c r="B305" s="4">
        <v>3861.03</v>
      </c>
      <c r="C305" s="4">
        <v>862804.38</v>
      </c>
      <c r="D305" s="4">
        <v>52040.69</v>
      </c>
      <c r="E305" s="4">
        <v>98529.91</v>
      </c>
      <c r="F305" s="4">
        <v>1454.38</v>
      </c>
      <c r="G305" s="4">
        <v>3275.8</v>
      </c>
      <c r="H305" s="4">
        <v>1849.07</v>
      </c>
      <c r="I305" s="4">
        <v>2508.9499999999998</v>
      </c>
      <c r="J305" s="4">
        <v>27008.959999999999</v>
      </c>
      <c r="K305" s="4">
        <v>178463.75</v>
      </c>
      <c r="L305" s="4">
        <v>7280.29</v>
      </c>
      <c r="M305" s="4">
        <v>3341.66</v>
      </c>
      <c r="N305" s="4">
        <v>2806.4</v>
      </c>
      <c r="O305" s="4">
        <v>2482.59</v>
      </c>
      <c r="P305" s="4">
        <v>14080.68</v>
      </c>
      <c r="Q305" s="4">
        <v>23480.71</v>
      </c>
      <c r="R305" s="4">
        <v>0</v>
      </c>
      <c r="S305" s="4">
        <v>43353.97</v>
      </c>
      <c r="T305" s="4">
        <v>258407.03</v>
      </c>
    </row>
    <row r="306" spans="1:20">
      <c r="A306" s="3">
        <f t="shared" si="4"/>
        <v>35823</v>
      </c>
      <c r="B306" s="4">
        <v>4122.3599999999997</v>
      </c>
      <c r="C306" s="4">
        <v>857001.08</v>
      </c>
      <c r="D306" s="4">
        <v>51289.41</v>
      </c>
      <c r="E306" s="4">
        <v>97901.39</v>
      </c>
      <c r="F306" s="4">
        <v>1300.83</v>
      </c>
      <c r="G306" s="4">
        <v>1983.27</v>
      </c>
      <c r="H306" s="4">
        <v>1365.6</v>
      </c>
      <c r="I306" s="4">
        <v>2297.7199999999998</v>
      </c>
      <c r="J306" s="4">
        <v>25780.54</v>
      </c>
      <c r="K306" s="4">
        <v>182413.61</v>
      </c>
      <c r="L306" s="4">
        <v>10034.11</v>
      </c>
      <c r="M306" s="4">
        <v>3648.65</v>
      </c>
      <c r="N306" s="4">
        <v>2355.4899999999998</v>
      </c>
      <c r="O306" s="4">
        <v>2437.0700000000002</v>
      </c>
      <c r="P306" s="4">
        <v>14251.11</v>
      </c>
      <c r="Q306" s="4">
        <v>23861.34</v>
      </c>
      <c r="R306" s="4">
        <v>0</v>
      </c>
      <c r="S306" s="4">
        <v>43427.83</v>
      </c>
      <c r="T306" s="4">
        <v>264046.19</v>
      </c>
    </row>
    <row r="307" spans="1:20">
      <c r="A307" s="3">
        <f t="shared" si="4"/>
        <v>35792</v>
      </c>
      <c r="B307" s="4">
        <v>5601.49</v>
      </c>
      <c r="C307" s="4">
        <v>866926.88</v>
      </c>
      <c r="D307" s="4">
        <v>52443.82</v>
      </c>
      <c r="E307" s="4">
        <v>104434.61</v>
      </c>
      <c r="F307" s="4">
        <v>1013.4</v>
      </c>
      <c r="G307" s="4">
        <v>1277.3800000000001</v>
      </c>
      <c r="H307" s="4">
        <v>976.51</v>
      </c>
      <c r="I307" s="4">
        <v>2302.88</v>
      </c>
      <c r="J307" s="4">
        <v>25650.11</v>
      </c>
      <c r="K307" s="4">
        <v>178278.34</v>
      </c>
      <c r="L307" s="4">
        <v>10263.870000000001</v>
      </c>
      <c r="M307" s="4">
        <v>3286.28</v>
      </c>
      <c r="N307" s="4">
        <v>2440.66</v>
      </c>
      <c r="O307" s="4">
        <v>2472.88</v>
      </c>
      <c r="P307" s="4">
        <v>13607.09</v>
      </c>
      <c r="Q307" s="4">
        <v>17779.03</v>
      </c>
      <c r="R307" s="4">
        <v>0</v>
      </c>
      <c r="S307" s="4">
        <v>43784.18</v>
      </c>
      <c r="T307" s="4">
        <v>270392.03000000003</v>
      </c>
    </row>
    <row r="308" spans="1:20">
      <c r="A308" s="3">
        <f t="shared" si="4"/>
        <v>35762</v>
      </c>
      <c r="B308" s="4">
        <v>4553.08</v>
      </c>
      <c r="C308" s="4">
        <v>827412.6</v>
      </c>
      <c r="D308" s="4">
        <v>51343.63</v>
      </c>
      <c r="E308" s="4">
        <v>101655.86</v>
      </c>
      <c r="F308" s="4">
        <v>1030.6600000000001</v>
      </c>
      <c r="G308" s="4">
        <v>1269.98</v>
      </c>
      <c r="H308" s="4">
        <v>1047.29</v>
      </c>
      <c r="I308" s="4">
        <v>1645.43</v>
      </c>
      <c r="J308" s="4">
        <v>25210.75</v>
      </c>
      <c r="K308" s="4">
        <v>183376.29</v>
      </c>
      <c r="L308" s="4">
        <v>8895.27</v>
      </c>
      <c r="M308" s="4">
        <v>2988.66</v>
      </c>
      <c r="N308" s="4">
        <v>2463.84</v>
      </c>
      <c r="O308" s="4">
        <v>2398.79</v>
      </c>
      <c r="P308" s="4">
        <v>13467.13</v>
      </c>
      <c r="Q308" s="4">
        <v>17332.810000000001</v>
      </c>
      <c r="R308" s="4">
        <v>0</v>
      </c>
      <c r="S308" s="4">
        <v>44137.96</v>
      </c>
      <c r="T308" s="4">
        <v>267068.3</v>
      </c>
    </row>
    <row r="309" spans="1:20">
      <c r="A309" s="3">
        <f t="shared" si="4"/>
        <v>35731</v>
      </c>
      <c r="B309" s="4">
        <v>4051.6</v>
      </c>
      <c r="C309" s="4">
        <v>820968.99</v>
      </c>
      <c r="D309" s="4">
        <v>52099.27</v>
      </c>
      <c r="E309" s="4">
        <v>103337.56</v>
      </c>
      <c r="F309" s="4">
        <v>976.73</v>
      </c>
      <c r="G309" s="4">
        <v>1327.33</v>
      </c>
      <c r="H309" s="4">
        <v>1030.8499999999999</v>
      </c>
      <c r="I309" s="4">
        <v>1662.99</v>
      </c>
      <c r="J309" s="4">
        <v>24856.43</v>
      </c>
      <c r="K309" s="4">
        <v>183112.89</v>
      </c>
      <c r="L309" s="4">
        <v>8761.8700000000008</v>
      </c>
      <c r="M309" s="4">
        <v>2994.28</v>
      </c>
      <c r="N309" s="4">
        <v>2401.17</v>
      </c>
      <c r="O309" s="4">
        <v>2498.3200000000002</v>
      </c>
      <c r="P309" s="4">
        <v>13662.87</v>
      </c>
      <c r="Q309" s="4">
        <v>17439.72</v>
      </c>
      <c r="R309" s="4">
        <v>0</v>
      </c>
      <c r="S309" s="4">
        <v>43901.42</v>
      </c>
      <c r="T309" s="4">
        <v>245221.85</v>
      </c>
    </row>
    <row r="310" spans="1:20">
      <c r="A310" s="3">
        <f t="shared" si="4"/>
        <v>35701</v>
      </c>
      <c r="B310" s="4">
        <v>4205.51</v>
      </c>
      <c r="C310" s="4">
        <v>817760.22</v>
      </c>
      <c r="D310" s="4">
        <v>52694.42</v>
      </c>
      <c r="E310" s="4">
        <v>106343.32</v>
      </c>
      <c r="F310" s="4">
        <v>1083.8399999999999</v>
      </c>
      <c r="G310" s="4">
        <v>1092.3399999999999</v>
      </c>
      <c r="H310" s="4">
        <v>975.73</v>
      </c>
      <c r="I310" s="4">
        <v>1643.37</v>
      </c>
      <c r="J310" s="4">
        <v>24050.14</v>
      </c>
      <c r="K310" s="4">
        <v>182130.07</v>
      </c>
      <c r="L310" s="4">
        <v>8296.3799999999992</v>
      </c>
      <c r="M310" s="4">
        <v>2934.83</v>
      </c>
      <c r="N310" s="4">
        <v>2415.21</v>
      </c>
      <c r="O310" s="4">
        <v>2503.87</v>
      </c>
      <c r="P310" s="4">
        <v>13615.87</v>
      </c>
      <c r="Q310" s="4">
        <v>16706.86</v>
      </c>
      <c r="R310" s="4">
        <v>0</v>
      </c>
      <c r="S310" s="4">
        <v>43859.59</v>
      </c>
      <c r="T310" s="4">
        <v>243326.03</v>
      </c>
    </row>
    <row r="311" spans="1:20">
      <c r="A311" s="3">
        <f t="shared" si="4"/>
        <v>35670</v>
      </c>
      <c r="B311" s="4">
        <v>3983.43</v>
      </c>
      <c r="C311" s="4">
        <v>812953.41</v>
      </c>
      <c r="D311" s="4">
        <v>48423.92</v>
      </c>
      <c r="E311" s="4">
        <v>99610.880000000005</v>
      </c>
      <c r="F311" s="4">
        <v>1008.76</v>
      </c>
      <c r="G311" s="4">
        <v>1094.29</v>
      </c>
      <c r="H311" s="4">
        <v>1016.81</v>
      </c>
      <c r="I311" s="4">
        <v>1653.69</v>
      </c>
      <c r="J311" s="4">
        <v>24384.240000000002</v>
      </c>
      <c r="K311" s="4">
        <v>181710.71</v>
      </c>
      <c r="L311" s="4">
        <v>8636.9599999999991</v>
      </c>
      <c r="M311" s="4">
        <v>2801.52</v>
      </c>
      <c r="N311" s="4">
        <v>2413.94</v>
      </c>
      <c r="O311" s="4">
        <v>2525.63</v>
      </c>
      <c r="P311" s="4">
        <v>13611.74</v>
      </c>
      <c r="Q311" s="4">
        <v>16676.39</v>
      </c>
      <c r="R311" s="4">
        <v>0</v>
      </c>
      <c r="S311" s="4">
        <v>43690.7</v>
      </c>
      <c r="T311" s="4">
        <v>232644.2</v>
      </c>
    </row>
    <row r="312" spans="1:20">
      <c r="A312" s="3">
        <f t="shared" si="4"/>
        <v>35639</v>
      </c>
      <c r="B312" s="4">
        <v>4507.12</v>
      </c>
      <c r="C312" s="4">
        <v>825259.4</v>
      </c>
      <c r="D312" s="4">
        <v>53011.79</v>
      </c>
      <c r="E312" s="4">
        <v>110817.46</v>
      </c>
      <c r="F312" s="4">
        <v>1086.54</v>
      </c>
      <c r="G312" s="4">
        <v>1098.44</v>
      </c>
      <c r="H312" s="4">
        <v>843.53</v>
      </c>
      <c r="I312" s="4">
        <v>1679</v>
      </c>
      <c r="J312" s="4">
        <v>23897.47</v>
      </c>
      <c r="K312" s="4">
        <v>185602.73</v>
      </c>
      <c r="L312" s="4">
        <v>8113.19</v>
      </c>
      <c r="M312" s="4">
        <v>2796.68</v>
      </c>
      <c r="N312" s="4">
        <v>2410.11</v>
      </c>
      <c r="O312" s="4">
        <v>2575.79</v>
      </c>
      <c r="P312" s="4">
        <v>13627.23</v>
      </c>
      <c r="Q312" s="4">
        <v>16507</v>
      </c>
      <c r="R312" s="4">
        <v>0</v>
      </c>
      <c r="S312" s="4">
        <v>44244.86</v>
      </c>
      <c r="T312" s="4">
        <v>243807.73</v>
      </c>
    </row>
    <row r="313" spans="1:20">
      <c r="A313" s="3">
        <f t="shared" si="4"/>
        <v>35609</v>
      </c>
      <c r="B313" s="4">
        <v>4195.7</v>
      </c>
      <c r="C313" s="4">
        <v>822108.14</v>
      </c>
      <c r="D313" s="4">
        <v>50972.23</v>
      </c>
      <c r="E313" s="4">
        <v>110461.35</v>
      </c>
      <c r="F313" s="4">
        <v>944.05</v>
      </c>
      <c r="G313" s="4">
        <v>1535.9</v>
      </c>
      <c r="H313" s="4">
        <v>791.56</v>
      </c>
      <c r="I313" s="4">
        <v>2848.26</v>
      </c>
      <c r="J313" s="4">
        <v>24034.78</v>
      </c>
      <c r="K313" s="4">
        <v>183893.26</v>
      </c>
      <c r="L313" s="4">
        <v>8505.7800000000007</v>
      </c>
      <c r="M313" s="4">
        <v>2769.27</v>
      </c>
      <c r="N313" s="4">
        <v>2196.5700000000002</v>
      </c>
      <c r="O313" s="4">
        <v>2509.48</v>
      </c>
      <c r="P313" s="4">
        <v>13400.51</v>
      </c>
      <c r="Q313" s="4">
        <v>16621.650000000001</v>
      </c>
      <c r="R313" s="4">
        <v>0</v>
      </c>
      <c r="S313" s="4">
        <v>44031.57</v>
      </c>
      <c r="T313" s="4">
        <v>253330.17</v>
      </c>
    </row>
    <row r="314" spans="1:20">
      <c r="A314" s="3">
        <f t="shared" si="4"/>
        <v>35578</v>
      </c>
      <c r="B314" s="4">
        <v>3974.65</v>
      </c>
      <c r="C314" s="4">
        <v>807929.12</v>
      </c>
      <c r="D314" s="4">
        <v>46843.32</v>
      </c>
      <c r="E314" s="4">
        <v>100761.1</v>
      </c>
      <c r="F314" s="4">
        <v>809.53</v>
      </c>
      <c r="G314" s="4">
        <v>1510.42</v>
      </c>
      <c r="H314" s="4">
        <v>900.28</v>
      </c>
      <c r="I314" s="4">
        <v>1692.43</v>
      </c>
      <c r="J314" s="4">
        <v>25364.86</v>
      </c>
      <c r="K314" s="4">
        <v>193499.36</v>
      </c>
      <c r="L314" s="4">
        <v>8446.2999999999993</v>
      </c>
      <c r="M314" s="4">
        <v>2543.9899999999998</v>
      </c>
      <c r="N314" s="4">
        <v>2170.65</v>
      </c>
      <c r="O314" s="4">
        <v>2547.62</v>
      </c>
      <c r="P314" s="4">
        <v>13710.9</v>
      </c>
      <c r="Q314" s="4">
        <v>16351.54</v>
      </c>
      <c r="R314" s="4">
        <v>0</v>
      </c>
      <c r="S314" s="4">
        <v>43889.54</v>
      </c>
      <c r="T314" s="4">
        <v>233304.72</v>
      </c>
    </row>
    <row r="315" spans="1:20">
      <c r="A315" s="3">
        <f t="shared" si="4"/>
        <v>35548</v>
      </c>
      <c r="B315" s="4">
        <v>3963.29</v>
      </c>
      <c r="C315" s="4">
        <v>798920.24</v>
      </c>
      <c r="D315" s="4">
        <v>44548.62</v>
      </c>
      <c r="E315" s="4">
        <v>97205.37</v>
      </c>
      <c r="F315" s="4">
        <v>908.28</v>
      </c>
      <c r="G315" s="4">
        <v>1397.16</v>
      </c>
      <c r="H315" s="4">
        <v>860.02</v>
      </c>
      <c r="I315" s="4">
        <v>1629.42</v>
      </c>
      <c r="J315" s="4">
        <v>25369.78</v>
      </c>
      <c r="K315" s="4">
        <v>193141.97</v>
      </c>
      <c r="L315" s="4">
        <v>8211.74</v>
      </c>
      <c r="M315" s="4">
        <v>2323.0700000000002</v>
      </c>
      <c r="N315" s="4">
        <v>2109.39</v>
      </c>
      <c r="O315" s="4">
        <v>2513.17</v>
      </c>
      <c r="P315" s="4">
        <v>13566.29</v>
      </c>
      <c r="Q315" s="4">
        <v>15983.31</v>
      </c>
      <c r="R315" s="4">
        <v>0</v>
      </c>
      <c r="S315" s="4">
        <v>43635.96</v>
      </c>
      <c r="T315" s="4">
        <v>230393.97</v>
      </c>
    </row>
    <row r="316" spans="1:20">
      <c r="A316" s="3">
        <f t="shared" si="4"/>
        <v>35517</v>
      </c>
      <c r="B316" s="4">
        <v>4087.24</v>
      </c>
      <c r="C316" s="4">
        <v>798820.87</v>
      </c>
      <c r="D316" s="4">
        <v>44727.99</v>
      </c>
      <c r="E316" s="4">
        <v>96535.37</v>
      </c>
      <c r="F316" s="4">
        <v>888.94</v>
      </c>
      <c r="G316" s="4">
        <v>1578.55</v>
      </c>
      <c r="H316" s="4">
        <v>816.2</v>
      </c>
      <c r="I316" s="4">
        <v>1633.55</v>
      </c>
      <c r="J316" s="4">
        <v>26315.65</v>
      </c>
      <c r="K316" s="4">
        <v>196837.73</v>
      </c>
      <c r="L316" s="4">
        <v>9034.33</v>
      </c>
      <c r="M316" s="4">
        <v>2192.4899999999998</v>
      </c>
      <c r="N316" s="4">
        <v>1996.04</v>
      </c>
      <c r="O316" s="4">
        <v>2478.98</v>
      </c>
      <c r="P316" s="4">
        <v>13351.96</v>
      </c>
      <c r="Q316" s="4">
        <v>15915.14</v>
      </c>
      <c r="R316" s="4">
        <v>0</v>
      </c>
      <c r="S316" s="4">
        <v>43593.61</v>
      </c>
      <c r="T316" s="4">
        <v>233927.72</v>
      </c>
    </row>
    <row r="317" spans="1:20">
      <c r="A317" s="3">
        <f t="shared" si="4"/>
        <v>35489</v>
      </c>
      <c r="B317" s="4">
        <v>3559.94</v>
      </c>
      <c r="C317" s="4">
        <v>806104.86</v>
      </c>
      <c r="D317" s="4">
        <v>45044.480000000003</v>
      </c>
      <c r="E317" s="4">
        <v>98051.78</v>
      </c>
      <c r="F317" s="4">
        <v>813.85</v>
      </c>
      <c r="G317" s="4">
        <v>1476.38</v>
      </c>
      <c r="H317" s="4">
        <v>738.18</v>
      </c>
      <c r="I317" s="4">
        <v>1493.59</v>
      </c>
      <c r="J317" s="4">
        <v>26243.17</v>
      </c>
      <c r="K317" s="4">
        <v>195500.63</v>
      </c>
      <c r="L317" s="4">
        <v>7356.67</v>
      </c>
      <c r="M317" s="4">
        <v>2204.58</v>
      </c>
      <c r="N317" s="4">
        <v>2470.31</v>
      </c>
      <c r="O317" s="4">
        <v>2515.2800000000002</v>
      </c>
      <c r="P317" s="4">
        <v>13221.81</v>
      </c>
      <c r="Q317" s="4">
        <v>16245.67</v>
      </c>
      <c r="R317" s="4">
        <v>0</v>
      </c>
      <c r="S317" s="4">
        <v>43670.05</v>
      </c>
      <c r="T317" s="4">
        <v>238612.41</v>
      </c>
    </row>
    <row r="318" spans="1:20">
      <c r="A318" s="3">
        <f t="shared" si="4"/>
        <v>35458</v>
      </c>
      <c r="B318" s="4">
        <v>3678.21</v>
      </c>
      <c r="C318" s="4">
        <v>804965.42</v>
      </c>
      <c r="D318" s="4">
        <v>44755.01</v>
      </c>
      <c r="E318" s="4">
        <v>94867.05</v>
      </c>
      <c r="F318" s="4">
        <v>1026.1600000000001</v>
      </c>
      <c r="G318" s="4">
        <v>1546.1</v>
      </c>
      <c r="H318" s="4">
        <v>648.51</v>
      </c>
      <c r="I318" s="4">
        <v>1405.28</v>
      </c>
      <c r="J318" s="4">
        <v>25921.51</v>
      </c>
      <c r="K318" s="4">
        <v>192873.41</v>
      </c>
      <c r="L318" s="4">
        <v>6661.95</v>
      </c>
      <c r="M318" s="4">
        <v>2004.82</v>
      </c>
      <c r="N318" s="4">
        <v>2471.27</v>
      </c>
      <c r="O318" s="4">
        <v>2427</v>
      </c>
      <c r="P318" s="4">
        <v>13275.01</v>
      </c>
      <c r="Q318" s="4">
        <v>16253.42</v>
      </c>
      <c r="R318" s="4">
        <v>0</v>
      </c>
      <c r="S318" s="4">
        <v>43746.48</v>
      </c>
      <c r="T318" s="4">
        <v>233251.72</v>
      </c>
    </row>
    <row r="319" spans="1:20">
      <c r="A319" s="3">
        <f t="shared" si="4"/>
        <v>35427</v>
      </c>
      <c r="B319" s="4">
        <v>5160.4399999999996</v>
      </c>
      <c r="C319" s="4">
        <v>815375.07</v>
      </c>
      <c r="D319" s="4">
        <v>48321.64</v>
      </c>
      <c r="E319" s="4">
        <v>102954.27</v>
      </c>
      <c r="F319" s="4">
        <v>865.89</v>
      </c>
      <c r="G319" s="4">
        <v>1390.46</v>
      </c>
      <c r="H319" s="4">
        <v>897.17</v>
      </c>
      <c r="I319" s="4">
        <v>1503.41</v>
      </c>
      <c r="J319" s="4">
        <v>26799.98</v>
      </c>
      <c r="K319" s="4">
        <v>193568.56</v>
      </c>
      <c r="L319" s="4">
        <v>6281.63</v>
      </c>
      <c r="M319" s="4">
        <v>1939.9</v>
      </c>
      <c r="N319" s="4">
        <v>2737.48</v>
      </c>
      <c r="O319" s="4">
        <v>2648.73</v>
      </c>
      <c r="P319" s="4">
        <v>13359.71</v>
      </c>
      <c r="Q319" s="4">
        <v>16293.18</v>
      </c>
      <c r="R319" s="4">
        <v>0</v>
      </c>
      <c r="S319" s="4">
        <v>43810.01</v>
      </c>
      <c r="T319" s="4">
        <v>237456.84</v>
      </c>
    </row>
    <row r="320" spans="1:20">
      <c r="A320" s="3">
        <f t="shared" si="4"/>
        <v>35397</v>
      </c>
      <c r="B320" s="4">
        <v>3928.69</v>
      </c>
      <c r="C320" s="4">
        <v>789858.58</v>
      </c>
      <c r="D320" s="4">
        <v>46452.81</v>
      </c>
      <c r="E320" s="4">
        <v>94292.2</v>
      </c>
      <c r="F320" s="4">
        <v>860.27</v>
      </c>
      <c r="G320" s="4">
        <v>1473.04</v>
      </c>
      <c r="H320" s="4">
        <v>785.08</v>
      </c>
      <c r="I320" s="4">
        <v>1190.95</v>
      </c>
      <c r="J320" s="4">
        <v>25217.56</v>
      </c>
      <c r="K320" s="4">
        <v>191603.44</v>
      </c>
      <c r="L320" s="4">
        <v>5798.08</v>
      </c>
      <c r="M320" s="4">
        <v>1956.43</v>
      </c>
      <c r="N320" s="4">
        <v>2477.52</v>
      </c>
      <c r="O320" s="4">
        <v>2638.3</v>
      </c>
      <c r="P320" s="4">
        <v>13373.13</v>
      </c>
      <c r="Q320" s="4">
        <v>16072.14</v>
      </c>
      <c r="R320" s="4">
        <v>0</v>
      </c>
      <c r="S320" s="4">
        <v>43720.14</v>
      </c>
      <c r="T320" s="4">
        <v>229392.09</v>
      </c>
    </row>
    <row r="321" spans="1:20">
      <c r="A321" s="3">
        <f t="shared" si="4"/>
        <v>35366</v>
      </c>
      <c r="B321" s="4">
        <v>3758.77</v>
      </c>
      <c r="C321" s="4">
        <v>783631.42</v>
      </c>
      <c r="D321" s="4">
        <v>43642.19</v>
      </c>
      <c r="E321" s="4">
        <v>87539.75</v>
      </c>
      <c r="F321" s="4">
        <v>694.69</v>
      </c>
      <c r="G321" s="4">
        <v>1434.26</v>
      </c>
      <c r="H321" s="4">
        <v>780.14</v>
      </c>
      <c r="I321" s="4">
        <v>1195.08</v>
      </c>
      <c r="J321" s="4">
        <v>24666.5</v>
      </c>
      <c r="K321" s="4">
        <v>187531.18</v>
      </c>
      <c r="L321" s="4">
        <v>6505.03</v>
      </c>
      <c r="M321" s="4">
        <v>2199.9</v>
      </c>
      <c r="N321" s="4">
        <v>2458.12</v>
      </c>
      <c r="O321" s="4">
        <v>2378.0300000000002</v>
      </c>
      <c r="P321" s="4">
        <v>13279.14</v>
      </c>
      <c r="Q321" s="4">
        <v>16066.46</v>
      </c>
      <c r="R321" s="4">
        <v>0</v>
      </c>
      <c r="S321" s="4">
        <v>43596.71</v>
      </c>
      <c r="T321" s="4">
        <v>218675.69</v>
      </c>
    </row>
    <row r="322" spans="1:20">
      <c r="A322" s="3">
        <f t="shared" si="4"/>
        <v>35336</v>
      </c>
      <c r="B322" s="4">
        <v>4027.33</v>
      </c>
      <c r="C322" s="4">
        <v>783587.87</v>
      </c>
      <c r="D322" s="4">
        <v>43357.21</v>
      </c>
      <c r="E322" s="4">
        <v>83396.289999999994</v>
      </c>
      <c r="F322" s="4">
        <v>771.67</v>
      </c>
      <c r="G322" s="4">
        <v>988.53</v>
      </c>
      <c r="H322" s="4">
        <v>611.03</v>
      </c>
      <c r="I322" s="4">
        <v>1240.01</v>
      </c>
      <c r="J322" s="4">
        <v>25335.83</v>
      </c>
      <c r="K322" s="4">
        <v>185471.55</v>
      </c>
      <c r="L322" s="4">
        <v>6019.12</v>
      </c>
      <c r="M322" s="4">
        <v>2195.1999999999998</v>
      </c>
      <c r="N322" s="4">
        <v>2455.16</v>
      </c>
      <c r="O322" s="4">
        <v>2379.98</v>
      </c>
      <c r="P322" s="4">
        <v>13072.56</v>
      </c>
      <c r="Q322" s="4">
        <v>16065.94</v>
      </c>
      <c r="R322" s="4">
        <v>0</v>
      </c>
      <c r="S322" s="4">
        <v>43399.94</v>
      </c>
      <c r="T322" s="4">
        <v>220214.14</v>
      </c>
    </row>
    <row r="323" spans="1:20">
      <c r="A323" s="3">
        <f t="shared" si="4"/>
        <v>35305</v>
      </c>
      <c r="B323" s="4">
        <v>3592.47</v>
      </c>
      <c r="C323" s="4">
        <v>776542.31</v>
      </c>
      <c r="D323" s="4">
        <v>41588.44</v>
      </c>
      <c r="E323" s="4">
        <v>78885.119999999995</v>
      </c>
      <c r="F323" s="4">
        <v>743.43</v>
      </c>
      <c r="G323" s="4">
        <v>1056.7</v>
      </c>
      <c r="H323" s="4">
        <v>774.21</v>
      </c>
      <c r="I323" s="4">
        <v>1266.8699999999999</v>
      </c>
      <c r="J323" s="4">
        <v>24908.2</v>
      </c>
      <c r="K323" s="4">
        <v>186694</v>
      </c>
      <c r="L323" s="4">
        <v>7289.53</v>
      </c>
      <c r="M323" s="4">
        <v>1836.05</v>
      </c>
      <c r="N323" s="4">
        <v>2369.75</v>
      </c>
      <c r="O323" s="4">
        <v>2819.48</v>
      </c>
      <c r="P323" s="4">
        <v>13194.44</v>
      </c>
      <c r="Q323" s="4">
        <v>15793.77</v>
      </c>
      <c r="R323" s="4">
        <v>0</v>
      </c>
      <c r="S323" s="4">
        <v>43301.81</v>
      </c>
      <c r="T323" s="4">
        <v>210361.37</v>
      </c>
    </row>
    <row r="324" spans="1:20">
      <c r="A324" s="3">
        <f t="shared" si="4"/>
        <v>35274</v>
      </c>
      <c r="B324" s="4">
        <v>4258.1899999999996</v>
      </c>
      <c r="C324" s="4">
        <v>784262.35</v>
      </c>
      <c r="D324" s="4">
        <v>42201.08</v>
      </c>
      <c r="E324" s="4">
        <v>78740.56</v>
      </c>
      <c r="F324" s="4">
        <v>797.3</v>
      </c>
      <c r="G324" s="4">
        <v>1130.46</v>
      </c>
      <c r="H324" s="4">
        <v>675.04</v>
      </c>
      <c r="I324" s="4">
        <v>1307.1500000000001</v>
      </c>
      <c r="J324" s="4">
        <v>24869.98</v>
      </c>
      <c r="K324" s="4">
        <v>184089.51</v>
      </c>
      <c r="L324" s="4">
        <v>7499.65</v>
      </c>
      <c r="M324" s="4">
        <v>2261.1799999999998</v>
      </c>
      <c r="N324" s="4">
        <v>2227.7399999999998</v>
      </c>
      <c r="O324" s="4">
        <v>2354.9299999999998</v>
      </c>
      <c r="P324" s="4">
        <v>13084.44</v>
      </c>
      <c r="Q324" s="4">
        <v>15885.18</v>
      </c>
      <c r="R324" s="4">
        <v>0</v>
      </c>
      <c r="S324" s="4">
        <v>43209.37</v>
      </c>
      <c r="T324" s="4">
        <v>224488.82</v>
      </c>
    </row>
    <row r="325" spans="1:20">
      <c r="A325" s="3">
        <f t="shared" si="4"/>
        <v>35244</v>
      </c>
      <c r="B325" s="4">
        <v>3474.72</v>
      </c>
      <c r="C325" s="4">
        <v>784501.09</v>
      </c>
      <c r="D325" s="4">
        <v>42461.57</v>
      </c>
      <c r="E325" s="4">
        <v>78411.039999999994</v>
      </c>
      <c r="F325" s="4">
        <v>714.52</v>
      </c>
      <c r="G325" s="4">
        <v>1072.7</v>
      </c>
      <c r="H325" s="4">
        <v>608.20000000000005</v>
      </c>
      <c r="I325" s="4">
        <v>1294.24</v>
      </c>
      <c r="J325" s="4">
        <v>25931.82</v>
      </c>
      <c r="K325" s="4">
        <v>180783.16</v>
      </c>
      <c r="L325" s="4">
        <v>6081.2</v>
      </c>
      <c r="M325" s="4">
        <v>1833.78</v>
      </c>
      <c r="N325" s="4">
        <v>2166.85</v>
      </c>
      <c r="O325" s="4">
        <v>2766.85</v>
      </c>
      <c r="P325" s="4">
        <v>13193.92</v>
      </c>
      <c r="Q325" s="4">
        <v>15639.35</v>
      </c>
      <c r="R325" s="4">
        <v>0</v>
      </c>
      <c r="S325" s="4">
        <v>43007.95</v>
      </c>
      <c r="T325" s="4">
        <v>232225.07</v>
      </c>
    </row>
    <row r="326" spans="1:20">
      <c r="A326" s="3">
        <f t="shared" ref="A326:A331" si="5">EDATE(A325,-1)</f>
        <v>35213</v>
      </c>
      <c r="B326" s="4">
        <v>3783.56</v>
      </c>
      <c r="C326" s="4">
        <v>775297.03</v>
      </c>
      <c r="D326" s="4">
        <v>42759.040000000001</v>
      </c>
      <c r="E326" s="4">
        <v>76598.11</v>
      </c>
      <c r="F326" s="4">
        <v>740.36</v>
      </c>
      <c r="G326" s="4">
        <v>1120.4100000000001</v>
      </c>
      <c r="H326" s="4">
        <v>624.78</v>
      </c>
      <c r="I326" s="4">
        <v>1623.22</v>
      </c>
      <c r="J326" s="4">
        <v>25573.4</v>
      </c>
      <c r="K326" s="4">
        <v>179882.45</v>
      </c>
      <c r="L326" s="4">
        <v>7328.59</v>
      </c>
      <c r="M326" s="4">
        <v>1733.35</v>
      </c>
      <c r="N326" s="4">
        <v>2191.33</v>
      </c>
      <c r="O326" s="4">
        <v>2506.83</v>
      </c>
      <c r="P326" s="4">
        <v>13233.69</v>
      </c>
      <c r="Q326" s="4">
        <v>15649.68</v>
      </c>
      <c r="R326" s="4">
        <v>0</v>
      </c>
      <c r="S326" s="4">
        <v>42999.68</v>
      </c>
      <c r="T326" s="4">
        <v>219334.56</v>
      </c>
    </row>
    <row r="327" spans="1:20">
      <c r="A327" s="3">
        <f t="shared" si="5"/>
        <v>35183</v>
      </c>
      <c r="B327" s="4">
        <v>3761.36</v>
      </c>
      <c r="C327" s="4">
        <v>770889.7</v>
      </c>
      <c r="D327" s="4">
        <v>43954.720000000001</v>
      </c>
      <c r="E327" s="4">
        <v>77207.789999999994</v>
      </c>
      <c r="F327" s="4">
        <v>731.31</v>
      </c>
      <c r="G327" s="4">
        <v>1119.28</v>
      </c>
      <c r="H327" s="4">
        <v>655.33000000000004</v>
      </c>
      <c r="I327" s="4">
        <v>1733.23</v>
      </c>
      <c r="J327" s="4">
        <v>26086.240000000002</v>
      </c>
      <c r="K327" s="4">
        <v>174861.46</v>
      </c>
      <c r="L327" s="4">
        <v>6812.54</v>
      </c>
      <c r="M327" s="4">
        <v>1735.09</v>
      </c>
      <c r="N327" s="4">
        <v>2154.86</v>
      </c>
      <c r="O327" s="4">
        <v>2466.66</v>
      </c>
      <c r="P327" s="4">
        <v>12901.09</v>
      </c>
      <c r="Q327" s="4">
        <v>15300.04</v>
      </c>
      <c r="R327" s="4">
        <v>0</v>
      </c>
      <c r="S327" s="4">
        <v>42878.32</v>
      </c>
      <c r="T327" s="4">
        <v>224449.17</v>
      </c>
    </row>
    <row r="328" spans="1:20">
      <c r="A328" s="3">
        <f t="shared" si="5"/>
        <v>35152</v>
      </c>
      <c r="B328" s="4">
        <v>3511.91</v>
      </c>
      <c r="C328" s="4">
        <v>770834.83</v>
      </c>
      <c r="D328" s="4">
        <v>41862.36</v>
      </c>
      <c r="E328" s="4">
        <v>70140.100000000006</v>
      </c>
      <c r="F328" s="4">
        <v>820.96</v>
      </c>
      <c r="G328" s="4">
        <v>1099.95</v>
      </c>
      <c r="H328" s="4">
        <v>698.76</v>
      </c>
      <c r="I328" s="4">
        <v>2092.6799999999998</v>
      </c>
      <c r="J328" s="4">
        <v>25874.49</v>
      </c>
      <c r="K328" s="4">
        <v>181470.56</v>
      </c>
      <c r="L328" s="4">
        <v>5856.94</v>
      </c>
      <c r="M328" s="4">
        <v>1864.64</v>
      </c>
      <c r="N328" s="4">
        <v>2216.69</v>
      </c>
      <c r="O328" s="4">
        <v>2193.3200000000002</v>
      </c>
      <c r="P328" s="4">
        <v>13014.2</v>
      </c>
      <c r="Q328" s="4">
        <v>15263.88</v>
      </c>
      <c r="R328" s="4">
        <v>0</v>
      </c>
      <c r="S328" s="4">
        <v>42786.39</v>
      </c>
      <c r="T328" s="4">
        <v>221128.63</v>
      </c>
    </row>
    <row r="329" spans="1:20">
      <c r="A329" s="3">
        <f t="shared" si="5"/>
        <v>35123</v>
      </c>
      <c r="B329" s="4">
        <v>3468.52</v>
      </c>
      <c r="C329" s="4">
        <v>769441.24</v>
      </c>
      <c r="D329" s="4">
        <v>43536.12</v>
      </c>
      <c r="E329" s="4">
        <v>73763.289999999994</v>
      </c>
      <c r="F329" s="4">
        <v>749.56</v>
      </c>
      <c r="G329" s="4">
        <v>856.56</v>
      </c>
      <c r="H329" s="4">
        <v>733.93</v>
      </c>
      <c r="I329" s="4">
        <v>1827.74</v>
      </c>
      <c r="J329" s="4">
        <v>25904.959999999999</v>
      </c>
      <c r="K329" s="4">
        <v>180154.63</v>
      </c>
      <c r="L329" s="4">
        <v>7627.46</v>
      </c>
      <c r="M329" s="4">
        <v>1762.05</v>
      </c>
      <c r="N329" s="4">
        <v>2188.8000000000002</v>
      </c>
      <c r="O329" s="4">
        <v>2136.98</v>
      </c>
      <c r="P329" s="4">
        <v>12922.96</v>
      </c>
      <c r="Q329" s="4">
        <v>15198.29</v>
      </c>
      <c r="R329" s="4">
        <v>0</v>
      </c>
      <c r="S329" s="4">
        <v>42688.78</v>
      </c>
      <c r="T329" s="4">
        <v>218468.83</v>
      </c>
    </row>
    <row r="330" spans="1:20">
      <c r="A330" s="3">
        <f t="shared" si="5"/>
        <v>35092</v>
      </c>
      <c r="B330" s="4">
        <v>3533.08</v>
      </c>
      <c r="C330" s="4">
        <v>766763.36</v>
      </c>
      <c r="D330" s="4">
        <v>41569.14</v>
      </c>
      <c r="E330" s="4">
        <v>72388.45</v>
      </c>
      <c r="F330" s="4">
        <v>743.55</v>
      </c>
      <c r="G330" s="4">
        <v>840.38</v>
      </c>
      <c r="H330" s="4">
        <v>640.15</v>
      </c>
      <c r="I330" s="4">
        <v>1830.32</v>
      </c>
      <c r="J330" s="4">
        <v>25730.400000000001</v>
      </c>
      <c r="K330" s="4">
        <v>174588.25</v>
      </c>
      <c r="L330" s="4">
        <v>6362.46</v>
      </c>
      <c r="M330" s="4">
        <v>1756.97</v>
      </c>
      <c r="N330" s="4">
        <v>2237.5300000000002</v>
      </c>
      <c r="O330" s="4">
        <v>2142.3000000000002</v>
      </c>
      <c r="P330" s="4">
        <v>13397.75</v>
      </c>
      <c r="Q330" s="4">
        <v>15085.19</v>
      </c>
      <c r="R330" s="4">
        <v>0</v>
      </c>
      <c r="S330" s="4">
        <v>42677.42</v>
      </c>
      <c r="T330" s="4">
        <v>221486.35</v>
      </c>
    </row>
    <row r="331" spans="1:20">
      <c r="A331" s="3">
        <f t="shared" si="5"/>
        <v>35061</v>
      </c>
      <c r="B331" s="4">
        <v>4529.33</v>
      </c>
      <c r="C331" s="4">
        <v>776500.56</v>
      </c>
      <c r="D331" s="4">
        <v>43201.33</v>
      </c>
      <c r="E331" s="4">
        <v>74761.039999999994</v>
      </c>
      <c r="F331" s="4">
        <v>755.88</v>
      </c>
      <c r="G331" s="4">
        <v>704.27</v>
      </c>
      <c r="H331" s="4">
        <v>642.47</v>
      </c>
      <c r="I331" s="4">
        <v>1927.93</v>
      </c>
      <c r="J331" s="4">
        <v>26043.89</v>
      </c>
      <c r="K331" s="4">
        <v>174447.26</v>
      </c>
      <c r="L331" s="4">
        <v>6483.91</v>
      </c>
      <c r="M331" s="4">
        <v>1662.56</v>
      </c>
      <c r="N331" s="4">
        <v>2228.5100000000002</v>
      </c>
      <c r="O331" s="4">
        <v>2023.31</v>
      </c>
      <c r="P331" s="4">
        <v>13185.66</v>
      </c>
      <c r="Q331" s="4">
        <v>13293.08</v>
      </c>
      <c r="R331" s="4">
        <v>0</v>
      </c>
      <c r="S331" s="4">
        <v>43043.07</v>
      </c>
      <c r="T331" s="4">
        <v>235156.84</v>
      </c>
    </row>
  </sheetData>
  <mergeCells count="8">
    <mergeCell ref="C1:E1"/>
    <mergeCell ref="F1:L1"/>
    <mergeCell ref="M1:Q1"/>
    <mergeCell ref="C2:E2"/>
    <mergeCell ref="F2:H2"/>
    <mergeCell ref="I2:K2"/>
    <mergeCell ref="M2:N2"/>
    <mergeCell ref="P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173E-2FC7-DA4A-9D9B-422E20C6DC2F}">
  <dimension ref="A1:E380"/>
  <sheetViews>
    <sheetView zoomScale="275" workbookViewId="0">
      <selection sqref="A1:A1048576"/>
    </sheetView>
  </sheetViews>
  <sheetFormatPr baseColWidth="10" defaultRowHeight="15"/>
  <cols>
    <col min="5" max="5" width="10.83203125" style="9"/>
  </cols>
  <sheetData>
    <row r="1" spans="1:5" ht="42">
      <c r="A1" s="5" t="s">
        <v>22</v>
      </c>
      <c r="B1" s="7" t="s">
        <v>2</v>
      </c>
      <c r="C1" s="7" t="s">
        <v>20</v>
      </c>
      <c r="D1" s="6" t="s">
        <v>21</v>
      </c>
      <c r="E1" s="8" t="s">
        <v>36</v>
      </c>
    </row>
    <row r="2" spans="1:5">
      <c r="A2" s="3">
        <v>45016</v>
      </c>
      <c r="B2" s="4">
        <f>Attivo!C4+Attivo!D4+Attivo!E4</f>
        <v>2523296.14</v>
      </c>
      <c r="C2" s="4">
        <f>Attivo!I4+Attivo!J4+Attivo!K4+Attivo!F4+Attivo!G4+Attivo!H4</f>
        <v>713564.60000000009</v>
      </c>
      <c r="D2" s="4">
        <f>Attivo!L4+Attivo!M4+Attivo!N4+Attivo!O4+Attivo!P4+Attivo!Q4+Attivo!R4</f>
        <v>236745.48</v>
      </c>
      <c r="E2" s="4">
        <f>Attivo!S4+Attivo!T4+Attivo!B4</f>
        <v>452627.04</v>
      </c>
    </row>
    <row r="3" spans="1:5">
      <c r="A3" s="3">
        <v>44985</v>
      </c>
      <c r="B3" s="4">
        <f>Attivo!C5+Attivo!D5+Attivo!E5</f>
        <v>2541531.9700000002</v>
      </c>
      <c r="C3" s="4">
        <f>Attivo!I5+Attivo!J5+Attivo!K5+Attivo!F5+Attivo!G5+Attivo!H5</f>
        <v>711570.40999999992</v>
      </c>
      <c r="D3" s="4">
        <f>Attivo!L5+Attivo!M5+Attivo!N5+Attivo!O5+Attivo!P5+Attivo!Q5+Attivo!R5</f>
        <v>235363.68000000002</v>
      </c>
      <c r="E3" s="4">
        <f>Attivo!S5+Attivo!T5+Attivo!B5</f>
        <v>472690.14</v>
      </c>
    </row>
    <row r="4" spans="1:5">
      <c r="A4" s="3">
        <v>44954</v>
      </c>
      <c r="B4" s="4">
        <f>Attivo!C6+Attivo!D6+Attivo!E6</f>
        <v>2560857.27</v>
      </c>
      <c r="C4" s="4">
        <f>Attivo!I6+Attivo!J6+Attivo!K6+Attivo!F6+Attivo!G6+Attivo!H6</f>
        <v>704296.73</v>
      </c>
      <c r="D4" s="4">
        <f>Attivo!L6+Attivo!M6+Attivo!N6+Attivo!O6+Attivo!P6+Attivo!Q6+Attivo!R6</f>
        <v>233271.91</v>
      </c>
      <c r="E4" s="4">
        <f>Attivo!S6+Attivo!T6+Attivo!B6</f>
        <v>447641.63999999996</v>
      </c>
    </row>
    <row r="5" spans="1:5">
      <c r="A5" s="3">
        <v>44923</v>
      </c>
      <c r="B5" s="4">
        <f>Attivo!C7+Attivo!D7+Attivo!E7</f>
        <v>2558197.73</v>
      </c>
      <c r="C5" s="4">
        <f>Attivo!I7+Attivo!J7+Attivo!K7+Attivo!F7+Attivo!G7+Attivo!H7</f>
        <v>692407.46000000008</v>
      </c>
      <c r="D5" s="4">
        <f>Attivo!L7+Attivo!M7+Attivo!N7+Attivo!O7+Attivo!P7+Attivo!Q7+Attivo!R7</f>
        <v>232306.62</v>
      </c>
      <c r="E5" s="4">
        <f>Attivo!S7+Attivo!T7+Attivo!B7</f>
        <v>481843.26</v>
      </c>
    </row>
    <row r="6" spans="1:5">
      <c r="A6" s="3">
        <v>44893</v>
      </c>
      <c r="B6" s="4">
        <f>Attivo!C8+Attivo!D8+Attivo!E8</f>
        <v>2657229.25</v>
      </c>
      <c r="C6" s="4">
        <f>Attivo!I8+Attivo!J8+Attivo!K8+Attivo!F8+Attivo!G8+Attivo!H8</f>
        <v>699724.15999999992</v>
      </c>
      <c r="D6" s="4">
        <f>Attivo!L8+Attivo!M8+Attivo!N8+Attivo!O8+Attivo!P8+Attivo!Q8+Attivo!R8</f>
        <v>235194.27000000002</v>
      </c>
      <c r="E6" s="4">
        <f>Attivo!S8+Attivo!T8+Attivo!B8</f>
        <v>449965.27</v>
      </c>
    </row>
    <row r="7" spans="1:5">
      <c r="A7" s="3">
        <v>44862</v>
      </c>
      <c r="B7" s="4">
        <f>Attivo!C9+Attivo!D9+Attivo!E9</f>
        <v>2655697.6399999997</v>
      </c>
      <c r="C7" s="4">
        <f>Attivo!I9+Attivo!J9+Attivo!K9+Attivo!F9+Attivo!G9+Attivo!H9</f>
        <v>695039.80999999994</v>
      </c>
      <c r="D7" s="4">
        <f>Attivo!L9+Attivo!M9+Attivo!N9+Attivo!O9+Attivo!P9+Attivo!Q9+Attivo!R9</f>
        <v>236667.44999999998</v>
      </c>
      <c r="E7" s="4">
        <f>Attivo!S9+Attivo!T9+Attivo!B9</f>
        <v>459855.12</v>
      </c>
    </row>
    <row r="8" spans="1:5">
      <c r="A8" s="3">
        <v>44832</v>
      </c>
      <c r="B8" s="4">
        <f>Attivo!C10+Attivo!D10+Attivo!E10</f>
        <v>2658274.0299999998</v>
      </c>
      <c r="C8" s="4">
        <f>Attivo!I10+Attivo!J10+Attivo!K10+Attivo!F10+Attivo!G10+Attivo!H10</f>
        <v>688797.05</v>
      </c>
      <c r="D8" s="4">
        <f>Attivo!L10+Attivo!M10+Attivo!N10+Attivo!O10+Attivo!P10+Attivo!Q10+Attivo!R10</f>
        <v>236587.19999999998</v>
      </c>
      <c r="E8" s="4">
        <f>Attivo!S10+Attivo!T10+Attivo!B10</f>
        <v>467029.41000000003</v>
      </c>
    </row>
    <row r="9" spans="1:5">
      <c r="A9" s="3">
        <v>44801</v>
      </c>
      <c r="B9" s="4">
        <f>Attivo!C11+Attivo!D11+Attivo!E11</f>
        <v>2668773.88</v>
      </c>
      <c r="C9" s="4">
        <f>Attivo!I11+Attivo!J11+Attivo!K11+Attivo!F11+Attivo!G11+Attivo!H11</f>
        <v>706262.35</v>
      </c>
      <c r="D9" s="4">
        <f>Attivo!L11+Attivo!M11+Attivo!N11+Attivo!O11+Attivo!P11+Attivo!Q11+Attivo!R11</f>
        <v>238969.44</v>
      </c>
      <c r="E9" s="4">
        <f>Attivo!S11+Attivo!T11+Attivo!B11</f>
        <v>424129.73</v>
      </c>
    </row>
    <row r="10" spans="1:5">
      <c r="A10" s="3">
        <v>44770</v>
      </c>
      <c r="B10" s="4">
        <f>Attivo!C12+Attivo!D12+Attivo!E12</f>
        <v>2679714.64</v>
      </c>
      <c r="C10" s="4">
        <f>Attivo!I12+Attivo!J12+Attivo!K12+Attivo!F12+Attivo!G12+Attivo!H12</f>
        <v>724643.91999999993</v>
      </c>
      <c r="D10" s="4">
        <f>Attivo!L12+Attivo!M12+Attivo!N12+Attivo!O12+Attivo!P12+Attivo!Q12+Attivo!R12</f>
        <v>238980.75</v>
      </c>
      <c r="E10" s="4">
        <f>Attivo!S12+Attivo!T12+Attivo!B12</f>
        <v>392554.22000000003</v>
      </c>
    </row>
    <row r="11" spans="1:5">
      <c r="A11" s="3">
        <v>44740</v>
      </c>
      <c r="B11" s="4">
        <f>Attivo!C13+Attivo!D13+Attivo!E13</f>
        <v>2667285.04</v>
      </c>
      <c r="C11" s="4">
        <f>Attivo!I13+Attivo!J13+Attivo!K13+Attivo!F13+Attivo!G13+Attivo!H13</f>
        <v>721715.54</v>
      </c>
      <c r="D11" s="4">
        <f>Attivo!L13+Attivo!M13+Attivo!N13+Attivo!O13+Attivo!P13+Attivo!Q13+Attivo!R13</f>
        <v>233319.04000000004</v>
      </c>
      <c r="E11" s="4">
        <f>Attivo!S13+Attivo!T13+Attivo!B13</f>
        <v>400206.6</v>
      </c>
    </row>
    <row r="12" spans="1:5">
      <c r="A12" s="3">
        <v>44709</v>
      </c>
      <c r="B12" s="4">
        <f>Attivo!C14+Attivo!D14+Attivo!E14</f>
        <v>2733391.9299999997</v>
      </c>
      <c r="C12" s="4">
        <f>Attivo!I14+Attivo!J14+Attivo!K14+Attivo!F14+Attivo!G14+Attivo!H14</f>
        <v>731675.06</v>
      </c>
      <c r="D12" s="4">
        <f>Attivo!L14+Attivo!M14+Attivo!N14+Attivo!O14+Attivo!P14+Attivo!Q14+Attivo!R14</f>
        <v>233660.93</v>
      </c>
      <c r="E12" s="4">
        <f>Attivo!S14+Attivo!T14+Attivo!B14</f>
        <v>377698.2</v>
      </c>
    </row>
    <row r="13" spans="1:5">
      <c r="A13" s="3">
        <v>44679</v>
      </c>
      <c r="B13" s="4">
        <f>Attivo!C15+Attivo!D15+Attivo!E15</f>
        <v>2726117.44</v>
      </c>
      <c r="C13" s="4">
        <f>Attivo!I15+Attivo!J15+Attivo!K15+Attivo!F15+Attivo!G15+Attivo!H15</f>
        <v>735677.75</v>
      </c>
      <c r="D13" s="4">
        <f>Attivo!L15+Attivo!M15+Attivo!N15+Attivo!O15+Attivo!P15+Attivo!Q15+Attivo!R15</f>
        <v>228827.86</v>
      </c>
      <c r="E13" s="4">
        <f>Attivo!S15+Attivo!T15+Attivo!B15</f>
        <v>373609.91000000003</v>
      </c>
    </row>
    <row r="14" spans="1:5">
      <c r="A14" s="3">
        <v>44648</v>
      </c>
      <c r="B14" s="4">
        <f>Attivo!C16+Attivo!D16+Attivo!E16</f>
        <v>2714228.29</v>
      </c>
      <c r="C14" s="4">
        <f>Attivo!I16+Attivo!J16+Attivo!K16+Attivo!F16+Attivo!G16+Attivo!H16</f>
        <v>739712.3600000001</v>
      </c>
      <c r="D14" s="4">
        <f>Attivo!L16+Attivo!M16+Attivo!N16+Attivo!O16+Attivo!P16+Attivo!Q16+Attivo!R16</f>
        <v>229397.05</v>
      </c>
      <c r="E14" s="4">
        <f>Attivo!S16+Attivo!T16+Attivo!B16</f>
        <v>344630.5</v>
      </c>
    </row>
    <row r="15" spans="1:5">
      <c r="A15" s="3">
        <v>44620</v>
      </c>
      <c r="B15" s="4">
        <f>Attivo!C17+Attivo!D17+Attivo!E17</f>
        <v>2707765.52</v>
      </c>
      <c r="C15" s="4">
        <f>Attivo!I17+Attivo!J17+Attivo!K17+Attivo!F17+Attivo!G17+Attivo!H17</f>
        <v>743604.32</v>
      </c>
      <c r="D15" s="4">
        <f>Attivo!L17+Attivo!M17+Attivo!N17+Attivo!O17+Attivo!P17+Attivo!Q17+Attivo!R17</f>
        <v>232519.3</v>
      </c>
      <c r="E15" s="4">
        <f>Attivo!S17+Attivo!T17+Attivo!B17</f>
        <v>328152.44</v>
      </c>
    </row>
    <row r="16" spans="1:5">
      <c r="A16" s="3">
        <v>44589</v>
      </c>
      <c r="B16" s="4">
        <f>Attivo!C18+Attivo!D18+Attivo!E18</f>
        <v>2726317.7500000005</v>
      </c>
      <c r="C16" s="4">
        <f>Attivo!I18+Attivo!J18+Attivo!K18+Attivo!F18+Attivo!G18+Attivo!H18</f>
        <v>733600.91</v>
      </c>
      <c r="D16" s="4">
        <f>Attivo!L18+Attivo!M18+Attivo!N18+Attivo!O18+Attivo!P18+Attivo!Q18+Attivo!R18</f>
        <v>233499.87</v>
      </c>
      <c r="E16" s="4">
        <f>Attivo!S18+Attivo!T18+Attivo!B18</f>
        <v>322693.44999999995</v>
      </c>
    </row>
    <row r="17" spans="1:5">
      <c r="A17" s="3">
        <v>44558</v>
      </c>
      <c r="B17" s="4">
        <f>Attivo!C19+Attivo!D19+Attivo!E19</f>
        <v>2706362.34</v>
      </c>
      <c r="C17" s="4">
        <f>Attivo!I19+Attivo!J19+Attivo!K19+Attivo!F19+Attivo!G19+Attivo!H19</f>
        <v>722746.95000000007</v>
      </c>
      <c r="D17" s="4">
        <f>Attivo!L19+Attivo!M19+Attivo!N19+Attivo!O19+Attivo!P19+Attivo!Q19+Attivo!R19</f>
        <v>233382.09</v>
      </c>
      <c r="E17" s="4">
        <f>Attivo!S19+Attivo!T19+Attivo!B19</f>
        <v>318705.93</v>
      </c>
    </row>
    <row r="18" spans="1:5">
      <c r="A18" s="3">
        <v>44528</v>
      </c>
      <c r="B18" s="4">
        <f>Attivo!C20+Attivo!D20+Attivo!E20</f>
        <v>2724052.95</v>
      </c>
      <c r="C18" s="4">
        <f>Attivo!I20+Attivo!J20+Attivo!K20+Attivo!F20+Attivo!G20+Attivo!H20</f>
        <v>722616.59000000008</v>
      </c>
      <c r="D18" s="4">
        <f>Attivo!L20+Attivo!M20+Attivo!N20+Attivo!O20+Attivo!P20+Attivo!Q20+Attivo!R20</f>
        <v>234073.63</v>
      </c>
      <c r="E18" s="4">
        <f>Attivo!S20+Attivo!T20+Attivo!B20</f>
        <v>321814.33</v>
      </c>
    </row>
    <row r="19" spans="1:5">
      <c r="A19" s="3">
        <v>44497</v>
      </c>
      <c r="B19" s="4">
        <f>Attivo!C21+Attivo!D21+Attivo!E21</f>
        <v>2716053.13</v>
      </c>
      <c r="C19" s="4">
        <f>Attivo!I21+Attivo!J21+Attivo!K21+Attivo!F21+Attivo!G21+Attivo!H21</f>
        <v>718359.25000000012</v>
      </c>
      <c r="D19" s="4">
        <f>Attivo!L21+Attivo!M21+Attivo!N21+Attivo!O21+Attivo!P21+Attivo!Q21+Attivo!R21</f>
        <v>230567.82</v>
      </c>
      <c r="E19" s="4">
        <f>Attivo!S21+Attivo!T21+Attivo!B21</f>
        <v>313747.12</v>
      </c>
    </row>
    <row r="20" spans="1:5">
      <c r="A20" s="3">
        <v>44467</v>
      </c>
      <c r="B20" s="4">
        <f>Attivo!C22+Attivo!D22+Attivo!E22</f>
        <v>2695790.64</v>
      </c>
      <c r="C20" s="4">
        <f>Attivo!I22+Attivo!J22+Attivo!K22+Attivo!F22+Attivo!G22+Attivo!H22</f>
        <v>722720.24</v>
      </c>
      <c r="D20" s="4">
        <f>Attivo!L22+Attivo!M22+Attivo!N22+Attivo!O22+Attivo!P22+Attivo!Q22+Attivo!R22</f>
        <v>227143.13000000003</v>
      </c>
      <c r="E20" s="4">
        <f>Attivo!S22+Attivo!T22+Attivo!B22</f>
        <v>308175.5</v>
      </c>
    </row>
    <row r="21" spans="1:5">
      <c r="A21" s="3">
        <v>44436</v>
      </c>
      <c r="B21" s="4">
        <f>Attivo!C23+Attivo!D23+Attivo!E23</f>
        <v>2697838.92</v>
      </c>
      <c r="C21" s="4">
        <f>Attivo!I23+Attivo!J23+Attivo!K23+Attivo!F23+Attivo!G23+Attivo!H23</f>
        <v>728684.03</v>
      </c>
      <c r="D21" s="4">
        <f>Attivo!L23+Attivo!M23+Attivo!N23+Attivo!O23+Attivo!P23+Attivo!Q23+Attivo!R23</f>
        <v>225672.96000000002</v>
      </c>
      <c r="E21" s="4">
        <f>Attivo!S23+Attivo!T23+Attivo!B23</f>
        <v>308009.57999999996</v>
      </c>
    </row>
    <row r="22" spans="1:5">
      <c r="A22" s="3">
        <v>44405</v>
      </c>
      <c r="B22" s="4">
        <f>Attivo!C24+Attivo!D24+Attivo!E24</f>
        <v>2709518.71</v>
      </c>
      <c r="C22" s="4">
        <f>Attivo!I24+Attivo!J24+Attivo!K24+Attivo!F24+Attivo!G24+Attivo!H24</f>
        <v>728226.21000000008</v>
      </c>
      <c r="D22" s="4">
        <f>Attivo!L24+Attivo!M24+Attivo!N24+Attivo!O24+Attivo!P24+Attivo!Q24+Attivo!R24</f>
        <v>225640.73</v>
      </c>
      <c r="E22" s="4">
        <f>Attivo!S24+Attivo!T24+Attivo!B24</f>
        <v>310372.56</v>
      </c>
    </row>
    <row r="23" spans="1:5">
      <c r="A23" s="3">
        <v>44375</v>
      </c>
      <c r="B23" s="4">
        <f>Attivo!C25+Attivo!D25+Attivo!E25</f>
        <v>2691396.48</v>
      </c>
      <c r="C23" s="4">
        <f>Attivo!I25+Attivo!J25+Attivo!K25+Attivo!F25+Attivo!G25+Attivo!H25</f>
        <v>724649.07</v>
      </c>
      <c r="D23" s="4">
        <f>Attivo!L25+Attivo!M25+Attivo!N25+Attivo!O25+Attivo!P25+Attivo!Q25+Attivo!R25</f>
        <v>226576.32000000004</v>
      </c>
      <c r="E23" s="4">
        <f>Attivo!S25+Attivo!T25+Attivo!B25</f>
        <v>305622.69</v>
      </c>
    </row>
    <row r="24" spans="1:5">
      <c r="A24" s="3">
        <v>44344</v>
      </c>
      <c r="B24" s="4">
        <f>Attivo!C26+Attivo!D26+Attivo!E26</f>
        <v>2674556.0599999996</v>
      </c>
      <c r="C24" s="4">
        <f>Attivo!I26+Attivo!J26+Attivo!K26+Attivo!F26+Attivo!G26+Attivo!H26</f>
        <v>729885.24999999988</v>
      </c>
      <c r="D24" s="4">
        <f>Attivo!L26+Attivo!M26+Attivo!N26+Attivo!O26+Attivo!P26+Attivo!Q26+Attivo!R26</f>
        <v>224123.8</v>
      </c>
      <c r="E24" s="4">
        <f>Attivo!S26+Attivo!T26+Attivo!B26</f>
        <v>305613.64999999997</v>
      </c>
    </row>
    <row r="25" spans="1:5">
      <c r="A25" s="3">
        <v>44314</v>
      </c>
      <c r="B25" s="4">
        <f>Attivo!C27+Attivo!D27+Attivo!E27</f>
        <v>2668457.29</v>
      </c>
      <c r="C25" s="4">
        <f>Attivo!I27+Attivo!J27+Attivo!K27+Attivo!F27+Attivo!G27+Attivo!H27</f>
        <v>725701.53</v>
      </c>
      <c r="D25" s="4">
        <f>Attivo!L27+Attivo!M27+Attivo!N27+Attivo!O27+Attivo!P27+Attivo!Q27+Attivo!R27</f>
        <v>223065.74000000002</v>
      </c>
      <c r="E25" s="4">
        <f>Attivo!S27+Attivo!T27+Attivo!B27</f>
        <v>303910.36</v>
      </c>
    </row>
    <row r="26" spans="1:5">
      <c r="A26" s="3">
        <v>44283</v>
      </c>
      <c r="B26" s="4">
        <f>Attivo!C28+Attivo!D28+Attivo!E28</f>
        <v>2647454.73</v>
      </c>
      <c r="C26" s="4">
        <f>Attivo!I28+Attivo!J28+Attivo!K28+Attivo!F28+Attivo!G28+Attivo!H28</f>
        <v>723778.8</v>
      </c>
      <c r="D26" s="4">
        <f>Attivo!L28+Attivo!M28+Attivo!N28+Attivo!O28+Attivo!P28+Attivo!Q28+Attivo!R28</f>
        <v>224360.54000000004</v>
      </c>
      <c r="E26" s="4">
        <f>Attivo!S28+Attivo!T28+Attivo!B28</f>
        <v>313896.11000000004</v>
      </c>
    </row>
    <row r="27" spans="1:5">
      <c r="A27" s="3">
        <v>44255</v>
      </c>
      <c r="B27" s="4">
        <f>Attivo!C29+Attivo!D29+Attivo!E29</f>
        <v>2582402.12</v>
      </c>
      <c r="C27" s="4">
        <f>Attivo!I29+Attivo!J29+Attivo!K29+Attivo!F29+Attivo!G29+Attivo!H29</f>
        <v>729368.20000000007</v>
      </c>
      <c r="D27" s="4">
        <f>Attivo!L29+Attivo!M29+Attivo!N29+Attivo!O29+Attivo!P29+Attivo!Q29+Attivo!R29</f>
        <v>219445.59000000003</v>
      </c>
      <c r="E27" s="4">
        <f>Attivo!S29+Attivo!T29+Attivo!B29</f>
        <v>323573.69</v>
      </c>
    </row>
    <row r="28" spans="1:5">
      <c r="A28" s="3">
        <v>44224</v>
      </c>
      <c r="B28" s="4">
        <f>Attivo!C30+Attivo!D30+Attivo!E30</f>
        <v>2582270.79</v>
      </c>
      <c r="C28" s="4">
        <f>Attivo!I30+Attivo!J30+Attivo!K30+Attivo!F30+Attivo!G30+Attivo!H30</f>
        <v>722414.49</v>
      </c>
      <c r="D28" s="4">
        <f>Attivo!L30+Attivo!M30+Attivo!N30+Attivo!O30+Attivo!P30+Attivo!Q30+Attivo!R30</f>
        <v>218313.77</v>
      </c>
      <c r="E28" s="4">
        <f>Attivo!S30+Attivo!T30+Attivo!B30</f>
        <v>332608.07</v>
      </c>
    </row>
    <row r="29" spans="1:5">
      <c r="A29" s="3">
        <v>44193</v>
      </c>
      <c r="B29" s="4">
        <f>Attivo!C31+Attivo!D31+Attivo!E31</f>
        <v>2578738.9699999997</v>
      </c>
      <c r="C29" s="4">
        <f>Attivo!I31+Attivo!J31+Attivo!K31+Attivo!F31+Attivo!G31+Attivo!H31</f>
        <v>718711.7</v>
      </c>
      <c r="D29" s="4">
        <f>Attivo!L31+Attivo!M31+Attivo!N31+Attivo!O31+Attivo!P31+Attivo!Q31+Attivo!R31</f>
        <v>216156.84999999998</v>
      </c>
      <c r="E29" s="4">
        <f>Attivo!S31+Attivo!T31+Attivo!B31</f>
        <v>331783.45</v>
      </c>
    </row>
    <row r="30" spans="1:5">
      <c r="A30" s="3">
        <v>44163</v>
      </c>
      <c r="B30" s="4">
        <f>Attivo!C32+Attivo!D32+Attivo!E32</f>
        <v>2610263.69</v>
      </c>
      <c r="C30" s="4">
        <f>Attivo!I32+Attivo!J32+Attivo!K32+Attivo!F32+Attivo!G32+Attivo!H32</f>
        <v>741787.31</v>
      </c>
      <c r="D30" s="4">
        <f>Attivo!L32+Attivo!M32+Attivo!N32+Attivo!O32+Attivo!P32+Attivo!Q32+Attivo!R32</f>
        <v>214400.66999999998</v>
      </c>
      <c r="E30" s="4">
        <f>Attivo!S32+Attivo!T32+Attivo!B32</f>
        <v>336483.68</v>
      </c>
    </row>
    <row r="31" spans="1:5">
      <c r="A31" s="3">
        <v>44132</v>
      </c>
      <c r="B31" s="4">
        <f>Attivo!C33+Attivo!D33+Attivo!E33</f>
        <v>2551815.12</v>
      </c>
      <c r="C31" s="4">
        <f>Attivo!I33+Attivo!J33+Attivo!K33+Attivo!F33+Attivo!G33+Attivo!H33</f>
        <v>750417.74</v>
      </c>
      <c r="D31" s="4">
        <f>Attivo!L33+Attivo!M33+Attivo!N33+Attivo!O33+Attivo!P33+Attivo!Q33+Attivo!R33</f>
        <v>211400.25999999998</v>
      </c>
      <c r="E31" s="4">
        <f>Attivo!S33+Attivo!T33+Attivo!B33</f>
        <v>334483.26</v>
      </c>
    </row>
    <row r="32" spans="1:5">
      <c r="A32" s="3">
        <v>44102</v>
      </c>
      <c r="B32" s="4">
        <f>Attivo!C34+Attivo!D34+Attivo!E34</f>
        <v>2499085.96</v>
      </c>
      <c r="C32" s="4">
        <f>Attivo!I34+Attivo!J34+Attivo!K34+Attivo!F34+Attivo!G34+Attivo!H34</f>
        <v>754666.14</v>
      </c>
      <c r="D32" s="4">
        <f>Attivo!L34+Attivo!M34+Attivo!N34+Attivo!O34+Attivo!P34+Attivo!Q34+Attivo!R34</f>
        <v>210788.45</v>
      </c>
      <c r="E32" s="4">
        <f>Attivo!S34+Attivo!T34+Attivo!B34</f>
        <v>334353.90999999997</v>
      </c>
    </row>
    <row r="33" spans="1:5">
      <c r="A33" s="3">
        <v>44071</v>
      </c>
      <c r="B33" s="4">
        <f>Attivo!C35+Attivo!D35+Attivo!E35</f>
        <v>2470637.6</v>
      </c>
      <c r="C33" s="4">
        <f>Attivo!I35+Attivo!J35+Attivo!K35+Attivo!F35+Attivo!G35+Attivo!H35</f>
        <v>754670.6100000001</v>
      </c>
      <c r="D33" s="4">
        <f>Attivo!L35+Attivo!M35+Attivo!N35+Attivo!O35+Attivo!P35+Attivo!Q35+Attivo!R35</f>
        <v>210261.74</v>
      </c>
      <c r="E33" s="4">
        <f>Attivo!S35+Attivo!T35+Attivo!B35</f>
        <v>332540.81</v>
      </c>
    </row>
    <row r="34" spans="1:5">
      <c r="A34" s="3">
        <v>44040</v>
      </c>
      <c r="B34" s="4">
        <f>Attivo!C36+Attivo!D36+Attivo!E36</f>
        <v>2496363.63</v>
      </c>
      <c r="C34" s="4">
        <f>Attivo!I36+Attivo!J36+Attivo!K36+Attivo!F36+Attivo!G36+Attivo!H36</f>
        <v>752258.39</v>
      </c>
      <c r="D34" s="4">
        <f>Attivo!L36+Attivo!M36+Attivo!N36+Attivo!O36+Attivo!P36+Attivo!Q36+Attivo!R36</f>
        <v>207401.77000000002</v>
      </c>
      <c r="E34" s="4">
        <f>Attivo!S36+Attivo!T36+Attivo!B36</f>
        <v>345374.57</v>
      </c>
    </row>
    <row r="35" spans="1:5">
      <c r="A35" s="3">
        <v>44010</v>
      </c>
      <c r="B35" s="4">
        <f>Attivo!C37+Attivo!D37+Attivo!E37</f>
        <v>2604713.0999999996</v>
      </c>
      <c r="C35" s="4">
        <f>Attivo!I37+Attivo!J37+Attivo!K37+Attivo!F37+Attivo!G37+Attivo!H37</f>
        <v>752789.08000000007</v>
      </c>
      <c r="D35" s="4">
        <f>Attivo!L37+Attivo!M37+Attivo!N37+Attivo!O37+Attivo!P37+Attivo!Q37+Attivo!R37</f>
        <v>215311.25</v>
      </c>
      <c r="E35" s="4">
        <f>Attivo!S37+Attivo!T37+Attivo!B37</f>
        <v>378426.27</v>
      </c>
    </row>
    <row r="36" spans="1:5">
      <c r="A36" s="3">
        <v>43979</v>
      </c>
      <c r="B36" s="4">
        <f>Attivo!C38+Attivo!D38+Attivo!E38</f>
        <v>2556496.59</v>
      </c>
      <c r="C36" s="4">
        <f>Attivo!I38+Attivo!J38+Attivo!K38+Attivo!F38+Attivo!G38+Attivo!H38</f>
        <v>739229.27999999991</v>
      </c>
      <c r="D36" s="4">
        <f>Attivo!L38+Attivo!M38+Attivo!N38+Attivo!O38+Attivo!P38+Attivo!Q38+Attivo!R38</f>
        <v>212700.65</v>
      </c>
      <c r="E36" s="4">
        <f>Attivo!S38+Attivo!T38+Attivo!B38</f>
        <v>379212.12</v>
      </c>
    </row>
    <row r="37" spans="1:5">
      <c r="A37" s="3">
        <v>43949</v>
      </c>
      <c r="B37" s="4">
        <f>Attivo!C39+Attivo!D39+Attivo!E39</f>
        <v>2529971.3199999998</v>
      </c>
      <c r="C37" s="4">
        <f>Attivo!I39+Attivo!J39+Attivo!K39+Attivo!F39+Attivo!G39+Attivo!H39</f>
        <v>722038.70000000007</v>
      </c>
      <c r="D37" s="4">
        <f>Attivo!L39+Attivo!M39+Attivo!N39+Attivo!O39+Attivo!P39+Attivo!Q39+Attivo!R39</f>
        <v>210814.19</v>
      </c>
      <c r="E37" s="4">
        <f>Attivo!S39+Attivo!T39+Attivo!B39</f>
        <v>383713.42</v>
      </c>
    </row>
    <row r="38" spans="1:5">
      <c r="A38" s="3">
        <v>43918</v>
      </c>
      <c r="B38" s="4">
        <f>Attivo!C40+Attivo!D40+Attivo!E40</f>
        <v>2529316.5900000003</v>
      </c>
      <c r="C38" s="4">
        <f>Attivo!I40+Attivo!J40+Attivo!K40+Attivo!F40+Attivo!G40+Attivo!H40</f>
        <v>696776.32</v>
      </c>
      <c r="D38" s="4">
        <f>Attivo!L40+Attivo!M40+Attivo!N40+Attivo!O40+Attivo!P40+Attivo!Q40+Attivo!R40</f>
        <v>210271.77999999997</v>
      </c>
      <c r="E38" s="4">
        <f>Attivo!S40+Attivo!T40+Attivo!B40</f>
        <v>373147.04</v>
      </c>
    </row>
    <row r="39" spans="1:5">
      <c r="A39" s="3">
        <v>43889</v>
      </c>
      <c r="B39" s="4">
        <f>Attivo!C41+Attivo!D41+Attivo!E41</f>
        <v>2478266.6100000003</v>
      </c>
      <c r="C39" s="4">
        <f>Attivo!I41+Attivo!J41+Attivo!K41+Attivo!F41+Attivo!G41+Attivo!H41</f>
        <v>686431.01</v>
      </c>
      <c r="D39" s="4">
        <f>Attivo!L41+Attivo!M41+Attivo!N41+Attivo!O41+Attivo!P41+Attivo!Q41+Attivo!R41</f>
        <v>215385.5</v>
      </c>
      <c r="E39" s="4">
        <f>Attivo!S41+Attivo!T41+Attivo!B41</f>
        <v>387523.4</v>
      </c>
    </row>
    <row r="40" spans="1:5">
      <c r="A40" s="3">
        <v>43858</v>
      </c>
      <c r="B40" s="4">
        <f>Attivo!C42+Attivo!D42+Attivo!E42</f>
        <v>2476788.1199999996</v>
      </c>
      <c r="C40" s="4">
        <f>Attivo!I42+Attivo!J42+Attivo!K42+Attivo!F42+Attivo!G42+Attivo!H42</f>
        <v>682850.4</v>
      </c>
      <c r="D40" s="4">
        <f>Attivo!L42+Attivo!M42+Attivo!N42+Attivo!O42+Attivo!P42+Attivo!Q42+Attivo!R42</f>
        <v>214267.77</v>
      </c>
      <c r="E40" s="4">
        <f>Attivo!S42+Attivo!T42+Attivo!B42</f>
        <v>373665.35000000003</v>
      </c>
    </row>
    <row r="41" spans="1:5">
      <c r="A41" s="3">
        <v>43827</v>
      </c>
      <c r="B41" s="4">
        <f>Attivo!C43+Attivo!D43+Attivo!E43</f>
        <v>2466500.2599999998</v>
      </c>
      <c r="C41" s="4">
        <f>Attivo!I43+Attivo!J43+Attivo!K43+Attivo!F43+Attivo!G43+Attivo!H43</f>
        <v>681007.09000000008</v>
      </c>
      <c r="D41" s="4">
        <f>Attivo!L43+Attivo!M43+Attivo!N43+Attivo!O43+Attivo!P43+Attivo!Q43+Attivo!R43</f>
        <v>213152.33</v>
      </c>
      <c r="E41" s="4">
        <f>Attivo!S43+Attivo!T43+Attivo!B43</f>
        <v>359922.99999999994</v>
      </c>
    </row>
    <row r="42" spans="1:5">
      <c r="A42" s="3">
        <v>43797</v>
      </c>
      <c r="B42" s="4">
        <f>Attivo!C44+Attivo!D44+Attivo!E44</f>
        <v>2533664.1899999995</v>
      </c>
      <c r="C42" s="4">
        <f>Attivo!I44+Attivo!J44+Attivo!K44+Attivo!F44+Attivo!G44+Attivo!H44</f>
        <v>685672.36</v>
      </c>
      <c r="D42" s="4">
        <f>Attivo!L44+Attivo!M44+Attivo!N44+Attivo!O44+Attivo!P44+Attivo!Q44+Attivo!R44</f>
        <v>213710.22</v>
      </c>
      <c r="E42" s="4">
        <f>Attivo!S44+Attivo!T44+Attivo!B44</f>
        <v>379405.62</v>
      </c>
    </row>
    <row r="43" spans="1:5">
      <c r="A43" s="3">
        <v>43766</v>
      </c>
      <c r="B43" s="4">
        <f>Attivo!C45+Attivo!D45+Attivo!E45</f>
        <v>2576498.9700000002</v>
      </c>
      <c r="C43" s="4">
        <f>Attivo!I45+Attivo!J45+Attivo!K45+Attivo!F45+Attivo!G45+Attivo!H45</f>
        <v>675735.28</v>
      </c>
      <c r="D43" s="4">
        <f>Attivo!L45+Attivo!M45+Attivo!N45+Attivo!O45+Attivo!P45+Attivo!Q45+Attivo!R45</f>
        <v>215581.63</v>
      </c>
      <c r="E43" s="4">
        <f>Attivo!S45+Attivo!T45+Attivo!B45</f>
        <v>374598.51999999996</v>
      </c>
    </row>
    <row r="44" spans="1:5">
      <c r="A44" s="3">
        <v>43736</v>
      </c>
      <c r="B44" s="4">
        <f>Attivo!C46+Attivo!D46+Attivo!E46</f>
        <v>2552052.0999999996</v>
      </c>
      <c r="C44" s="4">
        <f>Attivo!I46+Attivo!J46+Attivo!K46+Attivo!F46+Attivo!G46+Attivo!H46</f>
        <v>678592.09000000008</v>
      </c>
      <c r="D44" s="4">
        <f>Attivo!L46+Attivo!M46+Attivo!N46+Attivo!O46+Attivo!P46+Attivo!Q46+Attivo!R46</f>
        <v>216097.81000000003</v>
      </c>
      <c r="E44" s="4">
        <f>Attivo!S46+Attivo!T46+Attivo!B46</f>
        <v>392901.18</v>
      </c>
    </row>
    <row r="45" spans="1:5">
      <c r="A45" s="3">
        <v>43705</v>
      </c>
      <c r="B45" s="4">
        <f>Attivo!C47+Attivo!D47+Attivo!E47</f>
        <v>2528932.2199999997</v>
      </c>
      <c r="C45" s="4">
        <f>Attivo!I47+Attivo!J47+Attivo!K47+Attivo!F47+Attivo!G47+Attivo!H47</f>
        <v>674748.22</v>
      </c>
      <c r="D45" s="4">
        <f>Attivo!L47+Attivo!M47+Attivo!N47+Attivo!O47+Attivo!P47+Attivo!Q47+Attivo!R47</f>
        <v>213959.87</v>
      </c>
      <c r="E45" s="4">
        <f>Attivo!S47+Attivo!T47+Attivo!B47</f>
        <v>399900.57</v>
      </c>
    </row>
    <row r="46" spans="1:5">
      <c r="A46" s="3">
        <v>43674</v>
      </c>
      <c r="B46" s="4">
        <f>Attivo!C48+Attivo!D48+Attivo!E48</f>
        <v>2527622.0400000005</v>
      </c>
      <c r="C46" s="4">
        <f>Attivo!I48+Attivo!J48+Attivo!K48+Attivo!F48+Attivo!G48+Attivo!H48</f>
        <v>669228.48</v>
      </c>
      <c r="D46" s="4">
        <f>Attivo!L48+Attivo!M48+Attivo!N48+Attivo!O48+Attivo!P48+Attivo!Q48+Attivo!R48</f>
        <v>212569.59</v>
      </c>
      <c r="E46" s="4">
        <f>Attivo!S48+Attivo!T48+Attivo!B48</f>
        <v>383577.32</v>
      </c>
    </row>
    <row r="47" spans="1:5">
      <c r="A47" s="3">
        <v>43644</v>
      </c>
      <c r="B47" s="4">
        <f>Attivo!C49+Attivo!D49+Attivo!E49</f>
        <v>2525860.1999999997</v>
      </c>
      <c r="C47" s="4">
        <f>Attivo!I49+Attivo!J49+Attivo!K49+Attivo!F49+Attivo!G49+Attivo!H49</f>
        <v>652956.52</v>
      </c>
      <c r="D47" s="4">
        <f>Attivo!L49+Attivo!M49+Attivo!N49+Attivo!O49+Attivo!P49+Attivo!Q49+Attivo!R49</f>
        <v>210501.28</v>
      </c>
      <c r="E47" s="4">
        <f>Attivo!S49+Attivo!T49+Attivo!B49</f>
        <v>377821.96</v>
      </c>
    </row>
    <row r="48" spans="1:5">
      <c r="A48" s="3">
        <v>43613</v>
      </c>
      <c r="B48" s="4">
        <f>Attivo!C50+Attivo!D50+Attivo!E50</f>
        <v>2509954.7499999995</v>
      </c>
      <c r="C48" s="4">
        <f>Attivo!I50+Attivo!J50+Attivo!K50+Attivo!F50+Attivo!G50+Attivo!H50</f>
        <v>659024.38000000012</v>
      </c>
      <c r="D48" s="4">
        <f>Attivo!L50+Attivo!M50+Attivo!N50+Attivo!O50+Attivo!P50+Attivo!Q50+Attivo!R50</f>
        <v>207595.2</v>
      </c>
      <c r="E48" s="4">
        <f>Attivo!S50+Attivo!T50+Attivo!B50</f>
        <v>369278.43999999994</v>
      </c>
    </row>
    <row r="49" spans="1:5">
      <c r="A49" s="3">
        <v>43583</v>
      </c>
      <c r="B49" s="4">
        <f>Attivo!C51+Attivo!D51+Attivo!E51</f>
        <v>2504505.85</v>
      </c>
      <c r="C49" s="4">
        <f>Attivo!I51+Attivo!J51+Attivo!K51+Attivo!F51+Attivo!G51+Attivo!H51</f>
        <v>659114.18000000005</v>
      </c>
      <c r="D49" s="4">
        <f>Attivo!L51+Attivo!M51+Attivo!N51+Attivo!O51+Attivo!P51+Attivo!Q51+Attivo!R51</f>
        <v>206156.65999999997</v>
      </c>
      <c r="E49" s="4">
        <f>Attivo!S51+Attivo!T51+Attivo!B51</f>
        <v>364304.2</v>
      </c>
    </row>
    <row r="50" spans="1:5">
      <c r="A50" s="3">
        <v>43552</v>
      </c>
      <c r="B50" s="4">
        <f>Attivo!C52+Attivo!D52+Attivo!E52</f>
        <v>2502965.96</v>
      </c>
      <c r="C50" s="4">
        <f>Attivo!I52+Attivo!J52+Attivo!K52+Attivo!F52+Attivo!G52+Attivo!H52</f>
        <v>657850.67000000004</v>
      </c>
      <c r="D50" s="4">
        <f>Attivo!L52+Attivo!M52+Attivo!N52+Attivo!O52+Attivo!P52+Attivo!Q52+Attivo!R52</f>
        <v>203397.84000000003</v>
      </c>
      <c r="E50" s="4">
        <f>Attivo!S52+Attivo!T52+Attivo!B52</f>
        <v>367973.9</v>
      </c>
    </row>
    <row r="51" spans="1:5">
      <c r="A51" s="3">
        <v>43524</v>
      </c>
      <c r="B51" s="4">
        <f>Attivo!C53+Attivo!D53+Attivo!E53</f>
        <v>2477221.39</v>
      </c>
      <c r="C51" s="4">
        <f>Attivo!I53+Attivo!J53+Attivo!K53+Attivo!F53+Attivo!G53+Attivo!H53</f>
        <v>655618.34999999986</v>
      </c>
      <c r="D51" s="4">
        <f>Attivo!L53+Attivo!M53+Attivo!N53+Attivo!O53+Attivo!P53+Attivo!Q53+Attivo!R53</f>
        <v>202452.72</v>
      </c>
      <c r="E51" s="4">
        <f>Attivo!S53+Attivo!T53+Attivo!B53</f>
        <v>355529.79000000004</v>
      </c>
    </row>
    <row r="52" spans="1:5">
      <c r="A52" s="3">
        <v>43493</v>
      </c>
      <c r="B52" s="4">
        <f>Attivo!C54+Attivo!D54+Attivo!E54</f>
        <v>2483405.31</v>
      </c>
      <c r="C52" s="4">
        <f>Attivo!I54+Attivo!J54+Attivo!K54+Attivo!F54+Attivo!G54+Attivo!H54</f>
        <v>646888.57000000007</v>
      </c>
      <c r="D52" s="4">
        <f>Attivo!L54+Attivo!M54+Attivo!N54+Attivo!O54+Attivo!P54+Attivo!Q54+Attivo!R54</f>
        <v>203168.69000000003</v>
      </c>
      <c r="E52" s="4">
        <f>Attivo!S54+Attivo!T54+Attivo!B54</f>
        <v>353251.27</v>
      </c>
    </row>
    <row r="53" spans="1:5">
      <c r="A53" s="3">
        <v>43462</v>
      </c>
      <c r="B53" s="4">
        <f>Attivo!C55+Attivo!D55+Attivo!E55</f>
        <v>2493876.23</v>
      </c>
      <c r="C53" s="4">
        <f>Attivo!I55+Attivo!J55+Attivo!K55+Attivo!F55+Attivo!G55+Attivo!H55</f>
        <v>631521.6100000001</v>
      </c>
      <c r="D53" s="4">
        <f>Attivo!L55+Attivo!M55+Attivo!N55+Attivo!O55+Attivo!P55+Attivo!Q55+Attivo!R55</f>
        <v>207681.45</v>
      </c>
      <c r="E53" s="4">
        <f>Attivo!S55+Attivo!T55+Attivo!B55</f>
        <v>332719.14</v>
      </c>
    </row>
    <row r="54" spans="1:5">
      <c r="A54" s="3">
        <v>43432</v>
      </c>
      <c r="B54" s="4">
        <f>Attivo!C56+Attivo!D56+Attivo!E56</f>
        <v>2499001.1999999997</v>
      </c>
      <c r="C54" s="4">
        <f>Attivo!I56+Attivo!J56+Attivo!K56+Attivo!F56+Attivo!G56+Attivo!H56</f>
        <v>638978.85</v>
      </c>
      <c r="D54" s="4">
        <f>Attivo!L56+Attivo!M56+Attivo!N56+Attivo!O56+Attivo!P56+Attivo!Q56+Attivo!R56</f>
        <v>209350.79</v>
      </c>
      <c r="E54" s="4">
        <f>Attivo!S56+Attivo!T56+Attivo!B56</f>
        <v>340901.58</v>
      </c>
    </row>
    <row r="55" spans="1:5">
      <c r="A55" s="3">
        <v>43401</v>
      </c>
      <c r="B55" s="4">
        <f>Attivo!C57+Attivo!D57+Attivo!E57</f>
        <v>2524801.7599999998</v>
      </c>
      <c r="C55" s="4">
        <f>Attivo!I57+Attivo!J57+Attivo!K57+Attivo!F57+Attivo!G57+Attivo!H57</f>
        <v>639319.41999999993</v>
      </c>
      <c r="D55" s="4">
        <f>Attivo!L57+Attivo!M57+Attivo!N57+Attivo!O57+Attivo!P57+Attivo!Q57+Attivo!R57</f>
        <v>215426.34000000003</v>
      </c>
      <c r="E55" s="4">
        <f>Attivo!S57+Attivo!T57+Attivo!B57</f>
        <v>339381.35999999993</v>
      </c>
    </row>
    <row r="56" spans="1:5">
      <c r="A56" s="3">
        <v>43371</v>
      </c>
      <c r="B56" s="4">
        <f>Attivo!C58+Attivo!D58+Attivo!E58</f>
        <v>2551921.83</v>
      </c>
      <c r="C56" s="4">
        <f>Attivo!I58+Attivo!J58+Attivo!K58+Attivo!F58+Attivo!G58+Attivo!H58</f>
        <v>640979.71</v>
      </c>
      <c r="D56" s="4">
        <f>Attivo!L58+Attivo!M58+Attivo!N58+Attivo!O58+Attivo!P58+Attivo!Q58+Attivo!R58</f>
        <v>215758.91000000003</v>
      </c>
      <c r="E56" s="4">
        <f>Attivo!S58+Attivo!T58+Attivo!B58</f>
        <v>330826.91000000003</v>
      </c>
    </row>
    <row r="57" spans="1:5">
      <c r="A57" s="3">
        <v>43340</v>
      </c>
      <c r="B57" s="4">
        <f>Attivo!C59+Attivo!D59+Attivo!E59</f>
        <v>2529294.0299999998</v>
      </c>
      <c r="C57" s="4">
        <f>Attivo!I59+Attivo!J59+Attivo!K59+Attivo!F59+Attivo!G59+Attivo!H59</f>
        <v>636975.93000000005</v>
      </c>
      <c r="D57" s="4">
        <f>Attivo!L59+Attivo!M59+Attivo!N59+Attivo!O59+Attivo!P59+Attivo!Q59+Attivo!R59</f>
        <v>213227.67</v>
      </c>
      <c r="E57" s="4">
        <f>Attivo!S59+Attivo!T59+Attivo!B59</f>
        <v>334891.15000000002</v>
      </c>
    </row>
    <row r="58" spans="1:5">
      <c r="A58" s="3">
        <v>43309</v>
      </c>
      <c r="B58" s="4">
        <f>Attivo!C60+Attivo!D60+Attivo!E60</f>
        <v>2539332.8000000003</v>
      </c>
      <c r="C58" s="4">
        <f>Attivo!I60+Attivo!J60+Attivo!K60+Attivo!F60+Attivo!G60+Attivo!H60</f>
        <v>644503.69999999984</v>
      </c>
      <c r="D58" s="4">
        <f>Attivo!L60+Attivo!M60+Attivo!N60+Attivo!O60+Attivo!P60+Attivo!Q60+Attivo!R60</f>
        <v>210835.76</v>
      </c>
      <c r="E58" s="4">
        <f>Attivo!S60+Attivo!T60+Attivo!B60</f>
        <v>327831.51</v>
      </c>
    </row>
    <row r="59" spans="1:5">
      <c r="A59" s="3">
        <v>43279</v>
      </c>
      <c r="B59" s="4">
        <f>Attivo!C61+Attivo!D61+Attivo!E61</f>
        <v>2559524.08</v>
      </c>
      <c r="C59" s="4">
        <f>Attivo!I61+Attivo!J61+Attivo!K61+Attivo!F61+Attivo!G61+Attivo!H61</f>
        <v>632790.32999999984</v>
      </c>
      <c r="D59" s="4">
        <f>Attivo!L61+Attivo!M61+Attivo!N61+Attivo!O61+Attivo!P61+Attivo!Q61+Attivo!R61</f>
        <v>214511.04</v>
      </c>
      <c r="E59" s="4">
        <f>Attivo!S61+Attivo!T61+Attivo!B61</f>
        <v>337040.62000000005</v>
      </c>
    </row>
    <row r="60" spans="1:5">
      <c r="A60" s="3">
        <v>43248</v>
      </c>
      <c r="B60" s="4">
        <f>Attivo!C62+Attivo!D62+Attivo!E62</f>
        <v>2599008.79</v>
      </c>
      <c r="C60" s="4">
        <f>Attivo!I62+Attivo!J62+Attivo!K62+Attivo!F62+Attivo!G62+Attivo!H62</f>
        <v>614877.62000000011</v>
      </c>
      <c r="D60" s="4">
        <f>Attivo!L62+Attivo!M62+Attivo!N62+Attivo!O62+Attivo!P62+Attivo!Q62+Attivo!R62</f>
        <v>213665.63</v>
      </c>
      <c r="E60" s="4">
        <f>Attivo!S62+Attivo!T62+Attivo!B62</f>
        <v>336103.32</v>
      </c>
    </row>
    <row r="61" spans="1:5">
      <c r="A61" s="3">
        <v>43218</v>
      </c>
      <c r="B61" s="4">
        <f>Attivo!C63+Attivo!D63+Attivo!E63</f>
        <v>2597203.94</v>
      </c>
      <c r="C61" s="4">
        <f>Attivo!I63+Attivo!J63+Attivo!K63+Attivo!F63+Attivo!G63+Attivo!H63</f>
        <v>604247.79</v>
      </c>
      <c r="D61" s="4">
        <f>Attivo!L63+Attivo!M63+Attivo!N63+Attivo!O63+Attivo!P63+Attivo!Q63+Attivo!R63</f>
        <v>214307.71000000002</v>
      </c>
      <c r="E61" s="4">
        <f>Attivo!S63+Attivo!T63+Attivo!B63</f>
        <v>324247.02999999997</v>
      </c>
    </row>
    <row r="62" spans="1:5">
      <c r="A62" s="3">
        <v>43187</v>
      </c>
      <c r="B62" s="4">
        <f>Attivo!C64+Attivo!D64+Attivo!E64</f>
        <v>2590467.7199999997</v>
      </c>
      <c r="C62" s="4">
        <f>Attivo!I64+Attivo!J64+Attivo!K64+Attivo!F64+Attivo!G64+Attivo!H64</f>
        <v>596875.49000000011</v>
      </c>
      <c r="D62" s="4">
        <f>Attivo!L64+Attivo!M64+Attivo!N64+Attivo!O64+Attivo!P64+Attivo!Q64+Attivo!R64</f>
        <v>211071.55000000002</v>
      </c>
      <c r="E62" s="4">
        <f>Attivo!S64+Attivo!T64+Attivo!B64</f>
        <v>327454.61</v>
      </c>
    </row>
    <row r="63" spans="1:5">
      <c r="A63" s="3">
        <v>43159</v>
      </c>
      <c r="B63" s="4">
        <f>Attivo!C65+Attivo!D65+Attivo!E65</f>
        <v>2557070.29</v>
      </c>
      <c r="C63" s="4">
        <f>Attivo!I65+Attivo!J65+Attivo!K65+Attivo!F65+Attivo!G65+Attivo!H65</f>
        <v>594243.27</v>
      </c>
      <c r="D63" s="4">
        <f>Attivo!L65+Attivo!M65+Attivo!N65+Attivo!O65+Attivo!P65+Attivo!Q65+Attivo!R65</f>
        <v>208129.78000000003</v>
      </c>
      <c r="E63" s="4">
        <f>Attivo!S65+Attivo!T65+Attivo!B65</f>
        <v>332047.77</v>
      </c>
    </row>
    <row r="64" spans="1:5">
      <c r="A64" s="3">
        <v>43128</v>
      </c>
      <c r="B64" s="4">
        <f>Attivo!C66+Attivo!D66+Attivo!E66</f>
        <v>2586396.2799999998</v>
      </c>
      <c r="C64" s="4">
        <f>Attivo!I66+Attivo!J66+Attivo!K66+Attivo!F66+Attivo!G66+Attivo!H66</f>
        <v>588695.28</v>
      </c>
      <c r="D64" s="4">
        <f>Attivo!L66+Attivo!M66+Attivo!N66+Attivo!O66+Attivo!P66+Attivo!Q66+Attivo!R66</f>
        <v>208599.03</v>
      </c>
      <c r="E64" s="4">
        <f>Attivo!S66+Attivo!T66+Attivo!B66</f>
        <v>342636.43</v>
      </c>
    </row>
    <row r="65" spans="1:5">
      <c r="A65" s="3">
        <v>43097</v>
      </c>
      <c r="B65" s="4">
        <f>Attivo!C67+Attivo!D67+Attivo!E67</f>
        <v>2577296.7999999998</v>
      </c>
      <c r="C65" s="4">
        <f>Attivo!I67+Attivo!J67+Attivo!K67+Attivo!F67+Attivo!G67+Attivo!H67</f>
        <v>585535.09</v>
      </c>
      <c r="D65" s="4">
        <f>Attivo!L67+Attivo!M67+Attivo!N67+Attivo!O67+Attivo!P67+Attivo!Q67+Attivo!R67</f>
        <v>208237.46000000002</v>
      </c>
      <c r="E65" s="4">
        <f>Attivo!S67+Attivo!T67+Attivo!B67</f>
        <v>341302.62</v>
      </c>
    </row>
    <row r="66" spans="1:5">
      <c r="A66" s="3">
        <v>43067</v>
      </c>
      <c r="B66" s="4">
        <f>Attivo!C68+Attivo!D68+Attivo!E68</f>
        <v>2625511.52</v>
      </c>
      <c r="C66" s="4">
        <f>Attivo!I68+Attivo!J68+Attivo!K68+Attivo!F68+Attivo!G68+Attivo!H68</f>
        <v>730274.22999999986</v>
      </c>
      <c r="D66" s="4">
        <f>Attivo!L68+Attivo!M68+Attivo!N68+Attivo!O68+Attivo!P68+Attivo!Q68+Attivo!R68</f>
        <v>204045.51</v>
      </c>
      <c r="E66" s="4">
        <f>Attivo!S68+Attivo!T68+Attivo!B68</f>
        <v>360194.39</v>
      </c>
    </row>
    <row r="67" spans="1:5">
      <c r="A67" s="3">
        <v>43036</v>
      </c>
      <c r="B67" s="4">
        <f>Attivo!C69+Attivo!D69+Attivo!E69</f>
        <v>2599387.5</v>
      </c>
      <c r="C67" s="4">
        <f>Attivo!I69+Attivo!J69+Attivo!K69+Attivo!F69+Attivo!G69+Attivo!H69</f>
        <v>740242.02</v>
      </c>
      <c r="D67" s="4">
        <f>Attivo!L69+Attivo!M69+Attivo!N69+Attivo!O69+Attivo!P69+Attivo!Q69+Attivo!R69</f>
        <v>206415.94</v>
      </c>
      <c r="E67" s="4">
        <f>Attivo!S69+Attivo!T69+Attivo!B69</f>
        <v>356673.49</v>
      </c>
    </row>
    <row r="68" spans="1:5">
      <c r="A68" s="3">
        <v>43006</v>
      </c>
      <c r="B68" s="4">
        <f>Attivo!C70+Attivo!D70+Attivo!E70</f>
        <v>2548977.71</v>
      </c>
      <c r="C68" s="4">
        <f>Attivo!I70+Attivo!J70+Attivo!K70+Attivo!F70+Attivo!G70+Attivo!H70</f>
        <v>760732.83</v>
      </c>
      <c r="D68" s="4">
        <f>Attivo!L70+Attivo!M70+Attivo!N70+Attivo!O70+Attivo!P70+Attivo!Q70+Attivo!R70</f>
        <v>206246.23999999996</v>
      </c>
      <c r="E68" s="4">
        <f>Attivo!S70+Attivo!T70+Attivo!B70</f>
        <v>360478.27</v>
      </c>
    </row>
    <row r="69" spans="1:5">
      <c r="A69" s="3">
        <v>42975</v>
      </c>
      <c r="B69" s="4">
        <f>Attivo!C71+Attivo!D71+Attivo!E71</f>
        <v>2542360.64</v>
      </c>
      <c r="C69" s="4">
        <f>Attivo!I71+Attivo!J71+Attivo!K71+Attivo!F71+Attivo!G71+Attivo!H71</f>
        <v>767964.6</v>
      </c>
      <c r="D69" s="4">
        <f>Attivo!L71+Attivo!M71+Attivo!N71+Attivo!O71+Attivo!P71+Attivo!Q71+Attivo!R71</f>
        <v>206258.15</v>
      </c>
      <c r="E69" s="4">
        <f>Attivo!S71+Attivo!T71+Attivo!B71</f>
        <v>369676.25</v>
      </c>
    </row>
    <row r="70" spans="1:5">
      <c r="A70" s="3">
        <v>42944</v>
      </c>
      <c r="B70" s="4">
        <f>Attivo!C72+Attivo!D72+Attivo!E72</f>
        <v>2553279.9899999998</v>
      </c>
      <c r="C70" s="4">
        <f>Attivo!I72+Attivo!J72+Attivo!K72+Attivo!F72+Attivo!G72+Attivo!H72</f>
        <v>772697.22</v>
      </c>
      <c r="D70" s="4">
        <f>Attivo!L72+Attivo!M72+Attivo!N72+Attivo!O72+Attivo!P72+Attivo!Q72+Attivo!R72</f>
        <v>204853.34</v>
      </c>
      <c r="E70" s="4">
        <f>Attivo!S72+Attivo!T72+Attivo!B72</f>
        <v>370323.59</v>
      </c>
    </row>
    <row r="71" spans="1:5">
      <c r="A71" s="3">
        <v>42914</v>
      </c>
      <c r="B71" s="4">
        <f>Attivo!C73+Attivo!D73+Attivo!E73</f>
        <v>2586546.62</v>
      </c>
      <c r="C71" s="4">
        <f>Attivo!I73+Attivo!J73+Attivo!K73+Attivo!F73+Attivo!G73+Attivo!H73</f>
        <v>759975.53</v>
      </c>
      <c r="D71" s="4">
        <f>Attivo!L73+Attivo!M73+Attivo!N73+Attivo!O73+Attivo!P73+Attivo!Q73+Attivo!R73</f>
        <v>203861.33999999997</v>
      </c>
      <c r="E71" s="4">
        <f>Attivo!S73+Attivo!T73+Attivo!B73</f>
        <v>358226.61</v>
      </c>
    </row>
    <row r="72" spans="1:5">
      <c r="A72" s="3">
        <v>42883</v>
      </c>
      <c r="B72" s="4">
        <f>Attivo!C74+Attivo!D74+Attivo!E74</f>
        <v>2563238.2999999998</v>
      </c>
      <c r="C72" s="4">
        <f>Attivo!I74+Attivo!J74+Attivo!K74+Attivo!F74+Attivo!G74+Attivo!H74</f>
        <v>779112.97999999986</v>
      </c>
      <c r="D72" s="4">
        <f>Attivo!L74+Attivo!M74+Attivo!N74+Attivo!O74+Attivo!P74+Attivo!Q74+Attivo!R74</f>
        <v>210791.12</v>
      </c>
      <c r="E72" s="4">
        <f>Attivo!S74+Attivo!T74+Attivo!B74</f>
        <v>364422.24</v>
      </c>
    </row>
    <row r="73" spans="1:5">
      <c r="A73" s="3">
        <v>42853</v>
      </c>
      <c r="B73" s="4">
        <f>Attivo!C75+Attivo!D75+Attivo!E75</f>
        <v>2587320.3800000004</v>
      </c>
      <c r="C73" s="4">
        <f>Attivo!I75+Attivo!J75+Attivo!K75+Attivo!F75+Attivo!G75+Attivo!H75</f>
        <v>789070.53</v>
      </c>
      <c r="D73" s="4">
        <f>Attivo!L75+Attivo!M75+Attivo!N75+Attivo!O75+Attivo!P75+Attivo!Q75+Attivo!R75</f>
        <v>211944.38999999998</v>
      </c>
      <c r="E73" s="4">
        <f>Attivo!S75+Attivo!T75+Attivo!B75</f>
        <v>368528.22000000003</v>
      </c>
    </row>
    <row r="74" spans="1:5">
      <c r="A74" s="3">
        <v>42822</v>
      </c>
      <c r="B74" s="4">
        <f>Attivo!C76+Attivo!D76+Attivo!E76</f>
        <v>2586467.4099999997</v>
      </c>
      <c r="C74" s="4">
        <f>Attivo!I76+Attivo!J76+Attivo!K76+Attivo!F76+Attivo!G76+Attivo!H76</f>
        <v>796566.56</v>
      </c>
      <c r="D74" s="4">
        <f>Attivo!L76+Attivo!M76+Attivo!N76+Attivo!O76+Attivo!P76+Attivo!Q76+Attivo!R76</f>
        <v>212376.95999999999</v>
      </c>
      <c r="E74" s="4">
        <f>Attivo!S76+Attivo!T76+Attivo!B76</f>
        <v>368727.24000000005</v>
      </c>
    </row>
    <row r="75" spans="1:5">
      <c r="A75" s="3">
        <v>42794</v>
      </c>
      <c r="B75" s="4">
        <f>Attivo!C77+Attivo!D77+Attivo!E77</f>
        <v>2506319.52</v>
      </c>
      <c r="C75" s="4">
        <f>Attivo!I77+Attivo!J77+Attivo!K77+Attivo!F77+Attivo!G77+Attivo!H77</f>
        <v>784768.04</v>
      </c>
      <c r="D75" s="4">
        <f>Attivo!L77+Attivo!M77+Attivo!N77+Attivo!O77+Attivo!P77+Attivo!Q77+Attivo!R77</f>
        <v>210031.87000000002</v>
      </c>
      <c r="E75" s="4">
        <f>Attivo!S77+Attivo!T77+Attivo!B77</f>
        <v>382466.24</v>
      </c>
    </row>
    <row r="76" spans="1:5">
      <c r="A76" s="3">
        <v>42763</v>
      </c>
      <c r="B76" s="4">
        <f>Attivo!C78+Attivo!D78+Attivo!E78</f>
        <v>2509769.87</v>
      </c>
      <c r="C76" s="4">
        <f>Attivo!I78+Attivo!J78+Attivo!K78+Attivo!F78+Attivo!G78+Attivo!H78</f>
        <v>783164.79</v>
      </c>
      <c r="D76" s="4">
        <f>Attivo!L78+Attivo!M78+Attivo!N78+Attivo!O78+Attivo!P78+Attivo!Q78+Attivo!R78</f>
        <v>210538.87</v>
      </c>
      <c r="E76" s="4">
        <f>Attivo!S78+Attivo!T78+Attivo!B78</f>
        <v>376866.18</v>
      </c>
    </row>
    <row r="77" spans="1:5">
      <c r="A77" s="3">
        <v>42732</v>
      </c>
      <c r="B77" s="4">
        <f>Attivo!C79+Attivo!D79+Attivo!E79</f>
        <v>2533792.67</v>
      </c>
      <c r="C77" s="4">
        <f>Attivo!I79+Attivo!J79+Attivo!K79+Attivo!F79+Attivo!G79+Attivo!H79</f>
        <v>783026.02</v>
      </c>
      <c r="D77" s="4">
        <f>Attivo!L79+Attivo!M79+Attivo!N79+Attivo!O79+Attivo!P79+Attivo!Q79+Attivo!R79</f>
        <v>212659.58</v>
      </c>
      <c r="E77" s="4">
        <f>Attivo!S79+Attivo!T79+Attivo!B79</f>
        <v>390169.42</v>
      </c>
    </row>
    <row r="78" spans="1:5">
      <c r="A78" s="3">
        <v>42702</v>
      </c>
      <c r="B78" s="4">
        <f>Attivo!C80+Attivo!D80+Attivo!E80</f>
        <v>2517226.9099999997</v>
      </c>
      <c r="C78" s="4">
        <f>Attivo!I80+Attivo!J80+Attivo!K80+Attivo!F80+Attivo!G80+Attivo!H80</f>
        <v>789493.75</v>
      </c>
      <c r="D78" s="4">
        <f>Attivo!L80+Attivo!M80+Attivo!N80+Attivo!O80+Attivo!P80+Attivo!Q80+Attivo!R80</f>
        <v>212864.19999999998</v>
      </c>
      <c r="E78" s="4">
        <f>Attivo!S80+Attivo!T80+Attivo!B80</f>
        <v>399658.39999999997</v>
      </c>
    </row>
    <row r="79" spans="1:5">
      <c r="A79" s="3">
        <v>42671</v>
      </c>
      <c r="B79" s="4">
        <f>Attivo!C81+Attivo!D81+Attivo!E81</f>
        <v>2518697.4500000002</v>
      </c>
      <c r="C79" s="4">
        <f>Attivo!I81+Attivo!J81+Attivo!K81+Attivo!F81+Attivo!G81+Attivo!H81</f>
        <v>786970.49</v>
      </c>
      <c r="D79" s="4">
        <f>Attivo!L81+Attivo!M81+Attivo!N81+Attivo!O81+Attivo!P81+Attivo!Q81+Attivo!R81</f>
        <v>214736.61</v>
      </c>
      <c r="E79" s="4">
        <f>Attivo!S81+Attivo!T81+Attivo!B81</f>
        <v>399135.09</v>
      </c>
    </row>
    <row r="80" spans="1:5">
      <c r="A80" s="3">
        <v>42641</v>
      </c>
      <c r="B80" s="4">
        <f>Attivo!C82+Attivo!D82+Attivo!E82</f>
        <v>2511718.5099999998</v>
      </c>
      <c r="C80" s="4">
        <f>Attivo!I82+Attivo!J82+Attivo!K82+Attivo!F82+Attivo!G82+Attivo!H82</f>
        <v>796004.5</v>
      </c>
      <c r="D80" s="4">
        <f>Attivo!L82+Attivo!M82+Attivo!N82+Attivo!O82+Attivo!P82+Attivo!Q82+Attivo!R82</f>
        <v>210804.86000000002</v>
      </c>
      <c r="E80" s="4">
        <f>Attivo!S82+Attivo!T82+Attivo!B82</f>
        <v>411503.76999999996</v>
      </c>
    </row>
    <row r="81" spans="1:5">
      <c r="A81" s="3">
        <v>42610</v>
      </c>
      <c r="B81" s="4">
        <f>Attivo!C83+Attivo!D83+Attivo!E83</f>
        <v>2499923.71</v>
      </c>
      <c r="C81" s="4">
        <f>Attivo!I83+Attivo!J83+Attivo!K83+Attivo!F83+Attivo!G83+Attivo!H83</f>
        <v>799331.88</v>
      </c>
      <c r="D81" s="4">
        <f>Attivo!L83+Attivo!M83+Attivo!N83+Attivo!O83+Attivo!P83+Attivo!Q83+Attivo!R83</f>
        <v>210948.34999999998</v>
      </c>
      <c r="E81" s="4">
        <f>Attivo!S83+Attivo!T83+Attivo!B83</f>
        <v>410823.77</v>
      </c>
    </row>
    <row r="82" spans="1:5">
      <c r="A82" s="3">
        <v>42579</v>
      </c>
      <c r="B82" s="4">
        <f>Attivo!C84+Attivo!D84+Attivo!E84</f>
        <v>2504659.56</v>
      </c>
      <c r="C82" s="4">
        <f>Attivo!I84+Attivo!J84+Attivo!K84+Attivo!F84+Attivo!G84+Attivo!H84</f>
        <v>808768.22999999986</v>
      </c>
      <c r="D82" s="4">
        <f>Attivo!L84+Attivo!M84+Attivo!N84+Attivo!O84+Attivo!P84+Attivo!Q84+Attivo!R84</f>
        <v>210086.03</v>
      </c>
      <c r="E82" s="4">
        <f>Attivo!S84+Attivo!T84+Attivo!B84</f>
        <v>419870.94</v>
      </c>
    </row>
    <row r="83" spans="1:5">
      <c r="A83" s="3">
        <v>42549</v>
      </c>
      <c r="B83" s="4">
        <f>Attivo!C85+Attivo!D85+Attivo!E85</f>
        <v>2537766.94</v>
      </c>
      <c r="C83" s="4">
        <f>Attivo!I85+Attivo!J85+Attivo!K85+Attivo!F85+Attivo!G85+Attivo!H85</f>
        <v>813183.39999999991</v>
      </c>
      <c r="D83" s="4">
        <f>Attivo!L85+Attivo!M85+Attivo!N85+Attivo!O85+Attivo!P85+Attivo!Q85+Attivo!R85</f>
        <v>210330.68</v>
      </c>
      <c r="E83" s="4">
        <f>Attivo!S85+Attivo!T85+Attivo!B85</f>
        <v>417197.24999999994</v>
      </c>
    </row>
    <row r="84" spans="1:5">
      <c r="A84" s="3">
        <v>42518</v>
      </c>
      <c r="B84" s="4">
        <f>Attivo!C86+Attivo!D86+Attivo!E86</f>
        <v>2518108.8600000003</v>
      </c>
      <c r="C84" s="4">
        <f>Attivo!I86+Attivo!J86+Attivo!K86+Attivo!F86+Attivo!G86+Attivo!H86</f>
        <v>795162.87000000011</v>
      </c>
      <c r="D84" s="4">
        <f>Attivo!L86+Attivo!M86+Attivo!N86+Attivo!O86+Attivo!P86+Attivo!Q86+Attivo!R86</f>
        <v>210975.52999999997</v>
      </c>
      <c r="E84" s="4">
        <f>Attivo!S86+Attivo!T86+Attivo!B86</f>
        <v>407077.62</v>
      </c>
    </row>
    <row r="85" spans="1:5">
      <c r="A85" s="3">
        <v>42488</v>
      </c>
      <c r="B85" s="4">
        <f>Attivo!C87+Attivo!D87+Attivo!E87</f>
        <v>2531037.9</v>
      </c>
      <c r="C85" s="4">
        <f>Attivo!I87+Attivo!J87+Attivo!K87+Attivo!F87+Attivo!G87+Attivo!H87</f>
        <v>791143.87000000011</v>
      </c>
      <c r="D85" s="4">
        <f>Attivo!L87+Attivo!M87+Attivo!N87+Attivo!O87+Attivo!P87+Attivo!Q87+Attivo!R87</f>
        <v>210560.11000000002</v>
      </c>
      <c r="E85" s="4">
        <f>Attivo!S87+Attivo!T87+Attivo!B87</f>
        <v>406573.86000000004</v>
      </c>
    </row>
    <row r="86" spans="1:5">
      <c r="A86" s="3">
        <v>42457</v>
      </c>
      <c r="B86" s="4">
        <f>Attivo!C88+Attivo!D88+Attivo!E88</f>
        <v>2543640.2600000002</v>
      </c>
      <c r="C86" s="4">
        <f>Attivo!I88+Attivo!J88+Attivo!K88+Attivo!F88+Attivo!G88+Attivo!H88</f>
        <v>789617.94000000006</v>
      </c>
      <c r="D86" s="4">
        <f>Attivo!L88+Attivo!M88+Attivo!N88+Attivo!O88+Attivo!P88+Attivo!Q88+Attivo!R88</f>
        <v>207840.61</v>
      </c>
      <c r="E86" s="4">
        <f>Attivo!S88+Attivo!T88+Attivo!B88</f>
        <v>412141.88</v>
      </c>
    </row>
    <row r="87" spans="1:5">
      <c r="A87" s="3">
        <v>42428</v>
      </c>
      <c r="B87" s="4">
        <f>Attivo!C89+Attivo!D89+Attivo!E89</f>
        <v>2544037.4699999997</v>
      </c>
      <c r="C87" s="4">
        <f>Attivo!I89+Attivo!J89+Attivo!K89+Attivo!F89+Attivo!G89+Attivo!H89</f>
        <v>790871.13000000012</v>
      </c>
      <c r="D87" s="4">
        <f>Attivo!L89+Attivo!M89+Attivo!N89+Attivo!O89+Attivo!P89+Attivo!Q89+Attivo!R89</f>
        <v>207790.88</v>
      </c>
      <c r="E87" s="4">
        <f>Attivo!S89+Attivo!T89+Attivo!B89</f>
        <v>434936.45999999996</v>
      </c>
    </row>
    <row r="88" spans="1:5">
      <c r="A88" s="3">
        <v>42397</v>
      </c>
      <c r="B88" s="4">
        <f>Attivo!C90+Attivo!D90+Attivo!E90</f>
        <v>2532629.0599999996</v>
      </c>
      <c r="C88" s="4">
        <f>Attivo!I90+Attivo!J90+Attivo!K90+Attivo!F90+Attivo!G90+Attivo!H90</f>
        <v>782343.22</v>
      </c>
      <c r="D88" s="4">
        <f>Attivo!L90+Attivo!M90+Attivo!N90+Attivo!O90+Attivo!P90+Attivo!Q90+Attivo!R90</f>
        <v>206776.68000000002</v>
      </c>
      <c r="E88" s="4">
        <f>Attivo!S90+Attivo!T90+Attivo!B90</f>
        <v>416163.2</v>
      </c>
    </row>
    <row r="89" spans="1:5">
      <c r="A89" s="3">
        <v>42366</v>
      </c>
      <c r="B89" s="4">
        <f>Attivo!C91+Attivo!D91+Attivo!E91</f>
        <v>2524749.8200000003</v>
      </c>
      <c r="C89" s="4">
        <f>Attivo!I91+Attivo!J91+Attivo!K91+Attivo!F91+Attivo!G91+Attivo!H91</f>
        <v>782753.33</v>
      </c>
      <c r="D89" s="4">
        <f>Attivo!L91+Attivo!M91+Attivo!N91+Attivo!O91+Attivo!P91+Attivo!Q91+Attivo!R91</f>
        <v>207991.77</v>
      </c>
      <c r="E89" s="4">
        <f>Attivo!S91+Attivo!T91+Attivo!B91</f>
        <v>397975.83999999997</v>
      </c>
    </row>
    <row r="90" spans="1:5">
      <c r="A90" s="3">
        <v>42336</v>
      </c>
      <c r="B90" s="4">
        <f>Attivo!C92+Attivo!D92+Attivo!E92</f>
        <v>2531727.59</v>
      </c>
      <c r="C90" s="4">
        <f>Attivo!I92+Attivo!J92+Attivo!K92+Attivo!F92+Attivo!G92+Attivo!H92</f>
        <v>798099.98</v>
      </c>
      <c r="D90" s="4">
        <f>Attivo!L92+Attivo!M92+Attivo!N92+Attivo!O92+Attivo!P92+Attivo!Q92+Attivo!R92</f>
        <v>209454.47999999998</v>
      </c>
      <c r="E90" s="4">
        <f>Attivo!S92+Attivo!T92+Attivo!B92</f>
        <v>423219.94</v>
      </c>
    </row>
    <row r="91" spans="1:5">
      <c r="A91" s="3">
        <v>42305</v>
      </c>
      <c r="B91" s="4">
        <f>Attivo!C93+Attivo!D93+Attivo!E93</f>
        <v>2516034.6399999997</v>
      </c>
      <c r="C91" s="4">
        <f>Attivo!I93+Attivo!J93+Attivo!K93+Attivo!F93+Attivo!G93+Attivo!H93</f>
        <v>796965.48999999987</v>
      </c>
      <c r="D91" s="4">
        <f>Attivo!L93+Attivo!M93+Attivo!N93+Attivo!O93+Attivo!P93+Attivo!Q93+Attivo!R93</f>
        <v>210030.77</v>
      </c>
      <c r="E91" s="4">
        <f>Attivo!S93+Attivo!T93+Attivo!B93</f>
        <v>412238.7</v>
      </c>
    </row>
    <row r="92" spans="1:5">
      <c r="A92" s="3">
        <v>42275</v>
      </c>
      <c r="B92" s="4">
        <f>Attivo!C94+Attivo!D94+Attivo!E94</f>
        <v>2519436.79</v>
      </c>
      <c r="C92" s="4">
        <f>Attivo!I94+Attivo!J94+Attivo!K94+Attivo!F94+Attivo!G94+Attivo!H94</f>
        <v>803266.05</v>
      </c>
      <c r="D92" s="4">
        <f>Attivo!L94+Attivo!M94+Attivo!N94+Attivo!O94+Attivo!P94+Attivo!Q94+Attivo!R94</f>
        <v>209817.60000000001</v>
      </c>
      <c r="E92" s="4">
        <f>Attivo!S94+Attivo!T94+Attivo!B94</f>
        <v>406606.98</v>
      </c>
    </row>
    <row r="93" spans="1:5">
      <c r="A93" s="3">
        <v>42244</v>
      </c>
      <c r="B93" s="4">
        <f>Attivo!C95+Attivo!D95+Attivo!E95</f>
        <v>2515337.5199999996</v>
      </c>
      <c r="C93" s="4">
        <f>Attivo!I95+Attivo!J95+Attivo!K95+Attivo!F95+Attivo!G95+Attivo!H95</f>
        <v>810036.60000000009</v>
      </c>
      <c r="D93" s="4">
        <f>Attivo!L95+Attivo!M95+Attivo!N95+Attivo!O95+Attivo!P95+Attivo!Q95+Attivo!R95</f>
        <v>208080.97999999998</v>
      </c>
      <c r="E93" s="4">
        <f>Attivo!S95+Attivo!T95+Attivo!B95</f>
        <v>411575.27</v>
      </c>
    </row>
    <row r="94" spans="1:5">
      <c r="A94" s="3">
        <v>42213</v>
      </c>
      <c r="B94" s="4">
        <f>Attivo!C96+Attivo!D96+Attivo!E96</f>
        <v>2524305.42</v>
      </c>
      <c r="C94" s="4">
        <f>Attivo!I96+Attivo!J96+Attivo!K96+Attivo!F96+Attivo!G96+Attivo!H96</f>
        <v>815368.97999999986</v>
      </c>
      <c r="D94" s="4">
        <f>Attivo!L96+Attivo!M96+Attivo!N96+Attivo!O96+Attivo!P96+Attivo!Q96+Attivo!R96</f>
        <v>208681.46</v>
      </c>
      <c r="E94" s="4">
        <f>Attivo!S96+Attivo!T96+Attivo!B96</f>
        <v>418383.04</v>
      </c>
    </row>
    <row r="95" spans="1:5">
      <c r="A95" s="3">
        <v>42183</v>
      </c>
      <c r="B95" s="4">
        <f>Attivo!C97+Attivo!D97+Attivo!E97</f>
        <v>2537719.94</v>
      </c>
      <c r="C95" s="4">
        <f>Attivo!I97+Attivo!J97+Attivo!K97+Attivo!F97+Attivo!G97+Attivo!H97</f>
        <v>813944.66000000015</v>
      </c>
      <c r="D95" s="4">
        <f>Attivo!L97+Attivo!M97+Attivo!N97+Attivo!O97+Attivo!P97+Attivo!Q97+Attivo!R97</f>
        <v>207388.34</v>
      </c>
      <c r="E95" s="4">
        <f>Attivo!S97+Attivo!T97+Attivo!B97</f>
        <v>418628.67000000004</v>
      </c>
    </row>
    <row r="96" spans="1:5">
      <c r="A96" s="3">
        <v>42152</v>
      </c>
      <c r="B96" s="4">
        <f>Attivo!C98+Attivo!D98+Attivo!E98</f>
        <v>2515740.94</v>
      </c>
      <c r="C96" s="4">
        <f>Attivo!I98+Attivo!J98+Attivo!K98+Attivo!F98+Attivo!G98+Attivo!H98</f>
        <v>836090.4</v>
      </c>
      <c r="D96" s="4">
        <f>Attivo!L98+Attivo!M98+Attivo!N98+Attivo!O98+Attivo!P98+Attivo!Q98+Attivo!R98</f>
        <v>207268.99</v>
      </c>
      <c r="E96" s="4">
        <f>Attivo!S98+Attivo!T98+Attivo!B98</f>
        <v>456586.38</v>
      </c>
    </row>
    <row r="97" spans="1:5">
      <c r="A97" s="3">
        <v>42122</v>
      </c>
      <c r="B97" s="4">
        <f>Attivo!C99+Attivo!D99+Attivo!E99</f>
        <v>2521821.5199999996</v>
      </c>
      <c r="C97" s="4">
        <f>Attivo!I99+Attivo!J99+Attivo!K99+Attivo!F99+Attivo!G99+Attivo!H99</f>
        <v>836262.17999999993</v>
      </c>
      <c r="D97" s="4">
        <f>Attivo!L99+Attivo!M99+Attivo!N99+Attivo!O99+Attivo!P99+Attivo!Q99+Attivo!R99</f>
        <v>206971.35</v>
      </c>
      <c r="E97" s="4">
        <f>Attivo!S99+Attivo!T99+Attivo!B99</f>
        <v>466595.85</v>
      </c>
    </row>
    <row r="98" spans="1:5">
      <c r="A98" s="3">
        <v>42091</v>
      </c>
      <c r="B98" s="4">
        <f>Attivo!C100+Attivo!D100+Attivo!E100</f>
        <v>2535972.6399999997</v>
      </c>
      <c r="C98" s="4">
        <f>Attivo!I100+Attivo!J100+Attivo!K100+Attivo!F100+Attivo!G100+Attivo!H100</f>
        <v>839191.22</v>
      </c>
      <c r="D98" s="4">
        <f>Attivo!L100+Attivo!M100+Attivo!N100+Attivo!O100+Attivo!P100+Attivo!Q100+Attivo!R100</f>
        <v>207362.66000000003</v>
      </c>
      <c r="E98" s="4">
        <f>Attivo!S100+Attivo!T100+Attivo!B100</f>
        <v>492272.4</v>
      </c>
    </row>
    <row r="99" spans="1:5">
      <c r="A99" s="3">
        <v>42063</v>
      </c>
      <c r="B99" s="4">
        <f>Attivo!C101+Attivo!D101+Attivo!E101</f>
        <v>2503842.0500000003</v>
      </c>
      <c r="C99" s="4">
        <f>Attivo!I101+Attivo!J101+Attivo!K101+Attivo!F101+Attivo!G101+Attivo!H101</f>
        <v>850407.21000000008</v>
      </c>
      <c r="D99" s="4">
        <f>Attivo!L101+Attivo!M101+Attivo!N101+Attivo!O101+Attivo!P101+Attivo!Q101+Attivo!R101</f>
        <v>208157.94</v>
      </c>
      <c r="E99" s="4">
        <f>Attivo!S101+Attivo!T101+Attivo!B101</f>
        <v>485897.67</v>
      </c>
    </row>
    <row r="100" spans="1:5">
      <c r="A100" s="3">
        <v>42032</v>
      </c>
      <c r="B100" s="4">
        <f>Attivo!C102+Attivo!D102+Attivo!E102</f>
        <v>2516402.71</v>
      </c>
      <c r="C100" s="4">
        <f>Attivo!I102+Attivo!J102+Attivo!K102+Attivo!F102+Attivo!G102+Attivo!H102</f>
        <v>846984.37</v>
      </c>
      <c r="D100" s="4">
        <f>Attivo!L102+Attivo!M102+Attivo!N102+Attivo!O102+Attivo!P102+Attivo!Q102+Attivo!R102</f>
        <v>206909.21999999997</v>
      </c>
      <c r="E100" s="4">
        <f>Attivo!S102+Attivo!T102+Attivo!B102</f>
        <v>498454.51</v>
      </c>
    </row>
    <row r="101" spans="1:5">
      <c r="A101" s="3">
        <v>42001</v>
      </c>
      <c r="B101" s="4">
        <f>Attivo!C103+Attivo!D103+Attivo!E103</f>
        <v>2506302.16</v>
      </c>
      <c r="C101" s="4">
        <f>Attivo!I103+Attivo!J103+Attivo!K103+Attivo!F103+Attivo!G103+Attivo!H103</f>
        <v>837965.83000000007</v>
      </c>
      <c r="D101" s="4">
        <f>Attivo!L103+Attivo!M103+Attivo!N103+Attivo!O103+Attivo!P103+Attivo!Q103+Attivo!R103</f>
        <v>208792.07</v>
      </c>
      <c r="E101" s="4">
        <f>Attivo!S103+Attivo!T103+Attivo!B103</f>
        <v>461287.76</v>
      </c>
    </row>
    <row r="102" spans="1:5">
      <c r="A102" s="3">
        <v>41971</v>
      </c>
      <c r="B102" s="4">
        <f>Attivo!C104+Attivo!D104+Attivo!E104</f>
        <v>2493417.3499999996</v>
      </c>
      <c r="C102" s="4">
        <f>Attivo!I104+Attivo!J104+Attivo!K104+Attivo!F104+Attivo!G104+Attivo!H104</f>
        <v>854719.4600000002</v>
      </c>
      <c r="D102" s="4">
        <f>Attivo!L104+Attivo!M104+Attivo!N104+Attivo!O104+Attivo!P104+Attivo!Q104+Attivo!R104</f>
        <v>208429.63</v>
      </c>
      <c r="E102" s="4">
        <f>Attivo!S104+Attivo!T104+Attivo!B104</f>
        <v>459355.71</v>
      </c>
    </row>
    <row r="103" spans="1:5">
      <c r="A103" s="3">
        <v>41940</v>
      </c>
      <c r="B103" s="4">
        <f>Attivo!C105+Attivo!D105+Attivo!E105</f>
        <v>2468202.8099999996</v>
      </c>
      <c r="C103" s="4">
        <f>Attivo!I105+Attivo!J105+Attivo!K105+Attivo!F105+Attivo!G105+Attivo!H105</f>
        <v>862393.39</v>
      </c>
      <c r="D103" s="4">
        <f>Attivo!L105+Attivo!M105+Attivo!N105+Attivo!O105+Attivo!P105+Attivo!Q105+Attivo!R105</f>
        <v>212089.21000000002</v>
      </c>
      <c r="E103" s="4">
        <f>Attivo!S105+Attivo!T105+Attivo!B105</f>
        <v>442453.77999999997</v>
      </c>
    </row>
    <row r="104" spans="1:5">
      <c r="A104" s="3">
        <v>41910</v>
      </c>
      <c r="B104" s="4">
        <f>Attivo!C106+Attivo!D106+Attivo!E106</f>
        <v>2488277.35</v>
      </c>
      <c r="C104" s="4">
        <f>Attivo!I106+Attivo!J106+Attivo!K106+Attivo!F106+Attivo!G106+Attivo!H106</f>
        <v>864162.6</v>
      </c>
      <c r="D104" s="4">
        <f>Attivo!L106+Attivo!M106+Attivo!N106+Attivo!O106+Attivo!P106+Attivo!Q106+Attivo!R106</f>
        <v>212002.44999999998</v>
      </c>
      <c r="E104" s="4">
        <f>Attivo!S106+Attivo!T106+Attivo!B106</f>
        <v>444111.76</v>
      </c>
    </row>
    <row r="105" spans="1:5">
      <c r="A105" s="3">
        <v>41879</v>
      </c>
      <c r="B105" s="4">
        <f>Attivo!C107+Attivo!D107+Attivo!E107</f>
        <v>2465840.29</v>
      </c>
      <c r="C105" s="4">
        <f>Attivo!I107+Attivo!J107+Attivo!K107+Attivo!F107+Attivo!G107+Attivo!H107</f>
        <v>866368.37</v>
      </c>
      <c r="D105" s="4">
        <f>Attivo!L107+Attivo!M107+Attivo!N107+Attivo!O107+Attivo!P107+Attivo!Q107+Attivo!R107</f>
        <v>211391.72</v>
      </c>
      <c r="E105" s="4">
        <f>Attivo!S107+Attivo!T107+Attivo!B107</f>
        <v>448773.49</v>
      </c>
    </row>
    <row r="106" spans="1:5">
      <c r="A106" s="3">
        <v>41848</v>
      </c>
      <c r="B106" s="4">
        <f>Attivo!C108+Attivo!D108+Attivo!E108</f>
        <v>2487534.42</v>
      </c>
      <c r="C106" s="4">
        <f>Attivo!I108+Attivo!J108+Attivo!K108+Attivo!F108+Attivo!G108+Attivo!H108</f>
        <v>869975.39</v>
      </c>
      <c r="D106" s="4">
        <f>Attivo!L108+Attivo!M108+Attivo!N108+Attivo!O108+Attivo!P108+Attivo!Q108+Attivo!R108</f>
        <v>210850.88999999998</v>
      </c>
      <c r="E106" s="4">
        <f>Attivo!S108+Attivo!T108+Attivo!B108</f>
        <v>431534.33</v>
      </c>
    </row>
    <row r="107" spans="1:5">
      <c r="A107" s="3">
        <v>41818</v>
      </c>
      <c r="B107" s="4">
        <f>Attivo!C109+Attivo!D109+Attivo!E109</f>
        <v>2490936.5900000003</v>
      </c>
      <c r="C107" s="4">
        <f>Attivo!I109+Attivo!J109+Attivo!K109+Attivo!F109+Attivo!G109+Attivo!H109</f>
        <v>884191.0199999999</v>
      </c>
      <c r="D107" s="4">
        <f>Attivo!L109+Attivo!M109+Attivo!N109+Attivo!O109+Attivo!P109+Attivo!Q109+Attivo!R109</f>
        <v>211045.63</v>
      </c>
      <c r="E107" s="4">
        <f>Attivo!S109+Attivo!T109+Attivo!B109</f>
        <v>434756.75</v>
      </c>
    </row>
    <row r="108" spans="1:5">
      <c r="A108" s="3">
        <v>41787</v>
      </c>
      <c r="B108" s="4">
        <f>Attivo!C110+Attivo!D110+Attivo!E110</f>
        <v>2458251.4899999998</v>
      </c>
      <c r="C108" s="4">
        <f>Attivo!I110+Attivo!J110+Attivo!K110+Attivo!F110+Attivo!G110+Attivo!H110</f>
        <v>884748.76</v>
      </c>
      <c r="D108" s="4">
        <f>Attivo!L110+Attivo!M110+Attivo!N110+Attivo!O110+Attivo!P110+Attivo!Q110+Attivo!R110</f>
        <v>211912.46000000002</v>
      </c>
      <c r="E108" s="4">
        <f>Attivo!S110+Attivo!T110+Attivo!B110</f>
        <v>440585.38</v>
      </c>
    </row>
    <row r="109" spans="1:5">
      <c r="A109" s="3">
        <v>41757</v>
      </c>
      <c r="B109" s="4">
        <f>Attivo!C111+Attivo!D111+Attivo!E111</f>
        <v>2468184.2799999998</v>
      </c>
      <c r="C109" s="4">
        <f>Attivo!I111+Attivo!J111+Attivo!K111+Attivo!F111+Attivo!G111+Attivo!H111</f>
        <v>899971.32000000007</v>
      </c>
      <c r="D109" s="4">
        <f>Attivo!L111+Attivo!M111+Attivo!N111+Attivo!O111+Attivo!P111+Attivo!Q111+Attivo!R111</f>
        <v>212044.72999999998</v>
      </c>
      <c r="E109" s="4">
        <f>Attivo!S111+Attivo!T111+Attivo!B111</f>
        <v>447610.61</v>
      </c>
    </row>
    <row r="110" spans="1:5">
      <c r="A110" s="3">
        <v>41726</v>
      </c>
      <c r="B110" s="4">
        <f>Attivo!C112+Attivo!D112+Attivo!E112</f>
        <v>2503717.98</v>
      </c>
      <c r="C110" s="4">
        <f>Attivo!I112+Attivo!J112+Attivo!K112+Attivo!F112+Attivo!G112+Attivo!H112</f>
        <v>891634.44000000006</v>
      </c>
      <c r="D110" s="4">
        <f>Attivo!L112+Attivo!M112+Attivo!N112+Attivo!O112+Attivo!P112+Attivo!Q112+Attivo!R112</f>
        <v>212178.12000000002</v>
      </c>
      <c r="E110" s="4">
        <f>Attivo!S112+Attivo!T112+Attivo!B112</f>
        <v>447984.26</v>
      </c>
    </row>
    <row r="111" spans="1:5">
      <c r="A111" s="3">
        <v>41698</v>
      </c>
      <c r="B111" s="4">
        <f>Attivo!C113+Attivo!D113+Attivo!E113</f>
        <v>2488398.36</v>
      </c>
      <c r="C111" s="4">
        <f>Attivo!I113+Attivo!J113+Attivo!K113+Attivo!F113+Attivo!G113+Attivo!H113</f>
        <v>913871.33</v>
      </c>
      <c r="D111" s="4">
        <f>Attivo!L113+Attivo!M113+Attivo!N113+Attivo!O113+Attivo!P113+Attivo!Q113+Attivo!R113</f>
        <v>212895.4</v>
      </c>
      <c r="E111" s="4">
        <f>Attivo!S113+Attivo!T113+Attivo!B113</f>
        <v>439033.67000000004</v>
      </c>
    </row>
    <row r="112" spans="1:5">
      <c r="A112" s="3">
        <v>41667</v>
      </c>
      <c r="B112" s="4">
        <f>Attivo!C114+Attivo!D114+Attivo!E114</f>
        <v>2494135.12</v>
      </c>
      <c r="C112" s="4">
        <f>Attivo!I114+Attivo!J114+Attivo!K114+Attivo!F114+Attivo!G114+Attivo!H114</f>
        <v>921469.45000000007</v>
      </c>
      <c r="D112" s="4">
        <f>Attivo!L114+Attivo!M114+Attivo!N114+Attivo!O114+Attivo!P114+Attivo!Q114+Attivo!R114</f>
        <v>211147.44</v>
      </c>
      <c r="E112" s="4">
        <f>Attivo!S114+Attivo!T114+Attivo!B114</f>
        <v>437757.32</v>
      </c>
    </row>
    <row r="113" spans="1:5">
      <c r="A113" s="3">
        <v>41636</v>
      </c>
      <c r="B113" s="4">
        <f>Attivo!C115+Attivo!D115+Attivo!E115</f>
        <v>2471516.0100000002</v>
      </c>
      <c r="C113" s="4">
        <f>Attivo!I115+Attivo!J115+Attivo!K115+Attivo!F115+Attivo!G115+Attivo!H115</f>
        <v>933800.91999999993</v>
      </c>
      <c r="D113" s="4">
        <f>Attivo!L115+Attivo!M115+Attivo!N115+Attivo!O115+Attivo!P115+Attivo!Q115+Attivo!R115</f>
        <v>212233.28000000003</v>
      </c>
      <c r="E113" s="4">
        <f>Attivo!S115+Attivo!T115+Attivo!B115</f>
        <v>420756.42</v>
      </c>
    </row>
    <row r="114" spans="1:5">
      <c r="A114" s="3">
        <v>41606</v>
      </c>
      <c r="B114" s="4">
        <f>Attivo!C116+Attivo!D116+Attivo!E116</f>
        <v>2493839.33</v>
      </c>
      <c r="C114" s="4">
        <f>Attivo!I116+Attivo!J116+Attivo!K116+Attivo!F116+Attivo!G116+Attivo!H116</f>
        <v>957026.99000000011</v>
      </c>
      <c r="D114" s="4">
        <f>Attivo!L116+Attivo!M116+Attivo!N116+Attivo!O116+Attivo!P116+Attivo!Q116+Attivo!R116</f>
        <v>211010.29</v>
      </c>
      <c r="E114" s="4">
        <f>Attivo!S116+Attivo!T116+Attivo!B116</f>
        <v>436488.54000000004</v>
      </c>
    </row>
    <row r="115" spans="1:5">
      <c r="A115" s="3">
        <v>41575</v>
      </c>
      <c r="B115" s="4">
        <f>Attivo!C117+Attivo!D117+Attivo!E117</f>
        <v>2503330.23</v>
      </c>
      <c r="C115" s="4">
        <f>Attivo!I117+Attivo!J117+Attivo!K117+Attivo!F117+Attivo!G117+Attivo!H117</f>
        <v>959990.52</v>
      </c>
      <c r="D115" s="4">
        <f>Attivo!L117+Attivo!M117+Attivo!N117+Attivo!O117+Attivo!P117+Attivo!Q117+Attivo!R117</f>
        <v>211065.69</v>
      </c>
      <c r="E115" s="4">
        <f>Attivo!S117+Attivo!T117+Attivo!B117</f>
        <v>440609.05</v>
      </c>
    </row>
    <row r="116" spans="1:5">
      <c r="A116" s="3">
        <v>41545</v>
      </c>
      <c r="B116" s="4">
        <f>Attivo!C118+Attivo!D118+Attivo!E118</f>
        <v>2509438.11</v>
      </c>
      <c r="C116" s="4">
        <f>Attivo!I118+Attivo!J118+Attivo!K118+Attivo!F118+Attivo!G118+Attivo!H118</f>
        <v>960158.01</v>
      </c>
      <c r="D116" s="4">
        <f>Attivo!L118+Attivo!M118+Attivo!N118+Attivo!O118+Attivo!P118+Attivo!Q118+Attivo!R118</f>
        <v>213932.61000000002</v>
      </c>
      <c r="E116" s="4">
        <f>Attivo!S118+Attivo!T118+Attivo!B118</f>
        <v>432980.29</v>
      </c>
    </row>
    <row r="117" spans="1:5">
      <c r="A117" s="3">
        <v>41514</v>
      </c>
      <c r="B117" s="4">
        <f>Attivo!C119+Attivo!D119+Attivo!E119</f>
        <v>2493948.6599999997</v>
      </c>
      <c r="C117" s="4">
        <f>Attivo!I119+Attivo!J119+Attivo!K119+Attivo!F119+Attivo!G119+Attivo!H119</f>
        <v>967890.60000000009</v>
      </c>
      <c r="D117" s="4">
        <f>Attivo!L119+Attivo!M119+Attivo!N119+Attivo!O119+Attivo!P119+Attivo!Q119+Attivo!R119</f>
        <v>213345.25</v>
      </c>
      <c r="E117" s="4">
        <f>Attivo!S119+Attivo!T119+Attivo!B119</f>
        <v>431314.64</v>
      </c>
    </row>
    <row r="118" spans="1:5">
      <c r="A118" s="3">
        <v>41483</v>
      </c>
      <c r="B118" s="4">
        <f>Attivo!C120+Attivo!D120+Attivo!E120</f>
        <v>2505111.4499999997</v>
      </c>
      <c r="C118" s="4">
        <f>Attivo!I120+Attivo!J120+Attivo!K120+Attivo!F120+Attivo!G120+Attivo!H120</f>
        <v>970094.29</v>
      </c>
      <c r="D118" s="4">
        <f>Attivo!L120+Attivo!M120+Attivo!N120+Attivo!O120+Attivo!P120+Attivo!Q120+Attivo!R120</f>
        <v>213433.94</v>
      </c>
      <c r="E118" s="4">
        <f>Attivo!S120+Attivo!T120+Attivo!B120</f>
        <v>441629.18</v>
      </c>
    </row>
    <row r="119" spans="1:5">
      <c r="A119" s="3">
        <v>41453</v>
      </c>
      <c r="B119" s="4">
        <f>Attivo!C121+Attivo!D121+Attivo!E121</f>
        <v>2525925.11</v>
      </c>
      <c r="C119" s="4">
        <f>Attivo!I121+Attivo!J121+Attivo!K121+Attivo!F121+Attivo!G121+Attivo!H121</f>
        <v>974804.33</v>
      </c>
      <c r="D119" s="4">
        <f>Attivo!L121+Attivo!M121+Attivo!N121+Attivo!O121+Attivo!P121+Attivo!Q121+Attivo!R121</f>
        <v>212953.61000000002</v>
      </c>
      <c r="E119" s="4">
        <f>Attivo!S121+Attivo!T121+Attivo!B121</f>
        <v>447392.69</v>
      </c>
    </row>
    <row r="120" spans="1:5">
      <c r="A120" s="3">
        <v>41422</v>
      </c>
      <c r="B120" s="4">
        <f>Attivo!C122+Attivo!D122+Attivo!E122</f>
        <v>2549685.36</v>
      </c>
      <c r="C120" s="4">
        <f>Attivo!I122+Attivo!J122+Attivo!K122+Attivo!F122+Attivo!G122+Attivo!H122</f>
        <v>962833.18999999983</v>
      </c>
      <c r="D120" s="4">
        <f>Attivo!L122+Attivo!M122+Attivo!N122+Attivo!O122+Attivo!P122+Attivo!Q122+Attivo!R122</f>
        <v>213788.43</v>
      </c>
      <c r="E120" s="4">
        <f>Attivo!S122+Attivo!T122+Attivo!B122</f>
        <v>469975.70999999996</v>
      </c>
    </row>
    <row r="121" spans="1:5">
      <c r="A121" s="3">
        <v>41392</v>
      </c>
      <c r="B121" s="4">
        <f>Attivo!C123+Attivo!D123+Attivo!E123</f>
        <v>2577150.8199999998</v>
      </c>
      <c r="C121" s="4">
        <f>Attivo!I123+Attivo!J123+Attivo!K123+Attivo!F123+Attivo!G123+Attivo!H123</f>
        <v>941413.99</v>
      </c>
      <c r="D121" s="4">
        <f>Attivo!L123+Attivo!M123+Attivo!N123+Attivo!O123+Attivo!P123+Attivo!Q123+Attivo!R123</f>
        <v>214975.22999999998</v>
      </c>
      <c r="E121" s="4">
        <f>Attivo!S123+Attivo!T123+Attivo!B123</f>
        <v>492213.11</v>
      </c>
    </row>
    <row r="122" spans="1:5">
      <c r="A122" s="3">
        <v>41361</v>
      </c>
      <c r="B122" s="4">
        <f>Attivo!C124+Attivo!D124+Attivo!E124</f>
        <v>2572391.0100000002</v>
      </c>
      <c r="C122" s="4">
        <f>Attivo!I124+Attivo!J124+Attivo!K124+Attivo!F124+Attivo!G124+Attivo!H124</f>
        <v>932108.3600000001</v>
      </c>
      <c r="D122" s="4">
        <f>Attivo!L124+Attivo!M124+Attivo!N124+Attivo!O124+Attivo!P124+Attivo!Q124+Attivo!R124</f>
        <v>215120.51999999996</v>
      </c>
      <c r="E122" s="4">
        <f>Attivo!S124+Attivo!T124+Attivo!B124</f>
        <v>493342.91</v>
      </c>
    </row>
    <row r="123" spans="1:5">
      <c r="A123" s="3">
        <v>41333</v>
      </c>
      <c r="B123" s="4">
        <f>Attivo!C125+Attivo!D125+Attivo!E125</f>
        <v>2588010.9500000002</v>
      </c>
      <c r="C123" s="4">
        <f>Attivo!I125+Attivo!J125+Attivo!K125+Attivo!F125+Attivo!G125+Attivo!H125</f>
        <v>922859.62</v>
      </c>
      <c r="D123" s="4">
        <f>Attivo!L125+Attivo!M125+Attivo!N125+Attivo!O125+Attivo!P125+Attivo!Q125+Attivo!R125</f>
        <v>213654.91</v>
      </c>
      <c r="E123" s="4">
        <f>Attivo!S125+Attivo!T125+Attivo!B125</f>
        <v>489191.32999999996</v>
      </c>
    </row>
    <row r="124" spans="1:5">
      <c r="A124" s="3">
        <v>41302</v>
      </c>
      <c r="B124" s="4">
        <f>Attivo!C126+Attivo!D126+Attivo!E126</f>
        <v>2570812.2799999998</v>
      </c>
      <c r="C124" s="4">
        <f>Attivo!I126+Attivo!J126+Attivo!K126+Attivo!F126+Attivo!G126+Attivo!H126</f>
        <v>926216.84000000008</v>
      </c>
      <c r="D124" s="4">
        <f>Attivo!L126+Attivo!M126+Attivo!N126+Attivo!O126+Attivo!P126+Attivo!Q126+Attivo!R126</f>
        <v>215733.74000000002</v>
      </c>
      <c r="E124" s="4">
        <f>Attivo!S126+Attivo!T126+Attivo!B126</f>
        <v>470302.31999999995</v>
      </c>
    </row>
    <row r="125" spans="1:5">
      <c r="A125" s="3">
        <v>41271</v>
      </c>
      <c r="B125" s="4">
        <f>Attivo!C127+Attivo!D127+Attivo!E127</f>
        <v>2577327.83</v>
      </c>
      <c r="C125" s="4">
        <f>Attivo!I127+Attivo!J127+Attivo!K127+Attivo!F127+Attivo!G127+Attivo!H127</f>
        <v>917987.27</v>
      </c>
      <c r="D125" s="4">
        <f>Attivo!L127+Attivo!M127+Attivo!N127+Attivo!O127+Attivo!P127+Attivo!Q127+Attivo!R127</f>
        <v>212539.14000000004</v>
      </c>
      <c r="E125" s="4">
        <f>Attivo!S127+Attivo!T127+Attivo!B127</f>
        <v>503160.49</v>
      </c>
    </row>
    <row r="126" spans="1:5">
      <c r="A126" s="3">
        <v>41241</v>
      </c>
      <c r="B126" s="4">
        <f>Attivo!C128+Attivo!D128+Attivo!E128</f>
        <v>2602969.79</v>
      </c>
      <c r="C126" s="4">
        <f>Attivo!I128+Attivo!J128+Attivo!K128+Attivo!F128+Attivo!G128+Attivo!H128</f>
        <v>924345.7</v>
      </c>
      <c r="D126" s="4">
        <f>Attivo!L128+Attivo!M128+Attivo!N128+Attivo!O128+Attivo!P128+Attivo!Q128+Attivo!R128</f>
        <v>217568.15</v>
      </c>
      <c r="E126" s="4">
        <f>Attivo!S128+Attivo!T128+Attivo!B128</f>
        <v>502160.87</v>
      </c>
    </row>
    <row r="127" spans="1:5">
      <c r="A127" s="3">
        <v>41210</v>
      </c>
      <c r="B127" s="4">
        <f>Attivo!C129+Attivo!D129+Attivo!E129</f>
        <v>2596850.9699999997</v>
      </c>
      <c r="C127" s="4">
        <f>Attivo!I129+Attivo!J129+Attivo!K129+Attivo!F129+Attivo!G129+Attivo!H129</f>
        <v>921335.61</v>
      </c>
      <c r="D127" s="4">
        <f>Attivo!L129+Attivo!M129+Attivo!N129+Attivo!O129+Attivo!P129+Attivo!Q129+Attivo!R129</f>
        <v>211706.54</v>
      </c>
      <c r="E127" s="4">
        <f>Attivo!S129+Attivo!T129+Attivo!B129</f>
        <v>494491.08</v>
      </c>
    </row>
    <row r="128" spans="1:5">
      <c r="A128" s="3">
        <v>41180</v>
      </c>
      <c r="B128" s="4">
        <f>Attivo!C130+Attivo!D130+Attivo!E130</f>
        <v>2620543.11</v>
      </c>
      <c r="C128" s="4">
        <f>Attivo!I130+Attivo!J130+Attivo!K130+Attivo!F130+Attivo!G130+Attivo!H130</f>
        <v>906554.77999999991</v>
      </c>
      <c r="D128" s="4">
        <f>Attivo!L130+Attivo!M130+Attivo!N130+Attivo!O130+Attivo!P130+Attivo!Q130+Attivo!R130</f>
        <v>211152.19999999998</v>
      </c>
      <c r="E128" s="4">
        <f>Attivo!S130+Attivo!T130+Attivo!B130</f>
        <v>501209.77999999997</v>
      </c>
    </row>
    <row r="129" spans="1:5">
      <c r="A129" s="3">
        <v>41149</v>
      </c>
      <c r="B129" s="4">
        <f>Attivo!C131+Attivo!D131+Attivo!E131</f>
        <v>2589396.9</v>
      </c>
      <c r="C129" s="4">
        <f>Attivo!I131+Attivo!J131+Attivo!K131+Attivo!F131+Attivo!G131+Attivo!H131</f>
        <v>897694.14000000013</v>
      </c>
      <c r="D129" s="4">
        <f>Attivo!L131+Attivo!M131+Attivo!N131+Attivo!O131+Attivo!P131+Attivo!Q131+Attivo!R131</f>
        <v>210811.09000000003</v>
      </c>
      <c r="E129" s="4">
        <f>Attivo!S131+Attivo!T131+Attivo!B131</f>
        <v>526903.01</v>
      </c>
    </row>
    <row r="130" spans="1:5">
      <c r="A130" s="3">
        <v>41118</v>
      </c>
      <c r="B130" s="4">
        <f>Attivo!C132+Attivo!D132+Attivo!E132</f>
        <v>2604780.9299999997</v>
      </c>
      <c r="C130" s="4">
        <f>Attivo!I132+Attivo!J132+Attivo!K132+Attivo!F132+Attivo!G132+Attivo!H132</f>
        <v>891741.75999999989</v>
      </c>
      <c r="D130" s="4">
        <f>Attivo!L132+Attivo!M132+Attivo!N132+Attivo!O132+Attivo!P132+Attivo!Q132+Attivo!R132</f>
        <v>210490.7</v>
      </c>
      <c r="E130" s="4">
        <f>Attivo!S132+Attivo!T132+Attivo!B132</f>
        <v>534416.39</v>
      </c>
    </row>
    <row r="131" spans="1:5">
      <c r="A131" s="3">
        <v>41088</v>
      </c>
      <c r="B131" s="4">
        <f>Attivo!C133+Attivo!D133+Attivo!E133</f>
        <v>2599239.44</v>
      </c>
      <c r="C131" s="4">
        <f>Attivo!I133+Attivo!J133+Attivo!K133+Attivo!F133+Attivo!G133+Attivo!H133</f>
        <v>879170.3899999999</v>
      </c>
      <c r="D131" s="4">
        <f>Attivo!L133+Attivo!M133+Attivo!N133+Attivo!O133+Attivo!P133+Attivo!Q133+Attivo!R133</f>
        <v>211808.24</v>
      </c>
      <c r="E131" s="4">
        <f>Attivo!S133+Attivo!T133+Attivo!B133</f>
        <v>505197.63000000006</v>
      </c>
    </row>
    <row r="132" spans="1:5">
      <c r="A132" s="3">
        <v>41057</v>
      </c>
      <c r="B132" s="4">
        <f>Attivo!C134+Attivo!D134+Attivo!E134</f>
        <v>2587073.54</v>
      </c>
      <c r="C132" s="4">
        <f>Attivo!I134+Attivo!J134+Attivo!K134+Attivo!F134+Attivo!G134+Attivo!H134</f>
        <v>854219.19000000006</v>
      </c>
      <c r="D132" s="4">
        <f>Attivo!L134+Attivo!M134+Attivo!N134+Attivo!O134+Attivo!P134+Attivo!Q134+Attivo!R134</f>
        <v>213583.49000000002</v>
      </c>
      <c r="E132" s="4">
        <f>Attivo!S134+Attivo!T134+Attivo!B134</f>
        <v>547739.7300000001</v>
      </c>
    </row>
    <row r="133" spans="1:5">
      <c r="A133" s="3">
        <v>41027</v>
      </c>
      <c r="B133" s="4">
        <f>Attivo!C135+Attivo!D135+Attivo!E135</f>
        <v>2584333.5499999998</v>
      </c>
      <c r="C133" s="4">
        <f>Attivo!I135+Attivo!J135+Attivo!K135+Attivo!F135+Attivo!G135+Attivo!H135</f>
        <v>854396.8899999999</v>
      </c>
      <c r="D133" s="4">
        <f>Attivo!L135+Attivo!M135+Attivo!N135+Attivo!O135+Attivo!P135+Attivo!Q135+Attivo!R135</f>
        <v>215474.05000000002</v>
      </c>
      <c r="E133" s="4">
        <f>Attivo!S135+Attivo!T135+Attivo!B135</f>
        <v>515815.71</v>
      </c>
    </row>
    <row r="134" spans="1:5">
      <c r="A134" s="3">
        <v>40996</v>
      </c>
      <c r="B134" s="4">
        <f>Attivo!C136+Attivo!D136+Attivo!E136</f>
        <v>2577019.6100000003</v>
      </c>
      <c r="C134" s="4">
        <f>Attivo!I136+Attivo!J136+Attivo!K136+Attivo!F136+Attivo!G136+Attivo!H136</f>
        <v>856946.57000000007</v>
      </c>
      <c r="D134" s="4">
        <f>Attivo!L136+Attivo!M136+Attivo!N136+Attivo!O136+Attivo!P136+Attivo!Q136+Attivo!R136</f>
        <v>215366.59</v>
      </c>
      <c r="E134" s="4">
        <f>Attivo!S136+Attivo!T136+Attivo!B136</f>
        <v>489931.35</v>
      </c>
    </row>
    <row r="135" spans="1:5">
      <c r="A135" s="3">
        <v>40967</v>
      </c>
      <c r="B135" s="4">
        <f>Attivo!C137+Attivo!D137+Attivo!E137</f>
        <v>2550135.23</v>
      </c>
      <c r="C135" s="4">
        <f>Attivo!I137+Attivo!J137+Attivo!K137+Attivo!F137+Attivo!G137+Attivo!H137</f>
        <v>846196.46999999986</v>
      </c>
      <c r="D135" s="4">
        <f>Attivo!L137+Attivo!M137+Attivo!N137+Attivo!O137+Attivo!P137+Attivo!Q137+Attivo!R137</f>
        <v>220088.1</v>
      </c>
      <c r="E135" s="4">
        <f>Attivo!S137+Attivo!T137+Attivo!B137</f>
        <v>497646.21</v>
      </c>
    </row>
    <row r="136" spans="1:5">
      <c r="A136" s="3">
        <v>40936</v>
      </c>
      <c r="B136" s="4">
        <f>Attivo!C138+Attivo!D138+Attivo!E138</f>
        <v>2570400.15</v>
      </c>
      <c r="C136" s="4">
        <f>Attivo!I138+Attivo!J138+Attivo!K138+Attivo!F138+Attivo!G138+Attivo!H138</f>
        <v>794865.71</v>
      </c>
      <c r="D136" s="4">
        <f>Attivo!L138+Attivo!M138+Attivo!N138+Attivo!O138+Attivo!P138+Attivo!Q138+Attivo!R138</f>
        <v>226704.41999999998</v>
      </c>
      <c r="E136" s="4">
        <f>Attivo!S138+Attivo!T138+Attivo!B138</f>
        <v>493864.81</v>
      </c>
    </row>
    <row r="137" spans="1:5">
      <c r="A137" s="3">
        <v>40905</v>
      </c>
      <c r="B137" s="4">
        <f>Attivo!C139+Attivo!D139+Attivo!E139</f>
        <v>2589009.64</v>
      </c>
      <c r="C137" s="4">
        <f>Attivo!I139+Attivo!J139+Attivo!K139+Attivo!F139+Attivo!G139+Attivo!H139</f>
        <v>726817.53</v>
      </c>
      <c r="D137" s="4">
        <f>Attivo!L139+Attivo!M139+Attivo!N139+Attivo!O139+Attivo!P139+Attivo!Q139+Attivo!R139</f>
        <v>229125.82000000004</v>
      </c>
      <c r="E137" s="4">
        <f>Attivo!S139+Attivo!T139+Attivo!B139</f>
        <v>489794.52</v>
      </c>
    </row>
    <row r="138" spans="1:5">
      <c r="A138" s="3">
        <v>40875</v>
      </c>
      <c r="B138" s="4">
        <f>Attivo!C140+Attivo!D140+Attivo!E140</f>
        <v>2602236.38</v>
      </c>
      <c r="C138" s="4">
        <f>Attivo!I140+Attivo!J140+Attivo!K140+Attivo!F140+Attivo!G140+Attivo!H140</f>
        <v>666430.34999999986</v>
      </c>
      <c r="D138" s="4">
        <f>Attivo!L140+Attivo!M140+Attivo!N140+Attivo!O140+Attivo!P140+Attivo!Q140+Attivo!R140</f>
        <v>236512.47</v>
      </c>
      <c r="E138" s="4">
        <f>Attivo!S140+Attivo!T140+Attivo!B140</f>
        <v>479737.61000000004</v>
      </c>
    </row>
    <row r="139" spans="1:5">
      <c r="A139" s="3">
        <v>40844</v>
      </c>
      <c r="B139" s="4">
        <f>Attivo!C141+Attivo!D141+Attivo!E141</f>
        <v>2598220.0699999998</v>
      </c>
      <c r="C139" s="4">
        <f>Attivo!I141+Attivo!J141+Attivo!K141+Attivo!F141+Attivo!G141+Attivo!H141</f>
        <v>659089.99000000011</v>
      </c>
      <c r="D139" s="4">
        <f>Attivo!L141+Attivo!M141+Attivo!N141+Attivo!O141+Attivo!P141+Attivo!Q141+Attivo!R141</f>
        <v>235456.28999999998</v>
      </c>
      <c r="E139" s="4">
        <f>Attivo!S141+Attivo!T141+Attivo!B141</f>
        <v>453955.82999999996</v>
      </c>
    </row>
    <row r="140" spans="1:5">
      <c r="A140" s="3">
        <v>40814</v>
      </c>
      <c r="B140" s="4">
        <f>Attivo!C142+Attivo!D142+Attivo!E142</f>
        <v>2599940.15</v>
      </c>
      <c r="C140" s="4">
        <f>Attivo!I142+Attivo!J142+Attivo!K142+Attivo!F142+Attivo!G142+Attivo!H142</f>
        <v>652849.12</v>
      </c>
      <c r="D140" s="4">
        <f>Attivo!L142+Attivo!M142+Attivo!N142+Attivo!O142+Attivo!P142+Attivo!Q142+Attivo!R142</f>
        <v>236147.88</v>
      </c>
      <c r="E140" s="4">
        <f>Attivo!S142+Attivo!T142+Attivo!B142</f>
        <v>462510.15</v>
      </c>
    </row>
    <row r="141" spans="1:5">
      <c r="A141" s="3">
        <v>40783</v>
      </c>
      <c r="B141" s="4">
        <f>Attivo!C143+Attivo!D143+Attivo!E143</f>
        <v>2539583.0999999996</v>
      </c>
      <c r="C141" s="4">
        <f>Attivo!I143+Attivo!J143+Attivo!K143+Attivo!F143+Attivo!G143+Attivo!H143</f>
        <v>646884.68000000005</v>
      </c>
      <c r="D141" s="4">
        <f>Attivo!L143+Attivo!M143+Attivo!N143+Attivo!O143+Attivo!P143+Attivo!Q143+Attivo!R143</f>
        <v>237779.97</v>
      </c>
      <c r="E141" s="4">
        <f>Attivo!S143+Attivo!T143+Attivo!B143</f>
        <v>421379.92000000004</v>
      </c>
    </row>
    <row r="142" spans="1:5">
      <c r="A142" s="3">
        <v>40752</v>
      </c>
      <c r="B142" s="4">
        <f>Attivo!C144+Attivo!D144+Attivo!E144</f>
        <v>2540630.67</v>
      </c>
      <c r="C142" s="4">
        <f>Attivo!I144+Attivo!J144+Attivo!K144+Attivo!F144+Attivo!G144+Attivo!H144</f>
        <v>629491.73</v>
      </c>
      <c r="D142" s="4">
        <f>Attivo!L144+Attivo!M144+Attivo!N144+Attivo!O144+Attivo!P144+Attivo!Q144+Attivo!R144</f>
        <v>240762.45</v>
      </c>
      <c r="E142" s="4">
        <f>Attivo!S144+Attivo!T144+Attivo!B144</f>
        <v>403028.74000000005</v>
      </c>
    </row>
    <row r="143" spans="1:5">
      <c r="A143" s="3">
        <v>40722</v>
      </c>
      <c r="B143" s="4">
        <f>Attivo!C145+Attivo!D145+Attivo!E145</f>
        <v>2541306.5500000003</v>
      </c>
      <c r="C143" s="4">
        <f>Attivo!I145+Attivo!J145+Attivo!K145+Attivo!F145+Attivo!G145+Attivo!H145</f>
        <v>622812.74</v>
      </c>
      <c r="D143" s="4">
        <f>Attivo!L145+Attivo!M145+Attivo!N145+Attivo!O145+Attivo!P145+Attivo!Q145+Attivo!R145</f>
        <v>242247.39</v>
      </c>
      <c r="E143" s="4">
        <f>Attivo!S145+Attivo!T145+Attivo!B145</f>
        <v>373074.96</v>
      </c>
    </row>
    <row r="144" spans="1:5">
      <c r="A144" s="3">
        <v>40691</v>
      </c>
      <c r="B144" s="4">
        <f>Attivo!C146+Attivo!D146+Attivo!E146</f>
        <v>2540405.8000000003</v>
      </c>
      <c r="C144" s="4">
        <f>Attivo!I146+Attivo!J146+Attivo!K146+Attivo!F146+Attivo!G146+Attivo!H146</f>
        <v>613887.83000000007</v>
      </c>
      <c r="D144" s="4">
        <f>Attivo!L146+Attivo!M146+Attivo!N146+Attivo!O146+Attivo!P146+Attivo!Q146+Attivo!R146</f>
        <v>251526.03999999998</v>
      </c>
      <c r="E144" s="4">
        <f>Attivo!S146+Attivo!T146+Attivo!B146</f>
        <v>385912.62999999995</v>
      </c>
    </row>
    <row r="145" spans="1:5">
      <c r="A145" s="3">
        <v>40661</v>
      </c>
      <c r="B145" s="4">
        <f>Attivo!C147+Attivo!D147+Attivo!E147</f>
        <v>2528637.04</v>
      </c>
      <c r="C145" s="4">
        <f>Attivo!I147+Attivo!J147+Attivo!K147+Attivo!F147+Attivo!G147+Attivo!H147</f>
        <v>606962.72999999986</v>
      </c>
      <c r="D145" s="4">
        <f>Attivo!L147+Attivo!M147+Attivo!N147+Attivo!O147+Attivo!P147+Attivo!Q147+Attivo!R147</f>
        <v>247646.15</v>
      </c>
      <c r="E145" s="4">
        <f>Attivo!S147+Attivo!T147+Attivo!B147</f>
        <v>373143.35999999993</v>
      </c>
    </row>
    <row r="146" spans="1:5">
      <c r="A146" s="3">
        <v>40630</v>
      </c>
      <c r="B146" s="4">
        <f>Attivo!C148+Attivo!D148+Attivo!E148</f>
        <v>2534904.44</v>
      </c>
      <c r="C146" s="4">
        <f>Attivo!I148+Attivo!J148+Attivo!K148+Attivo!F148+Attivo!G148+Attivo!H148</f>
        <v>605048.71</v>
      </c>
      <c r="D146" s="4">
        <f>Attivo!L148+Attivo!M148+Attivo!N148+Attivo!O148+Attivo!P148+Attivo!Q148+Attivo!R148</f>
        <v>243977.94999999998</v>
      </c>
      <c r="E146" s="4">
        <f>Attivo!S148+Attivo!T148+Attivo!B148</f>
        <v>371497.53</v>
      </c>
    </row>
    <row r="147" spans="1:5">
      <c r="A147" s="3">
        <v>40602</v>
      </c>
      <c r="B147" s="4">
        <f>Attivo!C149+Attivo!D149+Attivo!E149</f>
        <v>2542852.4699999997</v>
      </c>
      <c r="C147" s="4">
        <f>Attivo!I149+Attivo!J149+Attivo!K149+Attivo!F149+Attivo!G149+Attivo!H149</f>
        <v>612572.01000000013</v>
      </c>
      <c r="D147" s="4">
        <f>Attivo!L149+Attivo!M149+Attivo!N149+Attivo!O149+Attivo!P149+Attivo!Q149+Attivo!R149</f>
        <v>242677.42000000004</v>
      </c>
      <c r="E147" s="4">
        <f>Attivo!S149+Attivo!T149+Attivo!B149</f>
        <v>387256.69</v>
      </c>
    </row>
    <row r="148" spans="1:5">
      <c r="A148" s="3">
        <v>40571</v>
      </c>
      <c r="B148" s="4">
        <f>Attivo!C150+Attivo!D150+Attivo!E150</f>
        <v>2528423.5100000002</v>
      </c>
      <c r="C148" s="4">
        <f>Attivo!I150+Attivo!J150+Attivo!K150+Attivo!F150+Attivo!G150+Attivo!H150</f>
        <v>618916.62</v>
      </c>
      <c r="D148" s="4">
        <f>Attivo!L150+Attivo!M150+Attivo!N150+Attivo!O150+Attivo!P150+Attivo!Q150+Attivo!R150</f>
        <v>242466.01</v>
      </c>
      <c r="E148" s="4">
        <f>Attivo!S150+Attivo!T150+Attivo!B150</f>
        <v>388616.97000000003</v>
      </c>
    </row>
    <row r="149" spans="1:5">
      <c r="A149" s="3">
        <v>40540</v>
      </c>
      <c r="B149" s="4">
        <f>Attivo!C151+Attivo!D151+Attivo!E151</f>
        <v>2500736.67</v>
      </c>
      <c r="C149" s="4">
        <f>Attivo!I151+Attivo!J151+Attivo!K151+Attivo!F151+Attivo!G151+Attivo!H151</f>
        <v>617881.98</v>
      </c>
      <c r="D149" s="4">
        <f>Attivo!L151+Attivo!M151+Attivo!N151+Attivo!O151+Attivo!P151+Attivo!Q151+Attivo!R151</f>
        <v>240016.74000000002</v>
      </c>
      <c r="E149" s="4">
        <f>Attivo!S151+Attivo!T151+Attivo!B151</f>
        <v>400255.31999999995</v>
      </c>
    </row>
    <row r="150" spans="1:5">
      <c r="A150" s="3">
        <v>40510</v>
      </c>
      <c r="B150" s="4">
        <f>Attivo!C152+Attivo!D152+Attivo!E152</f>
        <v>2491679.04</v>
      </c>
      <c r="C150" s="4">
        <f>Attivo!I152+Attivo!J152+Attivo!K152+Attivo!F152+Attivo!G152+Attivo!H152</f>
        <v>617812.70000000007</v>
      </c>
      <c r="D150" s="4">
        <f>Attivo!L152+Attivo!M152+Attivo!N152+Attivo!O152+Attivo!P152+Attivo!Q152+Attivo!R152</f>
        <v>240882.19</v>
      </c>
      <c r="E150" s="4">
        <f>Attivo!S152+Attivo!T152+Attivo!B152</f>
        <v>437771.37000000005</v>
      </c>
    </row>
    <row r="151" spans="1:5">
      <c r="A151" s="3">
        <v>40479</v>
      </c>
      <c r="B151" s="4">
        <f>Attivo!C153+Attivo!D153+Attivo!E153</f>
        <v>2608929.2000000002</v>
      </c>
      <c r="C151" s="4">
        <f>Attivo!I153+Attivo!J153+Attivo!K153+Attivo!F153+Attivo!G153+Attivo!H153</f>
        <v>612958.27999999991</v>
      </c>
      <c r="D151" s="4">
        <f>Attivo!L153+Attivo!M153+Attivo!N153+Attivo!O153+Attivo!P153+Attivo!Q153+Attivo!R153</f>
        <v>252353.74</v>
      </c>
      <c r="E151" s="4">
        <f>Attivo!S153+Attivo!T153+Attivo!B153</f>
        <v>441230.13</v>
      </c>
    </row>
    <row r="152" spans="1:5">
      <c r="A152" s="3">
        <v>40449</v>
      </c>
      <c r="B152" s="4">
        <f>Attivo!C154+Attivo!D154+Attivo!E154</f>
        <v>2625677.6399999997</v>
      </c>
      <c r="C152" s="4">
        <f>Attivo!I154+Attivo!J154+Attivo!K154+Attivo!F154+Attivo!G154+Attivo!H154</f>
        <v>624233.09</v>
      </c>
      <c r="D152" s="4">
        <f>Attivo!L154+Attivo!M154+Attivo!N154+Attivo!O154+Attivo!P154+Attivo!Q154+Attivo!R154</f>
        <v>253372.68</v>
      </c>
      <c r="E152" s="4">
        <f>Attivo!S154+Attivo!T154+Attivo!B154</f>
        <v>455908.54</v>
      </c>
    </row>
    <row r="153" spans="1:5">
      <c r="A153" s="3">
        <v>40418</v>
      </c>
      <c r="B153" s="4">
        <f>Attivo!C155+Attivo!D155+Attivo!E155</f>
        <v>2603411.21</v>
      </c>
      <c r="C153" s="4">
        <f>Attivo!I155+Attivo!J155+Attivo!K155+Attivo!F155+Attivo!G155+Attivo!H155</f>
        <v>618690.30000000005</v>
      </c>
      <c r="D153" s="4">
        <f>Attivo!L155+Attivo!M155+Attivo!N155+Attivo!O155+Attivo!P155+Attivo!Q155+Attivo!R155</f>
        <v>251105.84999999998</v>
      </c>
      <c r="E153" s="4">
        <f>Attivo!S155+Attivo!T155+Attivo!B155</f>
        <v>483572.7</v>
      </c>
    </row>
    <row r="154" spans="1:5">
      <c r="A154" s="3">
        <v>40387</v>
      </c>
      <c r="B154" s="4">
        <f>Attivo!C156+Attivo!D156+Attivo!E156</f>
        <v>2609516.8199999994</v>
      </c>
      <c r="C154" s="4">
        <f>Attivo!I156+Attivo!J156+Attivo!K156+Attivo!F156+Attivo!G156+Attivo!H156</f>
        <v>623144.67999999993</v>
      </c>
      <c r="D154" s="4">
        <f>Attivo!L156+Attivo!M156+Attivo!N156+Attivo!O156+Attivo!P156+Attivo!Q156+Attivo!R156</f>
        <v>250865.12</v>
      </c>
      <c r="E154" s="4">
        <f>Attivo!S156+Attivo!T156+Attivo!B156</f>
        <v>437024.41</v>
      </c>
    </row>
    <row r="155" spans="1:5">
      <c r="A155" s="3">
        <v>40357</v>
      </c>
      <c r="B155" s="4">
        <f>Attivo!C157+Attivo!D157+Attivo!E157</f>
        <v>2623598.87</v>
      </c>
      <c r="C155" s="4">
        <f>Attivo!I157+Attivo!J157+Attivo!K157+Attivo!F157+Attivo!G157+Attivo!H157</f>
        <v>621876.32000000007</v>
      </c>
      <c r="D155" s="4">
        <f>Attivo!L157+Attivo!M157+Attivo!N157+Attivo!O157+Attivo!P157+Attivo!Q157+Attivo!R157</f>
        <v>248936.25</v>
      </c>
      <c r="E155" s="4">
        <f>Attivo!S157+Attivo!T157+Attivo!B157</f>
        <v>449566.22</v>
      </c>
    </row>
    <row r="156" spans="1:5">
      <c r="A156" s="3">
        <v>40326</v>
      </c>
      <c r="B156" s="4">
        <f>Attivo!C158+Attivo!D158+Attivo!E158</f>
        <v>2556158.64</v>
      </c>
      <c r="C156" s="4">
        <f>Attivo!I158+Attivo!J158+Attivo!K158+Attivo!F158+Attivo!G158+Attivo!H158</f>
        <v>533069.06000000006</v>
      </c>
      <c r="D156" s="4">
        <f>Attivo!L158+Attivo!M158+Attivo!N158+Attivo!O158+Attivo!P158+Attivo!Q158+Attivo!R158</f>
        <v>260344.40999999997</v>
      </c>
      <c r="E156" s="4">
        <f>Attivo!S158+Attivo!T158+Attivo!B158</f>
        <v>470734.11999999994</v>
      </c>
    </row>
    <row r="157" spans="1:5">
      <c r="A157" s="3">
        <v>40296</v>
      </c>
      <c r="B157" s="4">
        <f>Attivo!C159+Attivo!D159+Attivo!E159</f>
        <v>2539277.14</v>
      </c>
      <c r="C157" s="4">
        <f>Attivo!I159+Attivo!J159+Attivo!K159+Attivo!F159+Attivo!G159+Attivo!H159</f>
        <v>519330.65</v>
      </c>
      <c r="D157" s="4">
        <f>Attivo!L159+Attivo!M159+Attivo!N159+Attivo!O159+Attivo!P159+Attivo!Q159+Attivo!R159</f>
        <v>252021.15</v>
      </c>
      <c r="E157" s="4">
        <f>Attivo!S159+Attivo!T159+Attivo!B159</f>
        <v>431063.33</v>
      </c>
    </row>
    <row r="158" spans="1:5">
      <c r="A158" s="3">
        <v>40265</v>
      </c>
      <c r="B158" s="4">
        <f>Attivo!C160+Attivo!D160+Attivo!E160</f>
        <v>2530969.69</v>
      </c>
      <c r="C158" s="4">
        <f>Attivo!I160+Attivo!J160+Attivo!K160+Attivo!F160+Attivo!G160+Attivo!H160</f>
        <v>515232.76000000007</v>
      </c>
      <c r="D158" s="4">
        <f>Attivo!L160+Attivo!M160+Attivo!N160+Attivo!O160+Attivo!P160+Attivo!Q160+Attivo!R160</f>
        <v>250795.74</v>
      </c>
      <c r="E158" s="4">
        <f>Attivo!S160+Attivo!T160+Attivo!B160</f>
        <v>418722.99</v>
      </c>
    </row>
    <row r="159" spans="1:5">
      <c r="A159" s="3">
        <v>40237</v>
      </c>
      <c r="B159" s="4">
        <f>Attivo!C161+Attivo!D161+Attivo!E161</f>
        <v>2537029.33</v>
      </c>
      <c r="C159" s="4">
        <f>Attivo!I161+Attivo!J161+Attivo!K161+Attivo!F161+Attivo!G161+Attivo!H161</f>
        <v>506423.61000000004</v>
      </c>
      <c r="D159" s="4">
        <f>Attivo!L161+Attivo!M161+Attivo!N161+Attivo!O161+Attivo!P161+Attivo!Q161+Attivo!R161</f>
        <v>246565.65</v>
      </c>
      <c r="E159" s="4">
        <f>Attivo!S161+Attivo!T161+Attivo!B161</f>
        <v>428475.4</v>
      </c>
    </row>
    <row r="160" spans="1:5">
      <c r="A160" s="3">
        <v>40206</v>
      </c>
      <c r="B160" s="4">
        <f>Attivo!C162+Attivo!D162+Attivo!E162</f>
        <v>2544371.73</v>
      </c>
      <c r="C160" s="4">
        <f>Attivo!I162+Attivo!J162+Attivo!K162+Attivo!F162+Attivo!G162+Attivo!H162</f>
        <v>498853.89</v>
      </c>
      <c r="D160" s="4">
        <f>Attivo!L162+Attivo!M162+Attivo!N162+Attivo!O162+Attivo!P162+Attivo!Q162+Attivo!R162</f>
        <v>247648.69</v>
      </c>
      <c r="E160" s="4">
        <f>Attivo!S162+Attivo!T162+Attivo!B162</f>
        <v>418274.39</v>
      </c>
    </row>
    <row r="161" spans="1:5">
      <c r="A161" s="3">
        <v>40175</v>
      </c>
      <c r="B161" s="4">
        <f>Attivo!C163+Attivo!D163+Attivo!E163</f>
        <v>2549729.7600000002</v>
      </c>
      <c r="C161" s="4">
        <f>Attivo!I163+Attivo!J163+Attivo!K163+Attivo!F163+Attivo!G163+Attivo!H163</f>
        <v>495420.77999999997</v>
      </c>
      <c r="D161" s="4">
        <f>Attivo!L163+Attivo!M163+Attivo!N163+Attivo!O163+Attivo!P163+Attivo!Q163+Attivo!R163</f>
        <v>245573.21000000002</v>
      </c>
      <c r="E161" s="4">
        <f>Attivo!S163+Attivo!T163+Attivo!B163</f>
        <v>399968.59</v>
      </c>
    </row>
    <row r="162" spans="1:5">
      <c r="A162" s="3">
        <v>40145</v>
      </c>
      <c r="B162" s="4">
        <f>Attivo!C164+Attivo!D164+Attivo!E164</f>
        <v>2546307.96</v>
      </c>
      <c r="C162" s="4">
        <f>Attivo!I164+Attivo!J164+Attivo!K164+Attivo!F164+Attivo!G164+Attivo!H164</f>
        <v>501072.81000000006</v>
      </c>
      <c r="D162" s="4">
        <f>Attivo!L164+Attivo!M164+Attivo!N164+Attivo!O164+Attivo!P164+Attivo!Q164+Attivo!R164</f>
        <v>246670.02</v>
      </c>
      <c r="E162" s="4">
        <f>Attivo!S164+Attivo!T164+Attivo!B164</f>
        <v>427856.48999999993</v>
      </c>
    </row>
    <row r="163" spans="1:5">
      <c r="A163" s="3">
        <v>40114</v>
      </c>
      <c r="B163" s="4">
        <f>Attivo!C165+Attivo!D165+Attivo!E165</f>
        <v>2514137.4099999997</v>
      </c>
      <c r="C163" s="4">
        <f>Attivo!I165+Attivo!J165+Attivo!K165+Attivo!F165+Attivo!G165+Attivo!H165</f>
        <v>502186.58</v>
      </c>
      <c r="D163" s="4">
        <f>Attivo!L165+Attivo!M165+Attivo!N165+Attivo!O165+Attivo!P165+Attivo!Q165+Attivo!R165</f>
        <v>245191.11</v>
      </c>
      <c r="E163" s="4">
        <f>Attivo!S165+Attivo!T165+Attivo!B165</f>
        <v>409195.25999999995</v>
      </c>
    </row>
    <row r="164" spans="1:5">
      <c r="A164" s="3">
        <v>40084</v>
      </c>
      <c r="B164" s="4">
        <f>Attivo!C166+Attivo!D166+Attivo!E166</f>
        <v>2508782.39</v>
      </c>
      <c r="C164" s="4">
        <f>Attivo!I166+Attivo!J166+Attivo!K166+Attivo!F166+Attivo!G166+Attivo!H166</f>
        <v>504331.02</v>
      </c>
      <c r="D164" s="4">
        <f>Attivo!L166+Attivo!M166+Attivo!N166+Attivo!O166+Attivo!P166+Attivo!Q166+Attivo!R166</f>
        <v>243546.89</v>
      </c>
      <c r="E164" s="4">
        <f>Attivo!S166+Attivo!T166+Attivo!B166</f>
        <v>414021.41</v>
      </c>
    </row>
    <row r="165" spans="1:5">
      <c r="A165" s="3">
        <v>40053</v>
      </c>
      <c r="B165" s="4">
        <f>Attivo!C167+Attivo!D167+Attivo!E167</f>
        <v>2495077</v>
      </c>
      <c r="C165" s="4">
        <f>Attivo!I167+Attivo!J167+Attivo!K167+Attivo!F167+Attivo!G167+Attivo!H167</f>
        <v>494891.33999999991</v>
      </c>
      <c r="D165" s="4">
        <f>Attivo!L167+Attivo!M167+Attivo!N167+Attivo!O167+Attivo!P167+Attivo!Q167+Attivo!R167</f>
        <v>243383.01</v>
      </c>
      <c r="E165" s="4">
        <f>Attivo!S167+Attivo!T167+Attivo!B167</f>
        <v>419368.87</v>
      </c>
    </row>
    <row r="166" spans="1:5">
      <c r="A166" s="3">
        <v>40022</v>
      </c>
      <c r="B166" s="4">
        <f>Attivo!C168+Attivo!D168+Attivo!E168</f>
        <v>2517941.86</v>
      </c>
      <c r="C166" s="4">
        <f>Attivo!I168+Attivo!J168+Attivo!K168+Attivo!F168+Attivo!G168+Attivo!H168</f>
        <v>493251.5</v>
      </c>
      <c r="D166" s="4">
        <f>Attivo!L168+Attivo!M168+Attivo!N168+Attivo!O168+Attivo!P168+Attivo!Q168+Attivo!R168</f>
        <v>246029.22</v>
      </c>
      <c r="E166" s="4">
        <f>Attivo!S168+Attivo!T168+Attivo!B168</f>
        <v>424899.09</v>
      </c>
    </row>
    <row r="167" spans="1:5">
      <c r="A167" s="3">
        <v>39992</v>
      </c>
      <c r="B167" s="4">
        <f>Attivo!C169+Attivo!D169+Attivo!E169</f>
        <v>2544928.06</v>
      </c>
      <c r="C167" s="4">
        <f>Attivo!I169+Attivo!J169+Attivo!K169+Attivo!F169+Attivo!G169+Attivo!H169</f>
        <v>482475.49</v>
      </c>
      <c r="D167" s="4">
        <f>Attivo!L169+Attivo!M169+Attivo!N169+Attivo!O169+Attivo!P169+Attivo!Q169+Attivo!R169</f>
        <v>243183.78</v>
      </c>
      <c r="E167" s="4">
        <f>Attivo!S169+Attivo!T169+Attivo!B169</f>
        <v>423253.56</v>
      </c>
    </row>
    <row r="168" spans="1:5">
      <c r="A168" s="3">
        <v>39961</v>
      </c>
      <c r="B168" s="4">
        <f>Attivo!C170+Attivo!D170+Attivo!E170</f>
        <v>2529993.21</v>
      </c>
      <c r="C168" s="4">
        <f>Attivo!I170+Attivo!J170+Attivo!K170+Attivo!F170+Attivo!G170+Attivo!H170</f>
        <v>479852.54000000004</v>
      </c>
      <c r="D168" s="4">
        <f>Attivo!L170+Attivo!M170+Attivo!N170+Attivo!O170+Attivo!P170+Attivo!Q170+Attivo!R170</f>
        <v>240611.26</v>
      </c>
      <c r="E168" s="4">
        <f>Attivo!S170+Attivo!T170+Attivo!B170</f>
        <v>434677.59</v>
      </c>
    </row>
    <row r="169" spans="1:5">
      <c r="A169" s="3">
        <v>39931</v>
      </c>
      <c r="B169" s="4">
        <f>Attivo!C171+Attivo!D171+Attivo!E171</f>
        <v>2539776.8600000003</v>
      </c>
      <c r="C169" s="4">
        <f>Attivo!I171+Attivo!J171+Attivo!K171+Attivo!F171+Attivo!G171+Attivo!H171</f>
        <v>469693.37000000005</v>
      </c>
      <c r="D169" s="4">
        <f>Attivo!L171+Attivo!M171+Attivo!N171+Attivo!O171+Attivo!P171+Attivo!Q171+Attivo!R171</f>
        <v>238385.5</v>
      </c>
      <c r="E169" s="4">
        <f>Attivo!S171+Attivo!T171+Attivo!B171</f>
        <v>443493.02</v>
      </c>
    </row>
    <row r="170" spans="1:5">
      <c r="A170" s="3">
        <v>39900</v>
      </c>
      <c r="B170" s="4">
        <f>Attivo!C172+Attivo!D172+Attivo!E172</f>
        <v>2545063.19</v>
      </c>
      <c r="C170" s="4">
        <f>Attivo!I172+Attivo!J172+Attivo!K172+Attivo!F172+Attivo!G172+Attivo!H172</f>
        <v>460820.4</v>
      </c>
      <c r="D170" s="4">
        <f>Attivo!L172+Attivo!M172+Attivo!N172+Attivo!O172+Attivo!P172+Attivo!Q172+Attivo!R172</f>
        <v>234273.75</v>
      </c>
      <c r="E170" s="4">
        <f>Attivo!S172+Attivo!T172+Attivo!B172</f>
        <v>468651.94999999995</v>
      </c>
    </row>
    <row r="171" spans="1:5">
      <c r="A171" s="3">
        <v>39872</v>
      </c>
      <c r="B171" s="4">
        <f>Attivo!C173+Attivo!D173+Attivo!E173</f>
        <v>2553882.35</v>
      </c>
      <c r="C171" s="4">
        <f>Attivo!I173+Attivo!J173+Attivo!K173+Attivo!F173+Attivo!G173+Attivo!H173</f>
        <v>424945.36999999994</v>
      </c>
      <c r="D171" s="4">
        <f>Attivo!L173+Attivo!M173+Attivo!N173+Attivo!O173+Attivo!P173+Attivo!Q173+Attivo!R173</f>
        <v>233888.14</v>
      </c>
      <c r="E171" s="4">
        <f>Attivo!S173+Attivo!T173+Attivo!B173</f>
        <v>441807.59</v>
      </c>
    </row>
    <row r="172" spans="1:5">
      <c r="A172" s="3">
        <v>39841</v>
      </c>
      <c r="B172" s="4">
        <f>Attivo!C174+Attivo!D174+Attivo!E174</f>
        <v>2553839.4700000002</v>
      </c>
      <c r="C172" s="4">
        <f>Attivo!I174+Attivo!J174+Attivo!K174+Attivo!F174+Attivo!G174+Attivo!H174</f>
        <v>408475.35000000003</v>
      </c>
      <c r="D172" s="4">
        <f>Attivo!L174+Attivo!M174+Attivo!N174+Attivo!O174+Attivo!P174+Attivo!Q174+Attivo!R174</f>
        <v>237701.42</v>
      </c>
      <c r="E172" s="4">
        <f>Attivo!S174+Attivo!T174+Attivo!B174</f>
        <v>435459.35</v>
      </c>
    </row>
    <row r="173" spans="1:5">
      <c r="A173" s="3">
        <v>39810</v>
      </c>
      <c r="B173" s="4">
        <f>Attivo!C175+Attivo!D175+Attivo!E175</f>
        <v>2538920.8899999997</v>
      </c>
      <c r="C173" s="4">
        <f>Attivo!I175+Attivo!J175+Attivo!K175+Attivo!F175+Attivo!G175+Attivo!H175</f>
        <v>397059.51</v>
      </c>
      <c r="D173" s="4">
        <f>Attivo!L175+Attivo!M175+Attivo!N175+Attivo!O175+Attivo!P175+Attivo!Q175+Attivo!R175</f>
        <v>235873.96000000002</v>
      </c>
      <c r="E173" s="4">
        <f>Attivo!S175+Attivo!T175+Attivo!B175</f>
        <v>462709.92999999993</v>
      </c>
    </row>
    <row r="174" spans="1:5">
      <c r="A174" s="3">
        <v>39780</v>
      </c>
      <c r="B174" s="4">
        <f>Attivo!C176+Attivo!D176+Attivo!E176</f>
        <v>2590287.3699999996</v>
      </c>
      <c r="C174" s="4">
        <f>Attivo!I176+Attivo!J176+Attivo!K176+Attivo!F176+Attivo!G176+Attivo!H176</f>
        <v>401126.69999999995</v>
      </c>
      <c r="D174" s="4">
        <f>Attivo!L176+Attivo!M176+Attivo!N176+Attivo!O176+Attivo!P176+Attivo!Q176+Attivo!R176</f>
        <v>251787.21</v>
      </c>
      <c r="E174" s="4">
        <f>Attivo!S176+Attivo!T176+Attivo!B176</f>
        <v>472023.01999999996</v>
      </c>
    </row>
    <row r="175" spans="1:5">
      <c r="A175" s="3">
        <v>39749</v>
      </c>
      <c r="B175" s="4">
        <f>Attivo!C177+Attivo!D177+Attivo!E177</f>
        <v>2740784.0199999996</v>
      </c>
      <c r="C175" s="4">
        <f>Attivo!I177+Attivo!J177+Attivo!K177+Attivo!F177+Attivo!G177+Attivo!H177</f>
        <v>391733.81</v>
      </c>
      <c r="D175" s="4">
        <f>Attivo!L177+Attivo!M177+Attivo!N177+Attivo!O177+Attivo!P177+Attivo!Q177+Attivo!R177</f>
        <v>261309.22</v>
      </c>
      <c r="E175" s="4">
        <f>Attivo!S177+Attivo!T177+Attivo!B177</f>
        <v>424828.49</v>
      </c>
    </row>
    <row r="176" spans="1:5">
      <c r="A176" s="3">
        <v>39719</v>
      </c>
      <c r="B176" s="4">
        <f>Attivo!C178+Attivo!D178+Attivo!E178</f>
        <v>2520471.8699999996</v>
      </c>
      <c r="C176" s="4">
        <f>Attivo!I178+Attivo!J178+Attivo!K178+Attivo!F178+Attivo!G178+Attivo!H178</f>
        <v>372565.33999999997</v>
      </c>
      <c r="D176" s="4">
        <f>Attivo!L178+Attivo!M178+Attivo!N178+Attivo!O178+Attivo!P178+Attivo!Q178+Attivo!R178</f>
        <v>269383.14999999997</v>
      </c>
      <c r="E176" s="4">
        <f>Attivo!S178+Attivo!T178+Attivo!B178</f>
        <v>401874.21</v>
      </c>
    </row>
    <row r="177" spans="1:5">
      <c r="A177" s="3">
        <v>39688</v>
      </c>
      <c r="B177" s="4">
        <f>Attivo!C179+Attivo!D179+Attivo!E179</f>
        <v>2483537.38</v>
      </c>
      <c r="C177" s="4">
        <f>Attivo!I179+Attivo!J179+Attivo!K179+Attivo!F179+Attivo!G179+Attivo!H179</f>
        <v>371731.22</v>
      </c>
      <c r="D177" s="4">
        <f>Attivo!L179+Attivo!M179+Attivo!N179+Attivo!O179+Attivo!P179+Attivo!Q179+Attivo!R179</f>
        <v>267388.21000000002</v>
      </c>
      <c r="E177" s="4">
        <f>Attivo!S179+Attivo!T179+Attivo!B179</f>
        <v>382561.35000000003</v>
      </c>
    </row>
    <row r="178" spans="1:5">
      <c r="A178" s="3">
        <v>39657</v>
      </c>
      <c r="B178" s="4">
        <f>Attivo!C180+Attivo!D180+Attivo!E180</f>
        <v>2485314.13</v>
      </c>
      <c r="C178" s="4">
        <f>Attivo!I180+Attivo!J180+Attivo!K180+Attivo!F180+Attivo!G180+Attivo!H180</f>
        <v>356517.14</v>
      </c>
      <c r="D178" s="4">
        <f>Attivo!L180+Attivo!M180+Attivo!N180+Attivo!O180+Attivo!P180+Attivo!Q180+Attivo!R180</f>
        <v>266323.08999999997</v>
      </c>
      <c r="E178" s="4">
        <f>Attivo!S180+Attivo!T180+Attivo!B180</f>
        <v>391410.78999999992</v>
      </c>
    </row>
    <row r="179" spans="1:5">
      <c r="A179" s="3">
        <v>39627</v>
      </c>
      <c r="B179" s="4">
        <f>Attivo!C181+Attivo!D181+Attivo!E181</f>
        <v>2489297.12</v>
      </c>
      <c r="C179" s="4">
        <f>Attivo!I181+Attivo!J181+Attivo!K181+Attivo!F181+Attivo!G181+Attivo!H181</f>
        <v>347966.28</v>
      </c>
      <c r="D179" s="4">
        <f>Attivo!L181+Attivo!M181+Attivo!N181+Attivo!O181+Attivo!P181+Attivo!Q181+Attivo!R181</f>
        <v>269783.83</v>
      </c>
      <c r="E179" s="4">
        <f>Attivo!S181+Attivo!T181+Attivo!B181</f>
        <v>410368.57</v>
      </c>
    </row>
    <row r="180" spans="1:5">
      <c r="A180" s="3">
        <v>39596</v>
      </c>
      <c r="B180" s="4">
        <f>Attivo!C182+Attivo!D182+Attivo!E182</f>
        <v>2490992.06</v>
      </c>
      <c r="C180" s="4">
        <f>Attivo!I182+Attivo!J182+Attivo!K182+Attivo!F182+Attivo!G182+Attivo!H182</f>
        <v>345157.64999999997</v>
      </c>
      <c r="D180" s="4">
        <f>Attivo!L182+Attivo!M182+Attivo!N182+Attivo!O182+Attivo!P182+Attivo!Q182+Attivo!R182</f>
        <v>286326.76</v>
      </c>
      <c r="E180" s="4">
        <f>Attivo!S182+Attivo!T182+Attivo!B182</f>
        <v>406166.27</v>
      </c>
    </row>
    <row r="181" spans="1:5">
      <c r="A181" s="3">
        <v>39566</v>
      </c>
      <c r="B181" s="4">
        <f>Attivo!C183+Attivo!D183+Attivo!E183</f>
        <v>2439898.61</v>
      </c>
      <c r="C181" s="4">
        <f>Attivo!I183+Attivo!J183+Attivo!K183+Attivo!F183+Attivo!G183+Attivo!H183</f>
        <v>322845.27999999997</v>
      </c>
      <c r="D181" s="4">
        <f>Attivo!L183+Attivo!M183+Attivo!N183+Attivo!O183+Attivo!P183+Attivo!Q183+Attivo!R183</f>
        <v>268192.01999999996</v>
      </c>
      <c r="E181" s="4">
        <f>Attivo!S183+Attivo!T183+Attivo!B183</f>
        <v>392728.26999999996</v>
      </c>
    </row>
    <row r="182" spans="1:5">
      <c r="A182" s="3">
        <v>39535</v>
      </c>
      <c r="B182" s="4">
        <f>Attivo!C184+Attivo!D184+Attivo!E184</f>
        <v>2425496.7000000002</v>
      </c>
      <c r="C182" s="4">
        <f>Attivo!I184+Attivo!J184+Attivo!K184+Attivo!F184+Attivo!G184+Attivo!H184</f>
        <v>312108.36</v>
      </c>
      <c r="D182" s="4">
        <f>Attivo!L184+Attivo!M184+Attivo!N184+Attivo!O184+Attivo!P184+Attivo!Q184+Attivo!R184</f>
        <v>256209.09</v>
      </c>
      <c r="E182" s="4">
        <f>Attivo!S184+Attivo!T184+Attivo!B184</f>
        <v>393835.39999999997</v>
      </c>
    </row>
    <row r="183" spans="1:5">
      <c r="A183" s="3">
        <v>39506</v>
      </c>
      <c r="B183" s="4">
        <f>Attivo!C185+Attivo!D185+Attivo!E185</f>
        <v>2421775.77</v>
      </c>
      <c r="C183" s="4">
        <f>Attivo!I185+Attivo!J185+Attivo!K185+Attivo!F185+Attivo!G185+Attivo!H185</f>
        <v>304390.54000000004</v>
      </c>
      <c r="D183" s="4">
        <f>Attivo!L185+Attivo!M185+Attivo!N185+Attivo!O185+Attivo!P185+Attivo!Q185+Attivo!R185</f>
        <v>253065.69</v>
      </c>
      <c r="E183" s="4">
        <f>Attivo!S185+Attivo!T185+Attivo!B185</f>
        <v>388820.58</v>
      </c>
    </row>
    <row r="184" spans="1:5">
      <c r="A184" s="3">
        <v>39475</v>
      </c>
      <c r="B184" s="4">
        <f>Attivo!C186+Attivo!D186+Attivo!E186</f>
        <v>2400435.8600000003</v>
      </c>
      <c r="C184" s="4">
        <f>Attivo!I186+Attivo!J186+Attivo!K186+Attivo!F186+Attivo!G186+Attivo!H186</f>
        <v>286602.22000000003</v>
      </c>
      <c r="D184" s="4">
        <f>Attivo!L186+Attivo!M186+Attivo!N186+Attivo!O186+Attivo!P186+Attivo!Q186+Attivo!R186</f>
        <v>245200.37999999998</v>
      </c>
      <c r="E184" s="4">
        <f>Attivo!S186+Attivo!T186+Attivo!B186</f>
        <v>406901.19999999995</v>
      </c>
    </row>
    <row r="185" spans="1:5">
      <c r="A185" s="3">
        <v>39444</v>
      </c>
      <c r="B185" s="4">
        <f>Attivo!C187+Attivo!D187+Attivo!E187</f>
        <v>2402113.4099999997</v>
      </c>
      <c r="C185" s="4">
        <f>Attivo!I187+Attivo!J187+Attivo!K187+Attivo!F187+Attivo!G187+Attivo!H187</f>
        <v>273740.31</v>
      </c>
      <c r="D185" s="4">
        <f>Attivo!L187+Attivo!M187+Attivo!N187+Attivo!O187+Attivo!P187+Attivo!Q187+Attivo!R187</f>
        <v>248837.27000000002</v>
      </c>
      <c r="E185" s="4">
        <f>Attivo!S187+Attivo!T187+Attivo!B187</f>
        <v>407138.65999999992</v>
      </c>
    </row>
    <row r="186" spans="1:5">
      <c r="A186" s="3">
        <v>39414</v>
      </c>
      <c r="B186" s="4">
        <f>Attivo!C188+Attivo!D188+Attivo!E188</f>
        <v>2400671.2000000002</v>
      </c>
      <c r="C186" s="4">
        <f>Attivo!I188+Attivo!J188+Attivo!K188+Attivo!F188+Attivo!G188+Attivo!H188</f>
        <v>265925.64</v>
      </c>
      <c r="D186" s="4">
        <f>Attivo!L188+Attivo!M188+Attivo!N188+Attivo!O188+Attivo!P188+Attivo!Q188+Attivo!R188</f>
        <v>243165.71000000002</v>
      </c>
      <c r="E186" s="4">
        <f>Attivo!S188+Attivo!T188+Attivo!B188</f>
        <v>415415.58999999997</v>
      </c>
    </row>
    <row r="187" spans="1:5">
      <c r="A187" s="3">
        <v>39383</v>
      </c>
      <c r="B187" s="4">
        <f>Attivo!C189+Attivo!D189+Attivo!E189</f>
        <v>2373702.9</v>
      </c>
      <c r="C187" s="4">
        <f>Attivo!I189+Attivo!J189+Attivo!K189+Attivo!F189+Attivo!G189+Attivo!H189</f>
        <v>267264.03999999998</v>
      </c>
      <c r="D187" s="4">
        <f>Attivo!L189+Attivo!M189+Attivo!N189+Attivo!O189+Attivo!P189+Attivo!Q189+Attivo!R189</f>
        <v>245354.03</v>
      </c>
      <c r="E187" s="4">
        <f>Attivo!S189+Attivo!T189+Attivo!B189</f>
        <v>415900.27</v>
      </c>
    </row>
    <row r="188" spans="1:5">
      <c r="A188" s="3">
        <v>39353</v>
      </c>
      <c r="B188" s="4">
        <f>Attivo!C190+Attivo!D190+Attivo!E190</f>
        <v>2170343.2599999998</v>
      </c>
      <c r="C188" s="4">
        <f>Attivo!I190+Attivo!J190+Attivo!K190+Attivo!F190+Attivo!G190+Attivo!H190</f>
        <v>253942.94</v>
      </c>
      <c r="D188" s="4">
        <f>Attivo!L190+Attivo!M190+Attivo!N190+Attivo!O190+Attivo!P190+Attivo!Q190+Attivo!R190</f>
        <v>230096.90999999997</v>
      </c>
      <c r="E188" s="4">
        <f>Attivo!S190+Attivo!T190+Attivo!B190</f>
        <v>379126.11000000004</v>
      </c>
    </row>
    <row r="189" spans="1:5">
      <c r="A189" s="3">
        <v>39322</v>
      </c>
      <c r="B189" s="4">
        <f>Attivo!C191+Attivo!D191+Attivo!E191</f>
        <v>2155363.1</v>
      </c>
      <c r="C189" s="4">
        <f>Attivo!I191+Attivo!J191+Attivo!K191+Attivo!F191+Attivo!G191+Attivo!H191</f>
        <v>258566.52999999997</v>
      </c>
      <c r="D189" s="4">
        <f>Attivo!L191+Attivo!M191+Attivo!N191+Attivo!O191+Attivo!P191+Attivo!Q191+Attivo!R191</f>
        <v>228666.25000000003</v>
      </c>
      <c r="E189" s="4">
        <f>Attivo!S191+Attivo!T191+Attivo!B191</f>
        <v>364477.94999999995</v>
      </c>
    </row>
    <row r="190" spans="1:5">
      <c r="A190" s="3">
        <v>39291</v>
      </c>
      <c r="B190" s="4">
        <f>Attivo!C192+Attivo!D192+Attivo!E192</f>
        <v>2159149.38</v>
      </c>
      <c r="C190" s="4">
        <f>Attivo!I192+Attivo!J192+Attivo!K192+Attivo!F192+Attivo!G192+Attivo!H192</f>
        <v>272367.53999999998</v>
      </c>
      <c r="D190" s="4">
        <f>Attivo!L192+Attivo!M192+Attivo!N192+Attivo!O192+Attivo!P192+Attivo!Q192+Attivo!R192</f>
        <v>228041.52</v>
      </c>
      <c r="E190" s="4">
        <f>Attivo!S192+Attivo!T192+Attivo!B192</f>
        <v>374547.91</v>
      </c>
    </row>
    <row r="191" spans="1:5">
      <c r="A191" s="3">
        <v>39261</v>
      </c>
      <c r="B191" s="4">
        <f>Attivo!C193+Attivo!D193+Attivo!E193</f>
        <v>2135264.08</v>
      </c>
      <c r="C191" s="4">
        <f>Attivo!I193+Attivo!J193+Attivo!K193+Attivo!F193+Attivo!G193+Attivo!H193</f>
        <v>276079.76</v>
      </c>
      <c r="D191" s="4">
        <f>Attivo!L193+Attivo!M193+Attivo!N193+Attivo!O193+Attivo!P193+Attivo!Q193+Attivo!R193</f>
        <v>235650.83</v>
      </c>
      <c r="E191" s="4">
        <f>Attivo!S193+Attivo!T193+Attivo!B193</f>
        <v>370814.33</v>
      </c>
    </row>
    <row r="192" spans="1:5">
      <c r="A192" s="3">
        <v>39230</v>
      </c>
      <c r="B192" s="4">
        <f>Attivo!C194+Attivo!D194+Attivo!E194</f>
        <v>2110693.52</v>
      </c>
      <c r="C192" s="4">
        <f>Attivo!I194+Attivo!J194+Attivo!K194+Attivo!F194+Attivo!G194+Attivo!H194</f>
        <v>277202.55</v>
      </c>
      <c r="D192" s="4">
        <f>Attivo!L194+Attivo!M194+Attivo!N194+Attivo!O194+Attivo!P194+Attivo!Q194+Attivo!R194</f>
        <v>249389.57</v>
      </c>
      <c r="E192" s="4">
        <f>Attivo!S194+Attivo!T194+Attivo!B194</f>
        <v>358021.03</v>
      </c>
    </row>
    <row r="193" spans="1:5">
      <c r="A193" s="3">
        <v>39200</v>
      </c>
      <c r="B193" s="4">
        <f>Attivo!C195+Attivo!D195+Attivo!E195</f>
        <v>2080629.01</v>
      </c>
      <c r="C193" s="4">
        <f>Attivo!I195+Attivo!J195+Attivo!K195+Attivo!F195+Attivo!G195+Attivo!H195</f>
        <v>267617.46999999997</v>
      </c>
      <c r="D193" s="4">
        <f>Attivo!L195+Attivo!M195+Attivo!N195+Attivo!O195+Attivo!P195+Attivo!Q195+Attivo!R195</f>
        <v>236420.77000000002</v>
      </c>
      <c r="E193" s="4">
        <f>Attivo!S195+Attivo!T195+Attivo!B195</f>
        <v>354002.46</v>
      </c>
    </row>
    <row r="194" spans="1:5">
      <c r="A194" s="3">
        <v>39169</v>
      </c>
      <c r="B194" s="4">
        <f>Attivo!C196+Attivo!D196+Attivo!E196</f>
        <v>2067043.6600000001</v>
      </c>
      <c r="C194" s="4">
        <f>Attivo!I196+Attivo!J196+Attivo!K196+Attivo!F196+Attivo!G196+Attivo!H196</f>
        <v>263839.93</v>
      </c>
      <c r="D194" s="4">
        <f>Attivo!L196+Attivo!M196+Attivo!N196+Attivo!O196+Attivo!P196+Attivo!Q196+Attivo!R196</f>
        <v>224426.05000000002</v>
      </c>
      <c r="E194" s="4">
        <f>Attivo!S196+Attivo!T196+Attivo!B196</f>
        <v>337434.72</v>
      </c>
    </row>
    <row r="195" spans="1:5">
      <c r="A195" s="3">
        <v>39141</v>
      </c>
      <c r="B195" s="4">
        <f>Attivo!C197+Attivo!D197+Attivo!E197</f>
        <v>2031141.79</v>
      </c>
      <c r="C195" s="4">
        <f>Attivo!I197+Attivo!J197+Attivo!K197+Attivo!F197+Attivo!G197+Attivo!H197</f>
        <v>262697.5</v>
      </c>
      <c r="D195" s="4">
        <f>Attivo!L197+Attivo!M197+Attivo!N197+Attivo!O197+Attivo!P197+Attivo!Q197+Attivo!R197</f>
        <v>212890.62000000002</v>
      </c>
      <c r="E195" s="4">
        <f>Attivo!S197+Attivo!T197+Attivo!B197</f>
        <v>310921.31</v>
      </c>
    </row>
    <row r="196" spans="1:5">
      <c r="A196" s="3">
        <v>39110</v>
      </c>
      <c r="B196" s="4">
        <f>Attivo!C198+Attivo!D198+Attivo!E198</f>
        <v>2020719.73</v>
      </c>
      <c r="C196" s="4">
        <f>Attivo!I198+Attivo!J198+Attivo!K198+Attivo!F198+Attivo!G198+Attivo!H198</f>
        <v>257473.18000000002</v>
      </c>
      <c r="D196" s="4">
        <f>Attivo!L198+Attivo!M198+Attivo!N198+Attivo!O198+Attivo!P198+Attivo!Q198+Attivo!R198</f>
        <v>213581.78</v>
      </c>
      <c r="E196" s="4">
        <f>Attivo!S198+Attivo!T198+Attivo!B198</f>
        <v>307570.48</v>
      </c>
    </row>
    <row r="197" spans="1:5">
      <c r="A197" s="3">
        <v>39079</v>
      </c>
      <c r="B197" s="4">
        <f>Attivo!C199+Attivo!D199+Attivo!E199</f>
        <v>2030647.8699999999</v>
      </c>
      <c r="C197" s="4">
        <f>Attivo!I199+Attivo!J199+Attivo!K199+Attivo!F199+Attivo!G199+Attivo!H199</f>
        <v>251348.77</v>
      </c>
      <c r="D197" s="4">
        <f>Attivo!L199+Attivo!M199+Attivo!N199+Attivo!O199+Attivo!P199+Attivo!Q199+Attivo!R199</f>
        <v>197325.97</v>
      </c>
      <c r="E197" s="4">
        <f>Attivo!S199+Attivo!T199+Attivo!B199</f>
        <v>313922.09000000003</v>
      </c>
    </row>
    <row r="198" spans="1:5">
      <c r="A198" s="3">
        <v>39049</v>
      </c>
      <c r="B198" s="4">
        <f>Attivo!C200+Attivo!D200+Attivo!E200</f>
        <v>2019821.0799999998</v>
      </c>
      <c r="C198" s="4">
        <f>Attivo!I200+Attivo!J200+Attivo!K200+Attivo!F200+Attivo!G200+Attivo!H200</f>
        <v>258985.2</v>
      </c>
      <c r="D198" s="4">
        <f>Attivo!L200+Attivo!M200+Attivo!N200+Attivo!O200+Attivo!P200+Attivo!Q200+Attivo!R200</f>
        <v>187342.92</v>
      </c>
      <c r="E198" s="4">
        <f>Attivo!S200+Attivo!T200+Attivo!B200</f>
        <v>313666.42</v>
      </c>
    </row>
    <row r="199" spans="1:5">
      <c r="A199" s="3">
        <v>39018</v>
      </c>
      <c r="B199" s="4">
        <f>Attivo!C201+Attivo!D201+Attivo!E201</f>
        <v>1963688.07</v>
      </c>
      <c r="C199" s="4">
        <f>Attivo!I201+Attivo!J201+Attivo!K201+Attivo!F201+Attivo!G201+Attivo!H201</f>
        <v>253005.49000000002</v>
      </c>
      <c r="D199" s="4">
        <f>Attivo!L201+Attivo!M201+Attivo!N201+Attivo!O201+Attivo!P201+Attivo!Q201+Attivo!R201</f>
        <v>184890.66</v>
      </c>
      <c r="E199" s="4">
        <f>Attivo!S201+Attivo!T201+Attivo!B201</f>
        <v>293026.56</v>
      </c>
    </row>
    <row r="200" spans="1:5">
      <c r="A200" s="3">
        <v>38988</v>
      </c>
      <c r="B200" s="4">
        <f>Attivo!C202+Attivo!D202+Attivo!E202</f>
        <v>1956067.8100000003</v>
      </c>
      <c r="C200" s="4">
        <f>Attivo!I202+Attivo!J202+Attivo!K202+Attivo!F202+Attivo!G202+Attivo!H202</f>
        <v>252725.13999999998</v>
      </c>
      <c r="D200" s="4">
        <f>Attivo!L202+Attivo!M202+Attivo!N202+Attivo!O202+Attivo!P202+Attivo!Q202+Attivo!R202</f>
        <v>180475.74000000002</v>
      </c>
      <c r="E200" s="4">
        <f>Attivo!S202+Attivo!T202+Attivo!B202</f>
        <v>282626.62000000005</v>
      </c>
    </row>
    <row r="201" spans="1:5">
      <c r="A201" s="3">
        <v>38957</v>
      </c>
      <c r="B201" s="4">
        <f>Attivo!C203+Attivo!D203+Attivo!E203</f>
        <v>1915249.44</v>
      </c>
      <c r="C201" s="4">
        <f>Attivo!I203+Attivo!J203+Attivo!K203+Attivo!F203+Attivo!G203+Attivo!H203</f>
        <v>244147.37</v>
      </c>
      <c r="D201" s="4">
        <f>Attivo!L203+Attivo!M203+Attivo!N203+Attivo!O203+Attivo!P203+Attivo!Q203+Attivo!R203</f>
        <v>180248.05000000002</v>
      </c>
      <c r="E201" s="4">
        <f>Attivo!S203+Attivo!T203+Attivo!B203</f>
        <v>280333.81</v>
      </c>
    </row>
    <row r="202" spans="1:5">
      <c r="A202" s="3">
        <v>38926</v>
      </c>
      <c r="B202" s="4">
        <f>Attivo!C204+Attivo!D204+Attivo!E204</f>
        <v>1915001.4200000002</v>
      </c>
      <c r="C202" s="4">
        <f>Attivo!I204+Attivo!J204+Attivo!K204+Attivo!F204+Attivo!G204+Attivo!H204</f>
        <v>245923.96</v>
      </c>
      <c r="D202" s="4">
        <f>Attivo!L204+Attivo!M204+Attivo!N204+Attivo!O204+Attivo!P204+Attivo!Q204+Attivo!R204</f>
        <v>178917.29</v>
      </c>
      <c r="E202" s="4">
        <f>Attivo!S204+Attivo!T204+Attivo!B204</f>
        <v>285421.08</v>
      </c>
    </row>
    <row r="203" spans="1:5">
      <c r="A203" s="3">
        <v>38896</v>
      </c>
      <c r="B203" s="4">
        <f>Attivo!C205+Attivo!D205+Attivo!E205</f>
        <v>1879420.71</v>
      </c>
      <c r="C203" s="4">
        <f>Attivo!I205+Attivo!J205+Attivo!K205+Attivo!F205+Attivo!G205+Attivo!H205</f>
        <v>245463.13</v>
      </c>
      <c r="D203" s="4">
        <f>Attivo!L205+Attivo!M205+Attivo!N205+Attivo!O205+Attivo!P205+Attivo!Q205+Attivo!R205</f>
        <v>179560.83000000002</v>
      </c>
      <c r="E203" s="4">
        <f>Attivo!S205+Attivo!T205+Attivo!B205</f>
        <v>290199.73</v>
      </c>
    </row>
    <row r="204" spans="1:5">
      <c r="A204" s="3">
        <v>38865</v>
      </c>
      <c r="B204" s="4">
        <f>Attivo!C206+Attivo!D206+Attivo!E206</f>
        <v>1877657.91</v>
      </c>
      <c r="C204" s="4">
        <f>Attivo!I206+Attivo!J206+Attivo!K206+Attivo!F206+Attivo!G206+Attivo!H206</f>
        <v>244957.01</v>
      </c>
      <c r="D204" s="4">
        <f>Attivo!L206+Attivo!M206+Attivo!N206+Attivo!O206+Attivo!P206+Attivo!Q206+Attivo!R206</f>
        <v>190447.13</v>
      </c>
      <c r="E204" s="4">
        <f>Attivo!S206+Attivo!T206+Attivo!B206</f>
        <v>296750.65999999997</v>
      </c>
    </row>
    <row r="205" spans="1:5">
      <c r="A205" s="3">
        <v>38835</v>
      </c>
      <c r="B205" s="4">
        <f>Attivo!C207+Attivo!D207+Attivo!E207</f>
        <v>1848448.0000000002</v>
      </c>
      <c r="C205" s="4">
        <f>Attivo!I207+Attivo!J207+Attivo!K207+Attivo!F207+Attivo!G207+Attivo!H207</f>
        <v>240481.18</v>
      </c>
      <c r="D205" s="4">
        <f>Attivo!L207+Attivo!M207+Attivo!N207+Attivo!O207+Attivo!P207+Attivo!Q207+Attivo!R207</f>
        <v>188227.69</v>
      </c>
      <c r="E205" s="4">
        <f>Attivo!S207+Attivo!T207+Attivo!B207</f>
        <v>299925.90000000002</v>
      </c>
    </row>
    <row r="206" spans="1:5">
      <c r="A206" s="3">
        <v>38804</v>
      </c>
      <c r="B206" s="4">
        <f>Attivo!C208+Attivo!D208+Attivo!E208</f>
        <v>1825769.52</v>
      </c>
      <c r="C206" s="4">
        <f>Attivo!I208+Attivo!J208+Attivo!K208+Attivo!F208+Attivo!G208+Attivo!H208</f>
        <v>243982.84999999998</v>
      </c>
      <c r="D206" s="4">
        <f>Attivo!L208+Attivo!M208+Attivo!N208+Attivo!O208+Attivo!P208+Attivo!Q208+Attivo!R208</f>
        <v>182359.53</v>
      </c>
      <c r="E206" s="4">
        <f>Attivo!S208+Attivo!T208+Attivo!B208</f>
        <v>296447.57</v>
      </c>
    </row>
    <row r="207" spans="1:5">
      <c r="A207" s="3">
        <v>38776</v>
      </c>
      <c r="B207" s="4">
        <f>Attivo!C209+Attivo!D209+Attivo!E209</f>
        <v>1783353.9999999998</v>
      </c>
      <c r="C207" s="4">
        <f>Attivo!I209+Attivo!J209+Attivo!K209+Attivo!F209+Attivo!G209+Attivo!H209</f>
        <v>249449.21000000002</v>
      </c>
      <c r="D207" s="4">
        <f>Attivo!L209+Attivo!M209+Attivo!N209+Attivo!O209+Attivo!P209+Attivo!Q209+Attivo!R209</f>
        <v>179077.96</v>
      </c>
      <c r="E207" s="4">
        <f>Attivo!S209+Attivo!T209+Attivo!B209</f>
        <v>303313.44</v>
      </c>
    </row>
    <row r="208" spans="1:5">
      <c r="A208" s="3">
        <v>38745</v>
      </c>
      <c r="B208" s="4">
        <f>Attivo!C210+Attivo!D210+Attivo!E210</f>
        <v>1810663.38</v>
      </c>
      <c r="C208" s="4">
        <f>Attivo!I210+Attivo!J210+Attivo!K210+Attivo!F210+Attivo!G210+Attivo!H210</f>
        <v>248531.8</v>
      </c>
      <c r="D208" s="4">
        <f>Attivo!L210+Attivo!M210+Attivo!N210+Attivo!O210+Attivo!P210+Attivo!Q210+Attivo!R210</f>
        <v>175604.86000000002</v>
      </c>
      <c r="E208" s="4">
        <f>Attivo!S210+Attivo!T210+Attivo!B210</f>
        <v>303363.36</v>
      </c>
    </row>
    <row r="209" spans="1:5">
      <c r="A209" s="3">
        <v>38714</v>
      </c>
      <c r="B209" s="4">
        <f>Attivo!C211+Attivo!D211+Attivo!E211</f>
        <v>1790400.9899999998</v>
      </c>
      <c r="C209" s="4">
        <f>Attivo!I211+Attivo!J211+Attivo!K211+Attivo!F211+Attivo!G211+Attivo!H211</f>
        <v>239057.81000000003</v>
      </c>
      <c r="D209" s="4">
        <f>Attivo!L211+Attivo!M211+Attivo!N211+Attivo!O211+Attivo!P211+Attivo!Q211+Attivo!R211</f>
        <v>170146.74000000002</v>
      </c>
      <c r="E209" s="4">
        <f>Attivo!S211+Attivo!T211+Attivo!B211</f>
        <v>309829.84000000003</v>
      </c>
    </row>
    <row r="210" spans="1:5">
      <c r="A210" s="3">
        <v>38684</v>
      </c>
      <c r="B210" s="4">
        <f>Attivo!C212+Attivo!D212+Attivo!E212</f>
        <v>1780132.3099999998</v>
      </c>
      <c r="C210" s="4">
        <f>Attivo!I212+Attivo!J212+Attivo!K212+Attivo!F212+Attivo!G212+Attivo!H212</f>
        <v>247513.05000000002</v>
      </c>
      <c r="D210" s="4">
        <f>Attivo!L212+Attivo!M212+Attivo!N212+Attivo!O212+Attivo!P212+Attivo!Q212+Attivo!R212</f>
        <v>184196.4</v>
      </c>
      <c r="E210" s="4">
        <f>Attivo!S212+Attivo!T212+Attivo!B212</f>
        <v>309977.74</v>
      </c>
    </row>
    <row r="211" spans="1:5">
      <c r="A211" s="3">
        <v>38653</v>
      </c>
      <c r="B211" s="4">
        <f>Attivo!C213+Attivo!D213+Attivo!E213</f>
        <v>1762493.5899999999</v>
      </c>
      <c r="C211" s="4">
        <f>Attivo!I213+Attivo!J213+Attivo!K213+Attivo!F213+Attivo!G213+Attivo!H213</f>
        <v>245673.55000000002</v>
      </c>
      <c r="D211" s="4">
        <f>Attivo!L213+Attivo!M213+Attivo!N213+Attivo!O213+Attivo!P213+Attivo!Q213+Attivo!R213</f>
        <v>172598.06</v>
      </c>
      <c r="E211" s="4">
        <f>Attivo!S213+Attivo!T213+Attivo!B213</f>
        <v>298751.52999999997</v>
      </c>
    </row>
    <row r="212" spans="1:5">
      <c r="A212" s="3">
        <v>38623</v>
      </c>
      <c r="B212" s="4">
        <f>Attivo!C214+Attivo!D214+Attivo!E214</f>
        <v>1746170.43</v>
      </c>
      <c r="C212" s="4">
        <f>Attivo!I214+Attivo!J214+Attivo!K214+Attivo!F214+Attivo!G214+Attivo!H214</f>
        <v>241995.83000000002</v>
      </c>
      <c r="D212" s="4">
        <f>Attivo!L214+Attivo!M214+Attivo!N214+Attivo!O214+Attivo!P214+Attivo!Q214+Attivo!R214</f>
        <v>162770.26000000004</v>
      </c>
      <c r="E212" s="4">
        <f>Attivo!S214+Attivo!T214+Attivo!B214</f>
        <v>298753.09000000003</v>
      </c>
    </row>
    <row r="213" spans="1:5">
      <c r="A213" s="3">
        <v>38592</v>
      </c>
      <c r="B213" s="4">
        <f>Attivo!C215+Attivo!D215+Attivo!E215</f>
        <v>1725868.52</v>
      </c>
      <c r="C213" s="4">
        <f>Attivo!I215+Attivo!J215+Attivo!K215+Attivo!F215+Attivo!G215+Attivo!H215</f>
        <v>236269.49000000002</v>
      </c>
      <c r="D213" s="4">
        <f>Attivo!L215+Attivo!M215+Attivo!N215+Attivo!O215+Attivo!P215+Attivo!Q215+Attivo!R215</f>
        <v>158412.43</v>
      </c>
      <c r="E213" s="4">
        <f>Attivo!S215+Attivo!T215+Attivo!B215</f>
        <v>291307.15999999997</v>
      </c>
    </row>
    <row r="214" spans="1:5">
      <c r="A214" s="3">
        <v>38561</v>
      </c>
      <c r="B214" s="4">
        <f>Attivo!C216+Attivo!D216+Attivo!E216</f>
        <v>1724277.3699999999</v>
      </c>
      <c r="C214" s="4">
        <f>Attivo!I216+Attivo!J216+Attivo!K216+Attivo!F216+Attivo!G216+Attivo!H216</f>
        <v>238890.05000000002</v>
      </c>
      <c r="D214" s="4">
        <f>Attivo!L216+Attivo!M216+Attivo!N216+Attivo!O216+Attivo!P216+Attivo!Q216+Attivo!R216</f>
        <v>159070.63</v>
      </c>
      <c r="E214" s="4">
        <f>Attivo!S216+Attivo!T216+Attivo!B216</f>
        <v>297238.20999999996</v>
      </c>
    </row>
    <row r="215" spans="1:5">
      <c r="A215" s="3">
        <v>38531</v>
      </c>
      <c r="B215" s="4">
        <f>Attivo!C217+Attivo!D217+Attivo!E217</f>
        <v>1734428.1099999999</v>
      </c>
      <c r="C215" s="4">
        <f>Attivo!I217+Attivo!J217+Attivo!K217+Attivo!F217+Attivo!G217+Attivo!H217</f>
        <v>240072.92</v>
      </c>
      <c r="D215" s="4">
        <f>Attivo!L217+Attivo!M217+Attivo!N217+Attivo!O217+Attivo!P217+Attivo!Q217+Attivo!R217</f>
        <v>164990.79</v>
      </c>
      <c r="E215" s="4">
        <f>Attivo!S217+Attivo!T217+Attivo!B217</f>
        <v>305439.01</v>
      </c>
    </row>
    <row r="216" spans="1:5">
      <c r="A216" s="3">
        <v>38500</v>
      </c>
      <c r="B216" s="4">
        <f>Attivo!C218+Attivo!D218+Attivo!E218</f>
        <v>1707458.8199999998</v>
      </c>
      <c r="C216" s="4">
        <f>Attivo!I218+Attivo!J218+Attivo!K218+Attivo!F218+Attivo!G218+Attivo!H218</f>
        <v>230779.49</v>
      </c>
      <c r="D216" s="4">
        <f>Attivo!L218+Attivo!M218+Attivo!N218+Attivo!O218+Attivo!P218+Attivo!Q218+Attivo!R218</f>
        <v>174006.09</v>
      </c>
      <c r="E216" s="4">
        <f>Attivo!S218+Attivo!T218+Attivo!B218</f>
        <v>305107.05</v>
      </c>
    </row>
    <row r="217" spans="1:5">
      <c r="A217" s="3">
        <v>38470</v>
      </c>
      <c r="B217" s="4">
        <f>Attivo!C219+Attivo!D219+Attivo!E219</f>
        <v>1674649.48</v>
      </c>
      <c r="C217" s="4">
        <f>Attivo!I219+Attivo!J219+Attivo!K219+Attivo!F219+Attivo!G219+Attivo!H219</f>
        <v>227958.93000000002</v>
      </c>
      <c r="D217" s="4">
        <f>Attivo!L219+Attivo!M219+Attivo!N219+Attivo!O219+Attivo!P219+Attivo!Q219+Attivo!R219</f>
        <v>165638.28999999998</v>
      </c>
      <c r="E217" s="4">
        <f>Attivo!S219+Attivo!T219+Attivo!B219</f>
        <v>287744.46999999997</v>
      </c>
    </row>
    <row r="218" spans="1:5">
      <c r="A218" s="3">
        <v>38439</v>
      </c>
      <c r="B218" s="4">
        <f>Attivo!C220+Attivo!D220+Attivo!E220</f>
        <v>1661905.78</v>
      </c>
      <c r="C218" s="4">
        <f>Attivo!I220+Attivo!J220+Attivo!K220+Attivo!F220+Attivo!G220+Attivo!H220</f>
        <v>223901.67999999996</v>
      </c>
      <c r="D218" s="4">
        <f>Attivo!L220+Attivo!M220+Attivo!N220+Attivo!O220+Attivo!P220+Attivo!Q220+Attivo!R220</f>
        <v>156861.71</v>
      </c>
      <c r="E218" s="4">
        <f>Attivo!S220+Attivo!T220+Attivo!B220</f>
        <v>286898.26</v>
      </c>
    </row>
    <row r="219" spans="1:5">
      <c r="A219" s="3">
        <v>38411</v>
      </c>
      <c r="B219" s="4">
        <f>Attivo!C221+Attivo!D221+Attivo!E221</f>
        <v>1643546.75</v>
      </c>
      <c r="C219" s="4">
        <f>Attivo!I221+Attivo!J221+Attivo!K221+Attivo!F221+Attivo!G221+Attivo!H221</f>
        <v>220112.07</v>
      </c>
      <c r="D219" s="4">
        <f>Attivo!L221+Attivo!M221+Attivo!N221+Attivo!O221+Attivo!P221+Attivo!Q221+Attivo!R221</f>
        <v>150781.63</v>
      </c>
      <c r="E219" s="4">
        <f>Attivo!S221+Attivo!T221+Attivo!B221</f>
        <v>277379.14</v>
      </c>
    </row>
    <row r="220" spans="1:5">
      <c r="A220" s="3">
        <v>38380</v>
      </c>
      <c r="B220" s="4">
        <f>Attivo!C222+Attivo!D222+Attivo!E222</f>
        <v>1649097.0100000002</v>
      </c>
      <c r="C220" s="4">
        <f>Attivo!I222+Attivo!J222+Attivo!K222+Attivo!F222+Attivo!G222+Attivo!H222</f>
        <v>213235.74000000002</v>
      </c>
      <c r="D220" s="4">
        <f>Attivo!L222+Attivo!M222+Attivo!N222+Attivo!O222+Attivo!P222+Attivo!Q222+Attivo!R222</f>
        <v>148524.02999999997</v>
      </c>
      <c r="E220" s="4">
        <f>Attivo!S222+Attivo!T222+Attivo!B222</f>
        <v>279760.09000000003</v>
      </c>
    </row>
    <row r="221" spans="1:5">
      <c r="A221" s="3">
        <v>38349</v>
      </c>
      <c r="B221" s="4">
        <f>Attivo!C223+Attivo!D223+Attivo!E223</f>
        <v>1655670.2499999998</v>
      </c>
      <c r="C221" s="4">
        <f>Attivo!I223+Attivo!J223+Attivo!K223+Attivo!F223+Attivo!G223+Attivo!H223</f>
        <v>209835.53</v>
      </c>
      <c r="D221" s="4">
        <f>Attivo!L223+Attivo!M223+Attivo!N223+Attivo!O223+Attivo!P223+Attivo!Q223+Attivo!R223</f>
        <v>140981.94999999998</v>
      </c>
      <c r="E221" s="4">
        <f>Attivo!S223+Attivo!T223+Attivo!B223</f>
        <v>269142.04000000004</v>
      </c>
    </row>
    <row r="222" spans="1:5">
      <c r="A222" s="3">
        <v>38319</v>
      </c>
      <c r="B222" s="4">
        <f>Attivo!C224+Attivo!D224+Attivo!E224</f>
        <v>1622320.5199999998</v>
      </c>
      <c r="C222" s="4">
        <f>Attivo!I224+Attivo!J224+Attivo!K224+Attivo!F224+Attivo!G224+Attivo!H224</f>
        <v>225751.25999999998</v>
      </c>
      <c r="D222" s="4">
        <f>Attivo!L224+Attivo!M224+Attivo!N224+Attivo!O224+Attivo!P224+Attivo!Q224+Attivo!R224</f>
        <v>147892.65999999997</v>
      </c>
      <c r="E222" s="4">
        <f>Attivo!S224+Attivo!T224+Attivo!B224</f>
        <v>267862.15000000002</v>
      </c>
    </row>
    <row r="223" spans="1:5">
      <c r="A223" s="3">
        <v>38288</v>
      </c>
      <c r="B223" s="4">
        <f>Attivo!C225+Attivo!D225+Attivo!E225</f>
        <v>1600524.95</v>
      </c>
      <c r="C223" s="4">
        <f>Attivo!I225+Attivo!J225+Attivo!K225+Attivo!F225+Attivo!G225+Attivo!H225</f>
        <v>223622.28999999998</v>
      </c>
      <c r="D223" s="4">
        <f>Attivo!L225+Attivo!M225+Attivo!N225+Attivo!O225+Attivo!P225+Attivo!Q225+Attivo!R225</f>
        <v>145901.85999999999</v>
      </c>
      <c r="E223" s="4">
        <f>Attivo!S225+Attivo!T225+Attivo!B225</f>
        <v>252816.66999999998</v>
      </c>
    </row>
    <row r="224" spans="1:5">
      <c r="A224" s="3">
        <v>38258</v>
      </c>
      <c r="B224" s="4">
        <f>Attivo!C226+Attivo!D226+Attivo!E226</f>
        <v>1592633.05</v>
      </c>
      <c r="C224" s="4">
        <f>Attivo!I226+Attivo!J226+Attivo!K226+Attivo!F226+Attivo!G226+Attivo!H226</f>
        <v>221080.94999999998</v>
      </c>
      <c r="D224" s="4">
        <f>Attivo!L226+Attivo!M226+Attivo!N226+Attivo!O226+Attivo!P226+Attivo!Q226+Attivo!R226</f>
        <v>142191.04000000001</v>
      </c>
      <c r="E224" s="4">
        <f>Attivo!S226+Attivo!T226+Attivo!B226</f>
        <v>247657.75999999998</v>
      </c>
    </row>
    <row r="225" spans="1:5">
      <c r="A225" s="3">
        <v>38227</v>
      </c>
      <c r="B225" s="4">
        <f>Attivo!C227+Attivo!D227+Attivo!E227</f>
        <v>1584959.4999999998</v>
      </c>
      <c r="C225" s="4">
        <f>Attivo!I227+Attivo!J227+Attivo!K227+Attivo!F227+Attivo!G227+Attivo!H227</f>
        <v>217553.99</v>
      </c>
      <c r="D225" s="4">
        <f>Attivo!L227+Attivo!M227+Attivo!N227+Attivo!O227+Attivo!P227+Attivo!Q227+Attivo!R227</f>
        <v>145989.51</v>
      </c>
      <c r="E225" s="4">
        <f>Attivo!S227+Attivo!T227+Attivo!B227</f>
        <v>235494.37</v>
      </c>
    </row>
    <row r="226" spans="1:5">
      <c r="A226" s="3">
        <v>38196</v>
      </c>
      <c r="B226" s="4">
        <f>Attivo!C228+Attivo!D228+Attivo!E228</f>
        <v>1589603.31</v>
      </c>
      <c r="C226" s="4">
        <f>Attivo!I228+Attivo!J228+Attivo!K228+Attivo!F228+Attivo!G228+Attivo!H228</f>
        <v>217960.66</v>
      </c>
      <c r="D226" s="4">
        <f>Attivo!L228+Attivo!M228+Attivo!N228+Attivo!O228+Attivo!P228+Attivo!Q228+Attivo!R228</f>
        <v>146768.06999999998</v>
      </c>
      <c r="E226" s="4">
        <f>Attivo!S228+Attivo!T228+Attivo!B228</f>
        <v>241476.06</v>
      </c>
    </row>
    <row r="227" spans="1:5">
      <c r="A227" s="3">
        <v>38166</v>
      </c>
      <c r="B227" s="4">
        <f>Attivo!C229+Attivo!D229+Attivo!E229</f>
        <v>1563991.61</v>
      </c>
      <c r="C227" s="4">
        <f>Attivo!I229+Attivo!J229+Attivo!K229+Attivo!F229+Attivo!G229+Attivo!H229</f>
        <v>221406.58</v>
      </c>
      <c r="D227" s="4">
        <f>Attivo!L229+Attivo!M229+Attivo!N229+Attivo!O229+Attivo!P229+Attivo!Q229+Attivo!R229</f>
        <v>150271.03</v>
      </c>
      <c r="E227" s="4">
        <f>Attivo!S229+Attivo!T229+Attivo!B229</f>
        <v>254906.77999999997</v>
      </c>
    </row>
    <row r="228" spans="1:5">
      <c r="A228" s="3">
        <v>38135</v>
      </c>
      <c r="B228" s="4">
        <f>Attivo!C230+Attivo!D230+Attivo!E230</f>
        <v>1558904.61</v>
      </c>
      <c r="C228" s="4">
        <f>Attivo!I230+Attivo!J230+Attivo!K230+Attivo!F230+Attivo!G230+Attivo!H230</f>
        <v>218493.92000000004</v>
      </c>
      <c r="D228" s="4">
        <f>Attivo!L230+Attivo!M230+Attivo!N230+Attivo!O230+Attivo!P230+Attivo!Q230+Attivo!R230</f>
        <v>158515.74</v>
      </c>
      <c r="E228" s="4">
        <f>Attivo!S230+Attivo!T230+Attivo!B230</f>
        <v>251249.42</v>
      </c>
    </row>
    <row r="229" spans="1:5">
      <c r="A229" s="3">
        <v>38105</v>
      </c>
      <c r="B229" s="4">
        <f>Attivo!C231+Attivo!D231+Attivo!E231</f>
        <v>1561103.4000000001</v>
      </c>
      <c r="C229" s="4">
        <f>Attivo!I231+Attivo!J231+Attivo!K231+Attivo!F231+Attivo!G231+Attivo!H231</f>
        <v>216592.85</v>
      </c>
      <c r="D229" s="4">
        <f>Attivo!L231+Attivo!M231+Attivo!N231+Attivo!O231+Attivo!P231+Attivo!Q231+Attivo!R231</f>
        <v>152879.09000000003</v>
      </c>
      <c r="E229" s="4">
        <f>Attivo!S231+Attivo!T231+Attivo!B231</f>
        <v>250981.69</v>
      </c>
    </row>
    <row r="230" spans="1:5">
      <c r="A230" s="3">
        <v>38074</v>
      </c>
      <c r="B230" s="4">
        <f>Attivo!C232+Attivo!D232+Attivo!E232</f>
        <v>1563199.78</v>
      </c>
      <c r="C230" s="4">
        <f>Attivo!I232+Attivo!J232+Attivo!K232+Attivo!F232+Attivo!G232+Attivo!H232</f>
        <v>217415.96999999997</v>
      </c>
      <c r="D230" s="4">
        <f>Attivo!L232+Attivo!M232+Attivo!N232+Attivo!O232+Attivo!P232+Attivo!Q232+Attivo!R232</f>
        <v>147971.81</v>
      </c>
      <c r="E230" s="4">
        <f>Attivo!S232+Attivo!T232+Attivo!B232</f>
        <v>263384.64999999997</v>
      </c>
    </row>
    <row r="231" spans="1:5">
      <c r="A231" s="3">
        <v>38045</v>
      </c>
      <c r="B231" s="4">
        <f>Attivo!C233+Attivo!D233+Attivo!E233</f>
        <v>1542256.19</v>
      </c>
      <c r="C231" s="4">
        <f>Attivo!I233+Attivo!J233+Attivo!K233+Attivo!F233+Attivo!G233+Attivo!H233</f>
        <v>209937.28</v>
      </c>
      <c r="D231" s="4">
        <f>Attivo!L233+Attivo!M233+Attivo!N233+Attivo!O233+Attivo!P233+Attivo!Q233+Attivo!R233</f>
        <v>140015.81</v>
      </c>
      <c r="E231" s="4">
        <f>Attivo!S233+Attivo!T233+Attivo!B233</f>
        <v>253330.73</v>
      </c>
    </row>
    <row r="232" spans="1:5">
      <c r="A232" s="3">
        <v>38014</v>
      </c>
      <c r="B232" s="4">
        <f>Attivo!C234+Attivo!D234+Attivo!E234</f>
        <v>1557467.7</v>
      </c>
      <c r="C232" s="4">
        <f>Attivo!I234+Attivo!J234+Attivo!K234+Attivo!F234+Attivo!G234+Attivo!H234</f>
        <v>203844.56</v>
      </c>
      <c r="D232" s="4">
        <f>Attivo!L234+Attivo!M234+Attivo!N234+Attivo!O234+Attivo!P234+Attivo!Q234+Attivo!R234</f>
        <v>136080.59</v>
      </c>
      <c r="E232" s="4">
        <f>Attivo!S234+Attivo!T234+Attivo!B234</f>
        <v>260330.03999999998</v>
      </c>
    </row>
    <row r="233" spans="1:5">
      <c r="A233" s="3">
        <v>37983</v>
      </c>
      <c r="B233" s="4">
        <f>Attivo!C235+Attivo!D235+Attivo!E235</f>
        <v>1554254.93</v>
      </c>
      <c r="C233" s="4">
        <f>Attivo!I235+Attivo!J235+Attivo!K235+Attivo!F235+Attivo!G235+Attivo!H235</f>
        <v>192359.33</v>
      </c>
      <c r="D233" s="4">
        <f>Attivo!L235+Attivo!M235+Attivo!N235+Attivo!O235+Attivo!P235+Attivo!Q235+Attivo!R235</f>
        <v>133869.04</v>
      </c>
      <c r="E233" s="4">
        <f>Attivo!S235+Attivo!T235+Attivo!B235</f>
        <v>244882.61000000002</v>
      </c>
    </row>
    <row r="234" spans="1:5">
      <c r="A234" s="3">
        <v>37953</v>
      </c>
      <c r="B234" s="4">
        <f>Attivo!C236+Attivo!D236+Attivo!E236</f>
        <v>1518592.1</v>
      </c>
      <c r="C234" s="4">
        <f>Attivo!I236+Attivo!J236+Attivo!K236+Attivo!F236+Attivo!G236+Attivo!H236</f>
        <v>198922.29</v>
      </c>
      <c r="D234" s="4">
        <f>Attivo!L236+Attivo!M236+Attivo!N236+Attivo!O236+Attivo!P236+Attivo!Q236+Attivo!R236</f>
        <v>138345.95000000001</v>
      </c>
      <c r="E234" s="4">
        <f>Attivo!S236+Attivo!T236+Attivo!B236</f>
        <v>234707.21999999997</v>
      </c>
    </row>
    <row r="235" spans="1:5">
      <c r="A235" s="3">
        <v>37922</v>
      </c>
      <c r="B235" s="4">
        <f>Attivo!C237+Attivo!D237+Attivo!E237</f>
        <v>1515628.2699999998</v>
      </c>
      <c r="C235" s="4">
        <f>Attivo!I237+Attivo!J237+Attivo!K237+Attivo!F237+Attivo!G237+Attivo!H237</f>
        <v>193852.78</v>
      </c>
      <c r="D235" s="4">
        <f>Attivo!L237+Attivo!M237+Attivo!N237+Attivo!O237+Attivo!P237+Attivo!Q237+Attivo!R237</f>
        <v>136748.43000000002</v>
      </c>
      <c r="E235" s="4">
        <f>Attivo!S237+Attivo!T237+Attivo!B237</f>
        <v>231010.75999999998</v>
      </c>
    </row>
    <row r="236" spans="1:5">
      <c r="A236" s="3">
        <v>37892</v>
      </c>
      <c r="B236" s="4">
        <f>Attivo!C238+Attivo!D238+Attivo!E238</f>
        <v>1504536.02</v>
      </c>
      <c r="C236" s="4">
        <f>Attivo!I238+Attivo!J238+Attivo!K238+Attivo!F238+Attivo!G238+Attivo!H238</f>
        <v>196987.61000000002</v>
      </c>
      <c r="D236" s="4">
        <f>Attivo!L238+Attivo!M238+Attivo!N238+Attivo!O238+Attivo!P238+Attivo!Q238+Attivo!R238</f>
        <v>133247.87</v>
      </c>
      <c r="E236" s="4">
        <f>Attivo!S238+Attivo!T238+Attivo!B238</f>
        <v>243801</v>
      </c>
    </row>
    <row r="237" spans="1:5">
      <c r="A237" s="3">
        <v>37861</v>
      </c>
      <c r="B237" s="4">
        <f>Attivo!C239+Attivo!D239+Attivo!E239</f>
        <v>1484993.9200000002</v>
      </c>
      <c r="C237" s="4">
        <f>Attivo!I239+Attivo!J239+Attivo!K239+Attivo!F239+Attivo!G239+Attivo!H239</f>
        <v>196699.4</v>
      </c>
      <c r="D237" s="4">
        <f>Attivo!L239+Attivo!M239+Attivo!N239+Attivo!O239+Attivo!P239+Attivo!Q239+Attivo!R239</f>
        <v>132156.82</v>
      </c>
      <c r="E237" s="4">
        <f>Attivo!S239+Attivo!T239+Attivo!B239</f>
        <v>226473.05000000002</v>
      </c>
    </row>
    <row r="238" spans="1:5">
      <c r="A238" s="3">
        <v>37830</v>
      </c>
      <c r="B238" s="4">
        <f>Attivo!C240+Attivo!D240+Attivo!E240</f>
        <v>1487938.01</v>
      </c>
      <c r="C238" s="4">
        <f>Attivo!I240+Attivo!J240+Attivo!K240+Attivo!F240+Attivo!G240+Attivo!H240</f>
        <v>196162.2</v>
      </c>
      <c r="D238" s="4">
        <f>Attivo!L240+Attivo!M240+Attivo!N240+Attivo!O240+Attivo!P240+Attivo!Q240+Attivo!R240</f>
        <v>130910.56999999999</v>
      </c>
      <c r="E238" s="4">
        <f>Attivo!S240+Attivo!T240+Attivo!B240</f>
        <v>242972.72</v>
      </c>
    </row>
    <row r="239" spans="1:5">
      <c r="A239" s="3">
        <v>37800</v>
      </c>
      <c r="B239" s="4">
        <f>Attivo!C241+Attivo!D241+Attivo!E241</f>
        <v>1489212.71</v>
      </c>
      <c r="C239" s="4">
        <f>Attivo!I241+Attivo!J241+Attivo!K241+Attivo!F241+Attivo!G241+Attivo!H241</f>
        <v>195018.55</v>
      </c>
      <c r="D239" s="4">
        <f>Attivo!L241+Attivo!M241+Attivo!N241+Attivo!O241+Attivo!P241+Attivo!Q241+Attivo!R241</f>
        <v>132569.41999999998</v>
      </c>
      <c r="E239" s="4">
        <f>Attivo!S241+Attivo!T241+Attivo!B241</f>
        <v>258296.6</v>
      </c>
    </row>
    <row r="240" spans="1:5">
      <c r="A240" s="3">
        <v>37769</v>
      </c>
      <c r="B240" s="4">
        <f>Attivo!C242+Attivo!D242+Attivo!E242</f>
        <v>1466696.18</v>
      </c>
      <c r="C240" s="4">
        <f>Attivo!I242+Attivo!J242+Attivo!K242+Attivo!F242+Attivo!G242+Attivo!H242</f>
        <v>195538.86</v>
      </c>
      <c r="D240" s="4">
        <f>Attivo!L242+Attivo!M242+Attivo!N242+Attivo!O242+Attivo!P242+Attivo!Q242+Attivo!R242</f>
        <v>136829.37</v>
      </c>
      <c r="E240" s="4">
        <f>Attivo!S242+Attivo!T242+Attivo!B242</f>
        <v>258807.18000000002</v>
      </c>
    </row>
    <row r="241" spans="1:5">
      <c r="A241" s="3">
        <v>37739</v>
      </c>
      <c r="B241" s="4">
        <f>Attivo!C243+Attivo!D243+Attivo!E243</f>
        <v>1458553.8299999998</v>
      </c>
      <c r="C241" s="4">
        <f>Attivo!I243+Attivo!J243+Attivo!K243+Attivo!F243+Attivo!G243+Attivo!H243</f>
        <v>195065.53999999998</v>
      </c>
      <c r="D241" s="4">
        <f>Attivo!L243+Attivo!M243+Attivo!N243+Attivo!O243+Attivo!P243+Attivo!Q243+Attivo!R243</f>
        <v>131983.08999999997</v>
      </c>
      <c r="E241" s="4">
        <f>Attivo!S243+Attivo!T243+Attivo!B243</f>
        <v>247386.66999999998</v>
      </c>
    </row>
    <row r="242" spans="1:5">
      <c r="A242" s="3">
        <v>37708</v>
      </c>
      <c r="B242" s="4">
        <f>Attivo!C244+Attivo!D244+Attivo!E244</f>
        <v>1469938.2600000002</v>
      </c>
      <c r="C242" s="4">
        <f>Attivo!I244+Attivo!J244+Attivo!K244+Attivo!F244+Attivo!G244+Attivo!H244</f>
        <v>191691.53999999998</v>
      </c>
      <c r="D242" s="4">
        <f>Attivo!L244+Attivo!M244+Attivo!N244+Attivo!O244+Attivo!P244+Attivo!Q244+Attivo!R244</f>
        <v>123322.24000000002</v>
      </c>
      <c r="E242" s="4">
        <f>Attivo!S244+Attivo!T244+Attivo!B244</f>
        <v>254081.38</v>
      </c>
    </row>
    <row r="243" spans="1:5">
      <c r="A243" s="3">
        <v>37680</v>
      </c>
      <c r="B243" s="4">
        <f>Attivo!C245+Attivo!D245+Attivo!E245</f>
        <v>1475698.2</v>
      </c>
      <c r="C243" s="4">
        <f>Attivo!I245+Attivo!J245+Attivo!K245+Attivo!F245+Attivo!G245+Attivo!H245</f>
        <v>193179.31000000003</v>
      </c>
      <c r="D243" s="4">
        <f>Attivo!L245+Attivo!M245+Attivo!N245+Attivo!O245+Attivo!P245+Attivo!Q245+Attivo!R245</f>
        <v>119327.93</v>
      </c>
      <c r="E243" s="4">
        <f>Attivo!S245+Attivo!T245+Attivo!B245</f>
        <v>246816.38</v>
      </c>
    </row>
    <row r="244" spans="1:5">
      <c r="A244" s="3">
        <v>37649</v>
      </c>
      <c r="B244" s="4">
        <f>Attivo!C246+Attivo!D246+Attivo!E246</f>
        <v>1467772.48</v>
      </c>
      <c r="C244" s="4">
        <f>Attivo!I246+Attivo!J246+Attivo!K246+Attivo!F246+Attivo!G246+Attivo!H246</f>
        <v>188205.13999999998</v>
      </c>
      <c r="D244" s="4">
        <f>Attivo!L246+Attivo!M246+Attivo!N246+Attivo!O246+Attivo!P246+Attivo!Q246+Attivo!R246</f>
        <v>117418.83</v>
      </c>
      <c r="E244" s="4">
        <f>Attivo!S246+Attivo!T246+Attivo!B246</f>
        <v>247515.84000000003</v>
      </c>
    </row>
    <row r="245" spans="1:5">
      <c r="A245" s="3">
        <v>37618</v>
      </c>
      <c r="B245" s="4">
        <f>Attivo!C247+Attivo!D247+Attivo!E247</f>
        <v>1480001.2400000002</v>
      </c>
      <c r="C245" s="4">
        <f>Attivo!I247+Attivo!J247+Attivo!K247+Attivo!F247+Attivo!G247+Attivo!H247</f>
        <v>182776.18999999997</v>
      </c>
      <c r="D245" s="4">
        <f>Attivo!L247+Attivo!M247+Attivo!N247+Attivo!O247+Attivo!P247+Attivo!Q247+Attivo!R247</f>
        <v>116221.41</v>
      </c>
      <c r="E245" s="4">
        <f>Attivo!S247+Attivo!T247+Attivo!B247</f>
        <v>245158.07</v>
      </c>
    </row>
    <row r="246" spans="1:5">
      <c r="A246" s="3">
        <v>37588</v>
      </c>
      <c r="B246" s="4">
        <f>Attivo!C248+Attivo!D248+Attivo!E248</f>
        <v>1413820.6500000001</v>
      </c>
      <c r="C246" s="4">
        <f>Attivo!I248+Attivo!J248+Attivo!K248+Attivo!F248+Attivo!G248+Attivo!H248</f>
        <v>188336.80999999997</v>
      </c>
      <c r="D246" s="4">
        <f>Attivo!L248+Attivo!M248+Attivo!N248+Attivo!O248+Attivo!P248+Attivo!Q248+Attivo!R248</f>
        <v>126198.32999999999</v>
      </c>
      <c r="E246" s="4">
        <f>Attivo!S248+Attivo!T248+Attivo!B248</f>
        <v>228302.63</v>
      </c>
    </row>
    <row r="247" spans="1:5">
      <c r="A247" s="3">
        <v>37557</v>
      </c>
      <c r="B247" s="4">
        <f>Attivo!C249+Attivo!D249+Attivo!E249</f>
        <v>1395389.78</v>
      </c>
      <c r="C247" s="4">
        <f>Attivo!I249+Attivo!J249+Attivo!K249+Attivo!F249+Attivo!G249+Attivo!H249</f>
        <v>193653.94</v>
      </c>
      <c r="D247" s="4">
        <f>Attivo!L249+Attivo!M249+Attivo!N249+Attivo!O249+Attivo!P249+Attivo!Q249+Attivo!R249</f>
        <v>121457.66</v>
      </c>
      <c r="E247" s="4">
        <f>Attivo!S249+Attivo!T249+Attivo!B249</f>
        <v>212299.23</v>
      </c>
    </row>
    <row r="248" spans="1:5">
      <c r="A248" s="3">
        <v>37527</v>
      </c>
      <c r="B248" s="4">
        <f>Attivo!C250+Attivo!D250+Attivo!E250</f>
        <v>1369623.15</v>
      </c>
      <c r="C248" s="4">
        <f>Attivo!I250+Attivo!J250+Attivo!K250+Attivo!F250+Attivo!G250+Attivo!H250</f>
        <v>195185.57</v>
      </c>
      <c r="D248" s="4">
        <f>Attivo!L250+Attivo!M250+Attivo!N250+Attivo!O250+Attivo!P250+Attivo!Q250+Attivo!R250</f>
        <v>118541.79000000001</v>
      </c>
      <c r="E248" s="4">
        <f>Attivo!S250+Attivo!T250+Attivo!B250</f>
        <v>217426.88999999998</v>
      </c>
    </row>
    <row r="249" spans="1:5">
      <c r="A249" s="3">
        <v>37496</v>
      </c>
      <c r="B249" s="4">
        <f>Attivo!C251+Attivo!D251+Attivo!E251</f>
        <v>1362050.2100000002</v>
      </c>
      <c r="C249" s="4">
        <f>Attivo!I251+Attivo!J251+Attivo!K251+Attivo!F251+Attivo!G251+Attivo!H251</f>
        <v>189501.71</v>
      </c>
      <c r="D249" s="4">
        <f>Attivo!L251+Attivo!M251+Attivo!N251+Attivo!O251+Attivo!P251+Attivo!Q251+Attivo!R251</f>
        <v>120865</v>
      </c>
      <c r="E249" s="4">
        <f>Attivo!S251+Attivo!T251+Attivo!B251</f>
        <v>214682.97999999998</v>
      </c>
    </row>
    <row r="250" spans="1:5">
      <c r="A250" s="3">
        <v>37465</v>
      </c>
      <c r="B250" s="4">
        <f>Attivo!C252+Attivo!D252+Attivo!E252</f>
        <v>1372477.8</v>
      </c>
      <c r="C250" s="4">
        <f>Attivo!I252+Attivo!J252+Attivo!K252+Attivo!F252+Attivo!G252+Attivo!H252</f>
        <v>192649</v>
      </c>
      <c r="D250" s="4">
        <f>Attivo!L252+Attivo!M252+Attivo!N252+Attivo!O252+Attivo!P252+Attivo!Q252+Attivo!R252</f>
        <v>120261.26000000001</v>
      </c>
      <c r="E250" s="4">
        <f>Attivo!S252+Attivo!T252+Attivo!B252</f>
        <v>224864.36000000002</v>
      </c>
    </row>
    <row r="251" spans="1:5">
      <c r="A251" s="3">
        <v>37435</v>
      </c>
      <c r="B251" s="4">
        <f>Attivo!C253+Attivo!D253+Attivo!E253</f>
        <v>1341074.9100000001</v>
      </c>
      <c r="C251" s="4">
        <f>Attivo!I253+Attivo!J253+Attivo!K253+Attivo!F253+Attivo!G253+Attivo!H253</f>
        <v>201191.06000000003</v>
      </c>
      <c r="D251" s="4">
        <f>Attivo!L253+Attivo!M253+Attivo!N253+Attivo!O253+Attivo!P253+Attivo!Q253+Attivo!R253</f>
        <v>120935.94</v>
      </c>
      <c r="E251" s="4">
        <f>Attivo!S253+Attivo!T253+Attivo!B253</f>
        <v>221554.40000000002</v>
      </c>
    </row>
    <row r="252" spans="1:5">
      <c r="A252" s="3">
        <v>37404</v>
      </c>
      <c r="B252" s="4">
        <f>Attivo!C254+Attivo!D254+Attivo!E254</f>
        <v>1346860.03</v>
      </c>
      <c r="C252" s="4">
        <f>Attivo!I254+Attivo!J254+Attivo!K254+Attivo!F254+Attivo!G254+Attivo!H254</f>
        <v>206284.76000000004</v>
      </c>
      <c r="D252" s="4">
        <f>Attivo!L254+Attivo!M254+Attivo!N254+Attivo!O254+Attivo!P254+Attivo!Q254+Attivo!R254</f>
        <v>122356.47</v>
      </c>
      <c r="E252" s="4">
        <f>Attivo!S254+Attivo!T254+Attivo!B254</f>
        <v>215536.89</v>
      </c>
    </row>
    <row r="253" spans="1:5">
      <c r="A253" s="3">
        <v>37374</v>
      </c>
      <c r="B253" s="4">
        <f>Attivo!C255+Attivo!D255+Attivo!E255</f>
        <v>1329093.81</v>
      </c>
      <c r="C253" s="4">
        <f>Attivo!I255+Attivo!J255+Attivo!K255+Attivo!F255+Attivo!G255+Attivo!H255</f>
        <v>204859.32</v>
      </c>
      <c r="D253" s="4">
        <f>Attivo!L255+Attivo!M255+Attivo!N255+Attivo!O255+Attivo!P255+Attivo!Q255+Attivo!R255</f>
        <v>122322.14000000001</v>
      </c>
      <c r="E253" s="4">
        <f>Attivo!S255+Attivo!T255+Attivo!B255</f>
        <v>222028.46</v>
      </c>
    </row>
    <row r="254" spans="1:5">
      <c r="A254" s="3">
        <v>37343</v>
      </c>
      <c r="B254" s="4">
        <f>Attivo!C256+Attivo!D256+Attivo!E256</f>
        <v>1317235.1299999999</v>
      </c>
      <c r="C254" s="4">
        <f>Attivo!I256+Attivo!J256+Attivo!K256+Attivo!F256+Attivo!G256+Attivo!H256</f>
        <v>207715.99999999997</v>
      </c>
      <c r="D254" s="4">
        <f>Attivo!L256+Attivo!M256+Attivo!N256+Attivo!O256+Attivo!P256+Attivo!Q256+Attivo!R256</f>
        <v>113677.84</v>
      </c>
      <c r="E254" s="4">
        <f>Attivo!S256+Attivo!T256+Attivo!B256</f>
        <v>226650.75</v>
      </c>
    </row>
    <row r="255" spans="1:5">
      <c r="A255" s="3">
        <v>37315</v>
      </c>
      <c r="B255" s="4">
        <f>Attivo!C257+Attivo!D257+Attivo!E257</f>
        <v>1291715.25</v>
      </c>
      <c r="C255" s="4">
        <f>Attivo!I257+Attivo!J257+Attivo!K257+Attivo!F257+Attivo!G257+Attivo!H257</f>
        <v>200569.39</v>
      </c>
      <c r="D255" s="4">
        <f>Attivo!L257+Attivo!M257+Attivo!N257+Attivo!O257+Attivo!P257+Attivo!Q257+Attivo!R257</f>
        <v>109782.1</v>
      </c>
      <c r="E255" s="4">
        <f>Attivo!S257+Attivo!T257+Attivo!B257</f>
        <v>233112.81</v>
      </c>
    </row>
    <row r="256" spans="1:5">
      <c r="A256" s="3">
        <v>37284</v>
      </c>
      <c r="B256" s="4">
        <f>Attivo!C258+Attivo!D258+Attivo!E258</f>
        <v>1289641.26</v>
      </c>
      <c r="C256" s="4">
        <f>Attivo!I258+Attivo!J258+Attivo!K258+Attivo!F258+Attivo!G258+Attivo!H258</f>
        <v>198794.22</v>
      </c>
      <c r="D256" s="4">
        <f>Attivo!L258+Attivo!M258+Attivo!N258+Attivo!O258+Attivo!P258+Attivo!Q258+Attivo!R258</f>
        <v>110672.69</v>
      </c>
      <c r="E256" s="4">
        <f>Attivo!S258+Attivo!T258+Attivo!B258</f>
        <v>256897.49</v>
      </c>
    </row>
    <row r="257" spans="1:5">
      <c r="A257" s="3">
        <v>37253</v>
      </c>
      <c r="B257" s="4">
        <f>Attivo!C259+Attivo!D259+Attivo!E259</f>
        <v>1314586.76</v>
      </c>
      <c r="C257" s="4">
        <f>Attivo!I259+Attivo!J259+Attivo!K259+Attivo!F259+Attivo!G259+Attivo!H259</f>
        <v>193970.35</v>
      </c>
      <c r="D257" s="4">
        <f>Attivo!L259+Attivo!M259+Attivo!N259+Attivo!O259+Attivo!P259+Attivo!Q259+Attivo!R259</f>
        <v>110084.59</v>
      </c>
      <c r="E257" s="4">
        <f>Attivo!S259+Attivo!T259+Attivo!B259</f>
        <v>233349.40000000002</v>
      </c>
    </row>
    <row r="258" spans="1:5">
      <c r="A258" s="3">
        <v>37223</v>
      </c>
      <c r="B258" s="4">
        <f>Attivo!C260+Attivo!D260+Attivo!E260</f>
        <v>1318987.7</v>
      </c>
      <c r="C258" s="4">
        <f>Attivo!I260+Attivo!J260+Attivo!K260+Attivo!F260+Attivo!G260+Attivo!H260</f>
        <v>196343.13999999998</v>
      </c>
      <c r="D258" s="4">
        <f>Attivo!L260+Attivo!M260+Attivo!N260+Attivo!O260+Attivo!P260+Attivo!Q260+Attivo!R260</f>
        <v>111230.07</v>
      </c>
      <c r="E258" s="4">
        <f>Attivo!S260+Attivo!T260+Attivo!B260</f>
        <v>220359.32</v>
      </c>
    </row>
    <row r="259" spans="1:5">
      <c r="A259" s="3">
        <v>37192</v>
      </c>
      <c r="B259" s="4">
        <f>Attivo!C261+Attivo!D261+Attivo!E261</f>
        <v>1292064.8899999999</v>
      </c>
      <c r="C259" s="4">
        <f>Attivo!I261+Attivo!J261+Attivo!K261+Attivo!F261+Attivo!G261+Attivo!H261</f>
        <v>198107.48000000004</v>
      </c>
      <c r="D259" s="4">
        <f>Attivo!L261+Attivo!M261+Attivo!N261+Attivo!O261+Attivo!P261+Attivo!Q261+Attivo!R261</f>
        <v>110185.98</v>
      </c>
      <c r="E259" s="4">
        <f>Attivo!S261+Attivo!T261+Attivo!B261</f>
        <v>214328.51</v>
      </c>
    </row>
    <row r="260" spans="1:5">
      <c r="A260" s="3">
        <v>37162</v>
      </c>
      <c r="B260" s="4">
        <f>Attivo!C262+Attivo!D262+Attivo!E262</f>
        <v>1288194.79</v>
      </c>
      <c r="C260" s="4">
        <f>Attivo!I262+Attivo!J262+Attivo!K262+Attivo!F262+Attivo!G262+Attivo!H262</f>
        <v>198996.52</v>
      </c>
      <c r="D260" s="4">
        <f>Attivo!L262+Attivo!M262+Attivo!N262+Attivo!O262+Attivo!P262+Attivo!Q262+Attivo!R262</f>
        <v>109526.33</v>
      </c>
      <c r="E260" s="4">
        <f>Attivo!S262+Attivo!T262+Attivo!B262</f>
        <v>209769.67</v>
      </c>
    </row>
    <row r="261" spans="1:5">
      <c r="A261" s="3">
        <v>37131</v>
      </c>
      <c r="B261" s="4">
        <f>Attivo!C263+Attivo!D263+Attivo!E263</f>
        <v>1271061.57</v>
      </c>
      <c r="C261" s="4">
        <f>Attivo!I263+Attivo!J263+Attivo!K263+Attivo!F263+Attivo!G263+Attivo!H263</f>
        <v>196856.51</v>
      </c>
      <c r="D261" s="4">
        <f>Attivo!L263+Attivo!M263+Attivo!N263+Attivo!O263+Attivo!P263+Attivo!Q263+Attivo!R263</f>
        <v>109437.26999999999</v>
      </c>
      <c r="E261" s="4">
        <f>Attivo!S263+Attivo!T263+Attivo!B263</f>
        <v>196813.86000000002</v>
      </c>
    </row>
    <row r="262" spans="1:5">
      <c r="A262" s="3">
        <v>37100</v>
      </c>
      <c r="B262" s="4">
        <f>Attivo!C264+Attivo!D264+Attivo!E264</f>
        <v>1285234.21</v>
      </c>
      <c r="C262" s="4">
        <f>Attivo!I264+Attivo!J264+Attivo!K264+Attivo!F264+Attivo!G264+Attivo!H264</f>
        <v>200303.89</v>
      </c>
      <c r="D262" s="4">
        <f>Attivo!L264+Attivo!M264+Attivo!N264+Attivo!O264+Attivo!P264+Attivo!Q264+Attivo!R264</f>
        <v>109691.18000000001</v>
      </c>
      <c r="E262" s="4">
        <f>Attivo!S264+Attivo!T264+Attivo!B264</f>
        <v>206958.37999999998</v>
      </c>
    </row>
    <row r="263" spans="1:5">
      <c r="A263" s="3">
        <v>37070</v>
      </c>
      <c r="B263" s="4">
        <f>Attivo!C265+Attivo!D265+Attivo!E265</f>
        <v>1285594.0999999999</v>
      </c>
      <c r="C263" s="4">
        <f>Attivo!I265+Attivo!J265+Attivo!K265+Attivo!F265+Attivo!G265+Attivo!H265</f>
        <v>205227.86</v>
      </c>
      <c r="D263" s="4">
        <f>Attivo!L265+Attivo!M265+Attivo!N265+Attivo!O265+Attivo!P265+Attivo!Q265+Attivo!R265</f>
        <v>111231.54000000001</v>
      </c>
      <c r="E263" s="4">
        <f>Attivo!S265+Attivo!T265+Attivo!B265</f>
        <v>218291.04</v>
      </c>
    </row>
    <row r="264" spans="1:5">
      <c r="A264" s="3">
        <v>37039</v>
      </c>
      <c r="B264" s="4">
        <f>Attivo!C266+Attivo!D266+Attivo!E266</f>
        <v>1264632.2599999998</v>
      </c>
      <c r="C264" s="4">
        <f>Attivo!I266+Attivo!J266+Attivo!K266+Attivo!F266+Attivo!G266+Attivo!H266</f>
        <v>204665.42</v>
      </c>
      <c r="D264" s="4">
        <f>Attivo!L266+Attivo!M266+Attivo!N266+Attivo!O266+Attivo!P266+Attivo!Q266+Attivo!R266</f>
        <v>113906.79999999999</v>
      </c>
      <c r="E264" s="4">
        <f>Attivo!S266+Attivo!T266+Attivo!B266</f>
        <v>216347.19</v>
      </c>
    </row>
    <row r="265" spans="1:5">
      <c r="A265" s="3">
        <v>37009</v>
      </c>
      <c r="B265" s="4">
        <f>Attivo!C267+Attivo!D267+Attivo!E267</f>
        <v>1257440.94</v>
      </c>
      <c r="C265" s="4">
        <f>Attivo!I267+Attivo!J267+Attivo!K267+Attivo!F267+Attivo!G267+Attivo!H267</f>
        <v>205170.05999999994</v>
      </c>
      <c r="D265" s="4">
        <f>Attivo!L267+Attivo!M267+Attivo!N267+Attivo!O267+Attivo!P267+Attivo!Q267+Attivo!R267</f>
        <v>113796.66</v>
      </c>
      <c r="E265" s="4">
        <f>Attivo!S267+Attivo!T267+Attivo!B267</f>
        <v>215209.24000000002</v>
      </c>
    </row>
    <row r="266" spans="1:5">
      <c r="A266" s="3">
        <v>36978</v>
      </c>
      <c r="B266" s="4">
        <f>Attivo!C268+Attivo!D268+Attivo!E268</f>
        <v>1262990.7100000002</v>
      </c>
      <c r="C266" s="4">
        <f>Attivo!I268+Attivo!J268+Attivo!K268+Attivo!F268+Attivo!G268+Attivo!H268</f>
        <v>203896.75</v>
      </c>
      <c r="D266" s="4">
        <f>Attivo!L268+Attivo!M268+Attivo!N268+Attivo!O268+Attivo!P268+Attivo!Q268+Attivo!R268</f>
        <v>109546.57</v>
      </c>
      <c r="E266" s="4">
        <f>Attivo!S268+Attivo!T268+Attivo!B268</f>
        <v>219659.28</v>
      </c>
    </row>
    <row r="267" spans="1:5">
      <c r="A267" s="3">
        <v>36950</v>
      </c>
      <c r="B267" s="4">
        <f>Attivo!C269+Attivo!D269+Attivo!E269</f>
        <v>1218984.4099999999</v>
      </c>
      <c r="C267" s="4">
        <f>Attivo!I269+Attivo!J269+Attivo!K269+Attivo!F269+Attivo!G269+Attivo!H269</f>
        <v>201298.75</v>
      </c>
      <c r="D267" s="4">
        <f>Attivo!L269+Attivo!M269+Attivo!N269+Attivo!O269+Attivo!P269+Attivo!Q269+Attivo!R269</f>
        <v>104034.93</v>
      </c>
      <c r="E267" s="4">
        <f>Attivo!S269+Attivo!T269+Attivo!B269</f>
        <v>205220.29</v>
      </c>
    </row>
    <row r="268" spans="1:5">
      <c r="A268" s="3">
        <v>36919</v>
      </c>
      <c r="B268" s="4">
        <f>Attivo!C270+Attivo!D270+Attivo!E270</f>
        <v>1227515.6500000001</v>
      </c>
      <c r="C268" s="4">
        <f>Attivo!I270+Attivo!J270+Attivo!K270+Attivo!F270+Attivo!G270+Attivo!H270</f>
        <v>201002.34</v>
      </c>
      <c r="D268" s="4">
        <f>Attivo!L270+Attivo!M270+Attivo!N270+Attivo!O270+Attivo!P270+Attivo!Q270+Attivo!R270</f>
        <v>102583.16</v>
      </c>
      <c r="E268" s="4">
        <f>Attivo!S270+Attivo!T270+Attivo!B270</f>
        <v>205685.50999999998</v>
      </c>
    </row>
    <row r="269" spans="1:5">
      <c r="A269" s="3">
        <v>36888</v>
      </c>
      <c r="B269" s="4">
        <f>Attivo!C271+Attivo!D271+Attivo!E271</f>
        <v>1254456.3399999999</v>
      </c>
      <c r="C269" s="4">
        <f>Attivo!I271+Attivo!J271+Attivo!K271+Attivo!F271+Attivo!G271+Attivo!H271</f>
        <v>200986.81</v>
      </c>
      <c r="D269" s="4">
        <f>Attivo!L271+Attivo!M271+Attivo!N271+Attivo!O271+Attivo!P271+Attivo!Q271+Attivo!R271</f>
        <v>104334.74</v>
      </c>
      <c r="E269" s="4">
        <f>Attivo!S271+Attivo!T271+Attivo!B271</f>
        <v>211348.38</v>
      </c>
    </row>
    <row r="270" spans="1:5">
      <c r="A270" s="3">
        <v>36858</v>
      </c>
      <c r="B270" s="4">
        <f>Attivo!C272+Attivo!D272+Attivo!E272</f>
        <v>1235553.98</v>
      </c>
      <c r="C270" s="4">
        <f>Attivo!I272+Attivo!J272+Attivo!K272+Attivo!F272+Attivo!G272+Attivo!H272</f>
        <v>208103.16</v>
      </c>
      <c r="D270" s="4">
        <f>Attivo!L272+Attivo!M272+Attivo!N272+Attivo!O272+Attivo!P272+Attivo!Q272+Attivo!R272</f>
        <v>107468.45999999999</v>
      </c>
      <c r="E270" s="4">
        <f>Attivo!S272+Attivo!T272+Attivo!B272</f>
        <v>211638.58000000002</v>
      </c>
    </row>
    <row r="271" spans="1:5">
      <c r="A271" s="3">
        <v>36827</v>
      </c>
      <c r="B271" s="4">
        <f>Attivo!C273+Attivo!D273+Attivo!E273</f>
        <v>1211882.4499999997</v>
      </c>
      <c r="C271" s="4">
        <f>Attivo!I273+Attivo!J273+Attivo!K273+Attivo!F273+Attivo!G273+Attivo!H273</f>
        <v>211898.19999999998</v>
      </c>
      <c r="D271" s="4">
        <f>Attivo!L273+Attivo!M273+Attivo!N273+Attivo!O273+Attivo!P273+Attivo!Q273+Attivo!R273</f>
        <v>105946.39000000001</v>
      </c>
      <c r="E271" s="4">
        <f>Attivo!S273+Attivo!T273+Attivo!B273</f>
        <v>221692.72</v>
      </c>
    </row>
    <row r="272" spans="1:5">
      <c r="A272" s="3">
        <v>36797</v>
      </c>
      <c r="B272" s="4">
        <f>Attivo!C274+Attivo!D274+Attivo!E274</f>
        <v>1186901</v>
      </c>
      <c r="C272" s="4">
        <f>Attivo!I274+Attivo!J274+Attivo!K274+Attivo!F274+Attivo!G274+Attivo!H274</f>
        <v>211714.41999999998</v>
      </c>
      <c r="D272" s="4">
        <f>Attivo!L274+Attivo!M274+Attivo!N274+Attivo!O274+Attivo!P274+Attivo!Q274+Attivo!R274</f>
        <v>105463.59</v>
      </c>
      <c r="E272" s="4">
        <f>Attivo!S274+Attivo!T274+Attivo!B274</f>
        <v>204759.38999999998</v>
      </c>
    </row>
    <row r="273" spans="1:5">
      <c r="A273" s="3">
        <v>36766</v>
      </c>
      <c r="B273" s="4">
        <f>Attivo!C275+Attivo!D275+Attivo!E275</f>
        <v>1177623.46</v>
      </c>
      <c r="C273" s="4">
        <f>Attivo!I275+Attivo!J275+Attivo!K275+Attivo!F275+Attivo!G275+Attivo!H275</f>
        <v>212078.1</v>
      </c>
      <c r="D273" s="4">
        <f>Attivo!L275+Attivo!M275+Attivo!N275+Attivo!O275+Attivo!P275+Attivo!Q275+Attivo!R275</f>
        <v>103735.58</v>
      </c>
      <c r="E273" s="4">
        <f>Attivo!S275+Attivo!T275+Attivo!B275</f>
        <v>193746.64</v>
      </c>
    </row>
    <row r="274" spans="1:5">
      <c r="A274" s="3">
        <v>36735</v>
      </c>
      <c r="B274" s="4">
        <f>Attivo!C276+Attivo!D276+Attivo!E276</f>
        <v>1181682.3500000001</v>
      </c>
      <c r="C274" s="4">
        <f>Attivo!I276+Attivo!J276+Attivo!K276+Attivo!F276+Attivo!G276+Attivo!H276</f>
        <v>215302.94</v>
      </c>
      <c r="D274" s="4">
        <f>Attivo!L276+Attivo!M276+Attivo!N276+Attivo!O276+Attivo!P276+Attivo!Q276+Attivo!R276</f>
        <v>105604.32</v>
      </c>
      <c r="E274" s="4">
        <f>Attivo!S276+Attivo!T276+Attivo!B276</f>
        <v>204247.47000000003</v>
      </c>
    </row>
    <row r="275" spans="1:5">
      <c r="A275" s="3">
        <v>36705</v>
      </c>
      <c r="B275" s="4">
        <f>Attivo!C277+Attivo!D277+Attivo!E277</f>
        <v>1204404.7299999997</v>
      </c>
      <c r="C275" s="4">
        <f>Attivo!I277+Attivo!J277+Attivo!K277+Attivo!F277+Attivo!G277+Attivo!H277</f>
        <v>220794.33000000002</v>
      </c>
      <c r="D275" s="4">
        <f>Attivo!L277+Attivo!M277+Attivo!N277+Attivo!O277+Attivo!P277+Attivo!Q277+Attivo!R277</f>
        <v>104609.36</v>
      </c>
      <c r="E275" s="4">
        <f>Attivo!S277+Attivo!T277+Attivo!B277</f>
        <v>201033.9</v>
      </c>
    </row>
    <row r="276" spans="1:5">
      <c r="A276" s="3">
        <v>36674</v>
      </c>
      <c r="B276" s="4">
        <f>Attivo!C278+Attivo!D278+Attivo!E278</f>
        <v>1186103.6500000001</v>
      </c>
      <c r="C276" s="4">
        <f>Attivo!I278+Attivo!J278+Attivo!K278+Attivo!F278+Attivo!G278+Attivo!H278</f>
        <v>221799.38</v>
      </c>
      <c r="D276" s="4">
        <f>Attivo!L278+Attivo!M278+Attivo!N278+Attivo!O278+Attivo!P278+Attivo!Q278+Attivo!R278</f>
        <v>106267.33</v>
      </c>
      <c r="E276" s="4">
        <f>Attivo!S278+Attivo!T278+Attivo!B278</f>
        <v>206056.37000000002</v>
      </c>
    </row>
    <row r="277" spans="1:5">
      <c r="A277" s="3">
        <v>36644</v>
      </c>
      <c r="B277" s="4">
        <f>Attivo!C279+Attivo!D279+Attivo!E279</f>
        <v>1158386.6000000001</v>
      </c>
      <c r="C277" s="4">
        <f>Attivo!I279+Attivo!J279+Attivo!K279+Attivo!F279+Attivo!G279+Attivo!H279</f>
        <v>223473.15</v>
      </c>
      <c r="D277" s="4">
        <f>Attivo!L279+Attivo!M279+Attivo!N279+Attivo!O279+Attivo!P279+Attivo!Q279+Attivo!R279</f>
        <v>105409.81999999999</v>
      </c>
      <c r="E277" s="4">
        <f>Attivo!S279+Attivo!T279+Attivo!B279</f>
        <v>214591.94999999998</v>
      </c>
    </row>
    <row r="278" spans="1:5">
      <c r="A278" s="3">
        <v>36613</v>
      </c>
      <c r="B278" s="4">
        <f>Attivo!C280+Attivo!D280+Attivo!E280</f>
        <v>1154286.81</v>
      </c>
      <c r="C278" s="4">
        <f>Attivo!I280+Attivo!J280+Attivo!K280+Attivo!F280+Attivo!G280+Attivo!H280</f>
        <v>222976.01</v>
      </c>
      <c r="D278" s="4">
        <f>Attivo!L280+Attivo!M280+Attivo!N280+Attivo!O280+Attivo!P280+Attivo!Q280+Attivo!R280</f>
        <v>104141.22</v>
      </c>
      <c r="E278" s="4">
        <f>Attivo!S280+Attivo!T280+Attivo!B280</f>
        <v>208443.12999999998</v>
      </c>
    </row>
    <row r="279" spans="1:5">
      <c r="A279" s="3">
        <v>36584</v>
      </c>
      <c r="B279" s="4">
        <f>Attivo!C281+Attivo!D281+Attivo!E281</f>
        <v>1130524.74</v>
      </c>
      <c r="C279" s="4">
        <f>Attivo!I281+Attivo!J281+Attivo!K281+Attivo!F281+Attivo!G281+Attivo!H281</f>
        <v>219293.52</v>
      </c>
      <c r="D279" s="4">
        <f>Attivo!L281+Attivo!M281+Attivo!N281+Attivo!O281+Attivo!P281+Attivo!Q281+Attivo!R281</f>
        <v>100827.18000000001</v>
      </c>
      <c r="E279" s="4">
        <f>Attivo!S281+Attivo!T281+Attivo!B281</f>
        <v>211328.08</v>
      </c>
    </row>
    <row r="280" spans="1:5">
      <c r="A280" s="3">
        <v>36553</v>
      </c>
      <c r="B280" s="4">
        <f>Attivo!C282+Attivo!D282+Attivo!E282</f>
        <v>1127721.8499999999</v>
      </c>
      <c r="C280" s="4">
        <f>Attivo!I282+Attivo!J282+Attivo!K282+Attivo!F282+Attivo!G282+Attivo!H282</f>
        <v>218451.29</v>
      </c>
      <c r="D280" s="4">
        <f>Attivo!L282+Attivo!M282+Attivo!N282+Attivo!O282+Attivo!P282+Attivo!Q282+Attivo!R282</f>
        <v>95506.5</v>
      </c>
      <c r="E280" s="4">
        <f>Attivo!S282+Attivo!T282+Attivo!B282</f>
        <v>216100.86000000002</v>
      </c>
    </row>
    <row r="281" spans="1:5">
      <c r="A281" s="3">
        <v>36522</v>
      </c>
      <c r="B281" s="4">
        <f>Attivo!C283+Attivo!D283+Attivo!E283</f>
        <v>1117372.27</v>
      </c>
      <c r="C281" s="4">
        <f>Attivo!I283+Attivo!J283+Attivo!K283+Attivo!F283+Attivo!G283+Attivo!H283</f>
        <v>219272.73</v>
      </c>
      <c r="D281" s="4">
        <f>Attivo!L283+Attivo!M283+Attivo!N283+Attivo!O283+Attivo!P283+Attivo!Q283+Attivo!R283</f>
        <v>93321.35</v>
      </c>
      <c r="E281" s="4">
        <f>Attivo!S283+Attivo!T283+Attivo!B283</f>
        <v>198837.77999999997</v>
      </c>
    </row>
    <row r="282" spans="1:5">
      <c r="A282" s="3">
        <v>36492</v>
      </c>
      <c r="B282" s="4">
        <f>Attivo!C284+Attivo!D284+Attivo!E284</f>
        <v>1094557.97</v>
      </c>
      <c r="C282" s="4">
        <f>Attivo!I284+Attivo!J284+Attivo!K284+Attivo!F284+Attivo!G284+Attivo!H284</f>
        <v>227055.97</v>
      </c>
      <c r="D282" s="4">
        <f>Attivo!L284+Attivo!M284+Attivo!N284+Attivo!O284+Attivo!P284+Attivo!Q284+Attivo!R284</f>
        <v>90407.64</v>
      </c>
      <c r="E282" s="4">
        <f>Attivo!S284+Attivo!T284+Attivo!B284</f>
        <v>196068.24000000002</v>
      </c>
    </row>
    <row r="283" spans="1:5">
      <c r="A283" s="3">
        <v>36461</v>
      </c>
      <c r="B283" s="4">
        <f>Attivo!C285+Attivo!D285+Attivo!E285</f>
        <v>1061334.4000000001</v>
      </c>
      <c r="C283" s="4">
        <f>Attivo!I285+Attivo!J285+Attivo!K285+Attivo!F285+Attivo!G285+Attivo!H285</f>
        <v>235920.59999999998</v>
      </c>
      <c r="D283" s="4">
        <f>Attivo!L285+Attivo!M285+Attivo!N285+Attivo!O285+Attivo!P285+Attivo!Q285+Attivo!R285</f>
        <v>86439.14</v>
      </c>
      <c r="E283" s="4">
        <f>Attivo!S285+Attivo!T285+Attivo!B285</f>
        <v>198243.38</v>
      </c>
    </row>
    <row r="284" spans="1:5">
      <c r="A284" s="3">
        <v>36431</v>
      </c>
      <c r="B284" s="4">
        <f>Attivo!C286+Attivo!D286+Attivo!E286</f>
        <v>1054783.68</v>
      </c>
      <c r="C284" s="4">
        <f>Attivo!I286+Attivo!J286+Attivo!K286+Attivo!F286+Attivo!G286+Attivo!H286</f>
        <v>234364.15000000002</v>
      </c>
      <c r="D284" s="4">
        <f>Attivo!L286+Attivo!M286+Attivo!N286+Attivo!O286+Attivo!P286+Attivo!Q286+Attivo!R286</f>
        <v>86949.069999999992</v>
      </c>
      <c r="E284" s="4">
        <f>Attivo!S286+Attivo!T286+Attivo!B286</f>
        <v>187048.38</v>
      </c>
    </row>
    <row r="285" spans="1:5">
      <c r="A285" s="3">
        <v>36400</v>
      </c>
      <c r="B285" s="4">
        <f>Attivo!C287+Attivo!D287+Attivo!E287</f>
        <v>1057827.6000000001</v>
      </c>
      <c r="C285" s="4">
        <f>Attivo!I287+Attivo!J287+Attivo!K287+Attivo!F287+Attivo!G287+Attivo!H287</f>
        <v>230265.78</v>
      </c>
      <c r="D285" s="4">
        <f>Attivo!L287+Attivo!M287+Attivo!N287+Attivo!O287+Attivo!P287+Attivo!Q287+Attivo!R287</f>
        <v>86635.58</v>
      </c>
      <c r="E285" s="4">
        <f>Attivo!S287+Attivo!T287+Attivo!B287</f>
        <v>185712.5</v>
      </c>
    </row>
    <row r="286" spans="1:5">
      <c r="A286" s="3">
        <v>36369</v>
      </c>
      <c r="B286" s="4">
        <f>Attivo!C288+Attivo!D288+Attivo!E288</f>
        <v>1060346.55</v>
      </c>
      <c r="C286" s="4">
        <f>Attivo!I288+Attivo!J288+Attivo!K288+Attivo!F288+Attivo!G288+Attivo!H288</f>
        <v>231645.66999999998</v>
      </c>
      <c r="D286" s="4">
        <f>Attivo!L288+Attivo!M288+Attivo!N288+Attivo!O288+Attivo!P288+Attivo!Q288+Attivo!R288</f>
        <v>85434.73</v>
      </c>
      <c r="E286" s="4">
        <f>Attivo!S288+Attivo!T288+Attivo!B288</f>
        <v>200755.76</v>
      </c>
    </row>
    <row r="287" spans="1:5">
      <c r="A287" s="3">
        <v>36339</v>
      </c>
      <c r="B287" s="4">
        <f>Attivo!C289+Attivo!D289+Attivo!E289</f>
        <v>1083974.6100000001</v>
      </c>
      <c r="C287" s="4">
        <f>Attivo!I289+Attivo!J289+Attivo!K289+Attivo!F289+Attivo!G289+Attivo!H289</f>
        <v>234519.72</v>
      </c>
      <c r="D287" s="4">
        <f>Attivo!L289+Attivo!M289+Attivo!N289+Attivo!O289+Attivo!P289+Attivo!Q289+Attivo!R289</f>
        <v>87039.19</v>
      </c>
      <c r="E287" s="4">
        <f>Attivo!S289+Attivo!T289+Attivo!B289</f>
        <v>207174.09</v>
      </c>
    </row>
    <row r="288" spans="1:5">
      <c r="A288" s="3">
        <v>36308</v>
      </c>
      <c r="B288" s="4">
        <f>Attivo!C290+Attivo!D290+Attivo!E290</f>
        <v>1039493.1299999999</v>
      </c>
      <c r="C288" s="4">
        <f>Attivo!I290+Attivo!J290+Attivo!K290+Attivo!F290+Attivo!G290+Attivo!H290</f>
        <v>234226.66</v>
      </c>
      <c r="D288" s="4">
        <f>Attivo!L290+Attivo!M290+Attivo!N290+Attivo!O290+Attivo!P290+Attivo!Q290+Attivo!R290</f>
        <v>89223.85</v>
      </c>
      <c r="E288" s="4">
        <f>Attivo!S290+Attivo!T290+Attivo!B290</f>
        <v>208092.77000000002</v>
      </c>
    </row>
    <row r="289" spans="1:5">
      <c r="A289" s="3">
        <v>36278</v>
      </c>
      <c r="B289" s="4">
        <f>Attivo!C291+Attivo!D291+Attivo!E291</f>
        <v>1033439.39</v>
      </c>
      <c r="C289" s="4">
        <f>Attivo!I291+Attivo!J291+Attivo!K291+Attivo!F291+Attivo!G291+Attivo!H291</f>
        <v>234122.73</v>
      </c>
      <c r="D289" s="4">
        <f>Attivo!L291+Attivo!M291+Attivo!N291+Attivo!O291+Attivo!P291+Attivo!Q291+Attivo!R291</f>
        <v>85419.9</v>
      </c>
      <c r="E289" s="4">
        <f>Attivo!S291+Attivo!T291+Attivo!B291</f>
        <v>207524.58000000002</v>
      </c>
    </row>
    <row r="290" spans="1:5">
      <c r="A290" s="3">
        <v>36247</v>
      </c>
      <c r="B290" s="4">
        <f>Attivo!C292+Attivo!D292+Attivo!E292</f>
        <v>1016242.0499999999</v>
      </c>
      <c r="C290" s="4">
        <f>Attivo!I292+Attivo!J292+Attivo!K292+Attivo!F292+Attivo!G292+Attivo!H292</f>
        <v>233451.56</v>
      </c>
      <c r="D290" s="4">
        <f>Attivo!L292+Attivo!M292+Attivo!N292+Attivo!O292+Attivo!P292+Attivo!Q292+Attivo!R292</f>
        <v>82105</v>
      </c>
      <c r="E290" s="4">
        <f>Attivo!S292+Attivo!T292+Attivo!B292</f>
        <v>214714.06000000003</v>
      </c>
    </row>
    <row r="291" spans="1:5">
      <c r="A291" s="3">
        <v>36219</v>
      </c>
      <c r="B291" s="4">
        <f>Attivo!C293+Attivo!D293+Attivo!E293</f>
        <v>1030384.19</v>
      </c>
      <c r="C291" s="4">
        <f>Attivo!I293+Attivo!J293+Attivo!K293+Attivo!F293+Attivo!G293+Attivo!H293</f>
        <v>237387.19</v>
      </c>
      <c r="D291" s="4">
        <f>Attivo!L293+Attivo!M293+Attivo!N293+Attivo!O293+Attivo!P293+Attivo!Q293+Attivo!R293</f>
        <v>77544.510000000009</v>
      </c>
      <c r="E291" s="4">
        <f>Attivo!S293+Attivo!T293+Attivo!B293</f>
        <v>228058.77</v>
      </c>
    </row>
    <row r="292" spans="1:5">
      <c r="A292" s="3">
        <v>36188</v>
      </c>
      <c r="B292" s="4">
        <f>Attivo!C294+Attivo!D294+Attivo!E294</f>
        <v>1045571.6199999999</v>
      </c>
      <c r="C292" s="4">
        <f>Attivo!I294+Attivo!J294+Attivo!K294+Attivo!F294+Attivo!G294+Attivo!H294</f>
        <v>229726.87</v>
      </c>
      <c r="D292" s="4">
        <f>Attivo!L294+Attivo!M294+Attivo!N294+Attivo!O294+Attivo!P294+Attivo!Q294+Attivo!R294</f>
        <v>73901.11</v>
      </c>
      <c r="E292" s="4">
        <f>Attivo!S294+Attivo!T294+Attivo!B294</f>
        <v>249718.25999999998</v>
      </c>
    </row>
    <row r="293" spans="1:5">
      <c r="A293" s="3"/>
      <c r="B293" s="4"/>
      <c r="C293" s="4"/>
      <c r="D293" s="4"/>
      <c r="E293" s="4"/>
    </row>
    <row r="294" spans="1:5">
      <c r="A294" s="3"/>
      <c r="B294" s="4"/>
      <c r="C294" s="4"/>
      <c r="D294" s="4"/>
      <c r="E294" s="4"/>
    </row>
    <row r="295" spans="1:5">
      <c r="A295" s="3"/>
      <c r="B295" s="4"/>
      <c r="C295" s="4"/>
      <c r="D295" s="4"/>
      <c r="E295" s="4"/>
    </row>
    <row r="296" spans="1:5">
      <c r="A296" s="3"/>
      <c r="B296" s="4"/>
      <c r="C296" s="4"/>
      <c r="D296" s="4"/>
      <c r="E296" s="4"/>
    </row>
    <row r="297" spans="1:5">
      <c r="A297" s="3"/>
      <c r="B297" s="4"/>
      <c r="C297" s="4"/>
      <c r="D297" s="4"/>
      <c r="E297" s="4"/>
    </row>
    <row r="298" spans="1:5">
      <c r="A298" s="3"/>
      <c r="B298" s="4"/>
      <c r="C298" s="4"/>
      <c r="D298" s="4"/>
      <c r="E298" s="4"/>
    </row>
    <row r="299" spans="1:5">
      <c r="A299" s="3"/>
      <c r="B299" s="4"/>
      <c r="C299" s="4"/>
      <c r="D299" s="4"/>
      <c r="E299" s="4"/>
    </row>
    <row r="300" spans="1:5">
      <c r="A300" s="3"/>
      <c r="B300" s="4"/>
      <c r="C300" s="4"/>
      <c r="D300" s="4"/>
      <c r="E300" s="4"/>
    </row>
    <row r="301" spans="1:5">
      <c r="A301" s="3"/>
      <c r="B301" s="4"/>
      <c r="C301" s="4"/>
      <c r="D301" s="4"/>
      <c r="E301" s="4"/>
    </row>
    <row r="302" spans="1:5">
      <c r="A302" s="3"/>
      <c r="B302" s="4"/>
      <c r="C302" s="4"/>
      <c r="D302" s="4"/>
      <c r="E302" s="4"/>
    </row>
    <row r="303" spans="1:5">
      <c r="A303" s="3"/>
      <c r="B303" s="4"/>
      <c r="C303" s="4"/>
      <c r="D303" s="4"/>
      <c r="E303" s="4"/>
    </row>
    <row r="304" spans="1:5">
      <c r="A304" s="3"/>
      <c r="B304" s="4"/>
      <c r="C304" s="4"/>
      <c r="D304" s="4"/>
      <c r="E304" s="4"/>
    </row>
    <row r="305" spans="1:5">
      <c r="A305" s="3"/>
      <c r="B305" s="4"/>
      <c r="C305" s="4"/>
      <c r="D305" s="4"/>
      <c r="E305" s="4"/>
    </row>
    <row r="306" spans="1:5">
      <c r="A306" s="3"/>
      <c r="B306" s="4"/>
      <c r="C306" s="4"/>
      <c r="D306" s="4"/>
      <c r="E306" s="4"/>
    </row>
    <row r="307" spans="1:5">
      <c r="A307" s="3"/>
      <c r="B307" s="4"/>
      <c r="C307" s="4"/>
      <c r="D307" s="4"/>
      <c r="E307" s="4"/>
    </row>
    <row r="308" spans="1:5">
      <c r="A308" s="3"/>
      <c r="B308" s="4"/>
      <c r="C308" s="4"/>
      <c r="D308" s="4"/>
      <c r="E308" s="4"/>
    </row>
    <row r="309" spans="1:5">
      <c r="A309" s="3"/>
      <c r="B309" s="4"/>
      <c r="C309" s="4"/>
      <c r="D309" s="4"/>
      <c r="E309" s="4"/>
    </row>
    <row r="310" spans="1:5">
      <c r="A310" s="3"/>
      <c r="B310" s="4"/>
      <c r="C310" s="4"/>
      <c r="D310" s="4"/>
      <c r="E310" s="4"/>
    </row>
    <row r="311" spans="1:5">
      <c r="A311" s="3"/>
      <c r="B311" s="4"/>
      <c r="C311" s="4"/>
      <c r="D311" s="4"/>
      <c r="E311" s="4"/>
    </row>
    <row r="312" spans="1:5">
      <c r="A312" s="3"/>
      <c r="B312" s="4"/>
      <c r="C312" s="4"/>
      <c r="D312" s="4"/>
      <c r="E312" s="4"/>
    </row>
    <row r="313" spans="1:5">
      <c r="A313" s="3"/>
      <c r="B313" s="4"/>
      <c r="C313" s="4"/>
      <c r="D313" s="4"/>
      <c r="E313" s="4"/>
    </row>
    <row r="314" spans="1:5">
      <c r="A314" s="3"/>
      <c r="B314" s="4"/>
      <c r="C314" s="4"/>
      <c r="D314" s="4"/>
      <c r="E314" s="4"/>
    </row>
    <row r="315" spans="1:5">
      <c r="A315" s="3"/>
      <c r="B315" s="4"/>
      <c r="C315" s="4"/>
      <c r="D315" s="4"/>
      <c r="E315" s="4"/>
    </row>
    <row r="316" spans="1:5">
      <c r="A316" s="3"/>
      <c r="B316" s="4"/>
      <c r="C316" s="4"/>
      <c r="D316" s="4"/>
      <c r="E316" s="4"/>
    </row>
    <row r="317" spans="1:5">
      <c r="A317" s="3"/>
      <c r="B317" s="4"/>
      <c r="C317" s="4"/>
      <c r="D317" s="4"/>
      <c r="E317" s="4"/>
    </row>
    <row r="318" spans="1:5">
      <c r="A318" s="3"/>
      <c r="B318" s="4"/>
      <c r="C318" s="4"/>
      <c r="D318" s="4"/>
      <c r="E318" s="4"/>
    </row>
    <row r="319" spans="1:5">
      <c r="A319" s="3"/>
      <c r="B319" s="4"/>
      <c r="C319" s="4"/>
      <c r="D319" s="4"/>
      <c r="E319" s="4"/>
    </row>
    <row r="320" spans="1:5">
      <c r="A320" s="3"/>
      <c r="B320" s="4"/>
      <c r="C320" s="4"/>
      <c r="D320" s="4"/>
      <c r="E320" s="4"/>
    </row>
    <row r="321" spans="1:5">
      <c r="A321" s="3"/>
      <c r="B321" s="4"/>
      <c r="C321" s="4"/>
      <c r="D321" s="4"/>
      <c r="E321" s="4"/>
    </row>
    <row r="322" spans="1:5">
      <c r="A322" s="3"/>
      <c r="B322" s="4"/>
      <c r="C322" s="4"/>
      <c r="D322" s="4"/>
      <c r="E322" s="4"/>
    </row>
    <row r="323" spans="1:5">
      <c r="A323" s="3"/>
      <c r="B323" s="4"/>
      <c r="C323" s="4"/>
      <c r="D323" s="4"/>
      <c r="E323" s="4"/>
    </row>
    <row r="324" spans="1:5">
      <c r="A324" s="3"/>
      <c r="B324" s="4"/>
      <c r="C324" s="4"/>
      <c r="D324" s="4"/>
      <c r="E324" s="4"/>
    </row>
    <row r="325" spans="1:5">
      <c r="A325" s="3"/>
      <c r="B325" s="4"/>
      <c r="C325" s="4"/>
      <c r="D325" s="4"/>
      <c r="E325" s="4"/>
    </row>
    <row r="326" spans="1:5">
      <c r="A326" s="3"/>
      <c r="B326" s="4"/>
      <c r="C326" s="4"/>
      <c r="D326" s="4"/>
      <c r="E326" s="4"/>
    </row>
    <row r="327" spans="1:5">
      <c r="A327" s="3"/>
      <c r="B327" s="4"/>
      <c r="C327" s="4"/>
      <c r="D327" s="4"/>
      <c r="E327" s="4"/>
    </row>
    <row r="328" spans="1:5">
      <c r="A328" s="3"/>
      <c r="B328" s="4"/>
      <c r="C328" s="4"/>
      <c r="D328" s="4"/>
      <c r="E328" s="4"/>
    </row>
    <row r="329" spans="1:5">
      <c r="A329" s="3"/>
      <c r="B329" s="4"/>
      <c r="C329" s="4"/>
      <c r="D329" s="4"/>
      <c r="E329" s="4"/>
    </row>
    <row r="330" spans="1:5">
      <c r="E330" s="4"/>
    </row>
    <row r="331" spans="1:5">
      <c r="E331" s="4"/>
    </row>
    <row r="332" spans="1:5">
      <c r="E332" s="4"/>
    </row>
    <row r="333" spans="1:5">
      <c r="E333" s="4"/>
    </row>
    <row r="334" spans="1:5">
      <c r="E334" s="4"/>
    </row>
    <row r="335" spans="1:5">
      <c r="E335" s="4"/>
    </row>
    <row r="336" spans="1:5">
      <c r="E336" s="4"/>
    </row>
    <row r="337" spans="5:5">
      <c r="E337" s="4"/>
    </row>
    <row r="338" spans="5:5">
      <c r="E338" s="4"/>
    </row>
    <row r="339" spans="5:5">
      <c r="E339" s="4"/>
    </row>
    <row r="340" spans="5:5">
      <c r="E340" s="4"/>
    </row>
    <row r="341" spans="5:5">
      <c r="E341" s="4"/>
    </row>
    <row r="342" spans="5:5">
      <c r="E342" s="4"/>
    </row>
    <row r="343" spans="5:5">
      <c r="E343" s="4"/>
    </row>
    <row r="344" spans="5:5">
      <c r="E344" s="4"/>
    </row>
    <row r="345" spans="5:5">
      <c r="E345" s="4"/>
    </row>
    <row r="346" spans="5:5">
      <c r="E346" s="4"/>
    </row>
    <row r="347" spans="5:5">
      <c r="E347" s="4"/>
    </row>
    <row r="348" spans="5:5">
      <c r="E348" s="4"/>
    </row>
    <row r="349" spans="5:5">
      <c r="E349" s="4"/>
    </row>
    <row r="350" spans="5:5">
      <c r="E350" s="4"/>
    </row>
    <row r="351" spans="5:5">
      <c r="E351" s="4"/>
    </row>
    <row r="352" spans="5:5">
      <c r="E352" s="4"/>
    </row>
    <row r="353" spans="5:5">
      <c r="E353" s="4"/>
    </row>
    <row r="354" spans="5:5">
      <c r="E354" s="4"/>
    </row>
    <row r="355" spans="5:5">
      <c r="E355" s="4"/>
    </row>
    <row r="356" spans="5:5">
      <c r="E356" s="4"/>
    </row>
    <row r="357" spans="5:5">
      <c r="E357" s="4"/>
    </row>
    <row r="358" spans="5:5">
      <c r="E358" s="4"/>
    </row>
    <row r="359" spans="5:5">
      <c r="E359" s="4"/>
    </row>
    <row r="360" spans="5:5">
      <c r="E360" s="4"/>
    </row>
    <row r="361" spans="5:5">
      <c r="E361" s="4"/>
    </row>
    <row r="362" spans="5:5">
      <c r="E362" s="4"/>
    </row>
    <row r="363" spans="5:5">
      <c r="E363" s="4"/>
    </row>
    <row r="364" spans="5:5">
      <c r="E364" s="4"/>
    </row>
    <row r="365" spans="5:5">
      <c r="E365" s="4"/>
    </row>
    <row r="366" spans="5:5">
      <c r="E366" s="4"/>
    </row>
    <row r="367" spans="5:5">
      <c r="E367" s="4"/>
    </row>
    <row r="368" spans="5:5">
      <c r="E368" s="4"/>
    </row>
    <row r="369" spans="5:5">
      <c r="E369" s="4"/>
    </row>
    <row r="370" spans="5:5">
      <c r="E370" s="4"/>
    </row>
    <row r="371" spans="5:5">
      <c r="E371" s="4"/>
    </row>
    <row r="372" spans="5:5">
      <c r="E372" s="4"/>
    </row>
    <row r="373" spans="5:5">
      <c r="E373" s="4"/>
    </row>
    <row r="374" spans="5:5">
      <c r="E374" s="4"/>
    </row>
    <row r="375" spans="5:5">
      <c r="E375" s="4"/>
    </row>
    <row r="376" spans="5:5">
      <c r="E376" s="4"/>
    </row>
    <row r="377" spans="5:5">
      <c r="E377" s="4"/>
    </row>
    <row r="378" spans="5:5">
      <c r="E378" s="4"/>
    </row>
    <row r="379" spans="5:5">
      <c r="E379" s="4"/>
    </row>
    <row r="380" spans="5:5">
      <c r="E3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7FB4-2277-2249-9EA0-4E461267E00C}">
  <dimension ref="A1:AC18"/>
  <sheetViews>
    <sheetView zoomScale="188" workbookViewId="0">
      <selection activeCell="A3" sqref="A3:A18"/>
    </sheetView>
  </sheetViews>
  <sheetFormatPr baseColWidth="10" defaultRowHeight="15"/>
  <sheetData>
    <row r="1" spans="1:29" ht="154">
      <c r="A1" s="19" t="s">
        <v>22</v>
      </c>
      <c r="B1" s="19" t="s">
        <v>379</v>
      </c>
      <c r="C1" s="19" t="s">
        <v>380</v>
      </c>
      <c r="D1" s="19" t="s">
        <v>381</v>
      </c>
      <c r="E1" s="19" t="s">
        <v>382</v>
      </c>
      <c r="F1" s="19" t="s">
        <v>383</v>
      </c>
      <c r="G1" s="19" t="s">
        <v>384</v>
      </c>
      <c r="H1" s="19" t="s">
        <v>385</v>
      </c>
      <c r="I1" s="19" t="s">
        <v>386</v>
      </c>
      <c r="J1" s="19" t="s">
        <v>387</v>
      </c>
      <c r="K1" s="19" t="s">
        <v>388</v>
      </c>
      <c r="L1" s="19" t="s">
        <v>389</v>
      </c>
      <c r="M1" s="19" t="s">
        <v>390</v>
      </c>
      <c r="N1" s="19" t="s">
        <v>391</v>
      </c>
      <c r="O1" s="19" t="s">
        <v>392</v>
      </c>
      <c r="P1" s="19" t="s">
        <v>393</v>
      </c>
      <c r="Q1" s="19" t="s">
        <v>394</v>
      </c>
      <c r="R1" s="19" t="s">
        <v>395</v>
      </c>
      <c r="S1" s="19" t="s">
        <v>396</v>
      </c>
      <c r="T1" s="19" t="s">
        <v>397</v>
      </c>
      <c r="U1" s="19" t="s">
        <v>398</v>
      </c>
      <c r="V1" s="19" t="s">
        <v>399</v>
      </c>
      <c r="W1" s="19" t="s">
        <v>400</v>
      </c>
      <c r="X1" s="19" t="s">
        <v>401</v>
      </c>
      <c r="Y1" s="19" t="s">
        <v>402</v>
      </c>
      <c r="Z1" s="19" t="s">
        <v>403</v>
      </c>
      <c r="AA1" s="19" t="s">
        <v>404</v>
      </c>
      <c r="AB1" s="19" t="s">
        <v>405</v>
      </c>
      <c r="AC1" s="19" t="s">
        <v>406</v>
      </c>
    </row>
    <row r="2" spans="1:29">
      <c r="A2" s="20">
        <v>44561</v>
      </c>
      <c r="B2" s="17">
        <v>40767</v>
      </c>
      <c r="C2" s="17">
        <v>10487</v>
      </c>
      <c r="D2" s="17">
        <v>-840</v>
      </c>
      <c r="E2" s="17">
        <v>30280</v>
      </c>
      <c r="F2" s="17">
        <v>42032</v>
      </c>
      <c r="G2" s="17">
        <v>1563</v>
      </c>
      <c r="H2" s="17">
        <v>27748</v>
      </c>
      <c r="I2" s="17">
        <v>72312</v>
      </c>
      <c r="J2" s="17">
        <v>47664</v>
      </c>
      <c r="K2" s="17">
        <v>24107</v>
      </c>
      <c r="L2" s="17">
        <v>4119</v>
      </c>
      <c r="M2" s="17">
        <v>24648</v>
      </c>
      <c r="N2" s="17">
        <v>-65</v>
      </c>
      <c r="O2" s="17">
        <v>889</v>
      </c>
      <c r="P2" s="17">
        <v>9884</v>
      </c>
      <c r="Q2" s="17">
        <v>9066</v>
      </c>
      <c r="R2" s="17">
        <v>22876</v>
      </c>
      <c r="S2" s="17">
        <v>768</v>
      </c>
      <c r="T2" s="17">
        <v>22108</v>
      </c>
      <c r="U2" s="17">
        <v>6984</v>
      </c>
      <c r="V2" s="17">
        <v>3363394</v>
      </c>
      <c r="W2" s="17">
        <v>3306688</v>
      </c>
      <c r="X2" s="17">
        <v>247479</v>
      </c>
      <c r="Y2" s="17">
        <v>243264</v>
      </c>
      <c r="Z2" s="17">
        <v>269701</v>
      </c>
      <c r="AA2" s="17">
        <v>272291</v>
      </c>
      <c r="AB2" s="17">
        <v>449</v>
      </c>
      <c r="AC2" s="17">
        <v>88865</v>
      </c>
    </row>
    <row r="3" spans="1:29">
      <c r="A3" s="21">
        <f>EDATE(A2,-12)</f>
        <v>44196</v>
      </c>
      <c r="B3" s="18">
        <v>41403</v>
      </c>
      <c r="C3" s="18">
        <v>10682</v>
      </c>
      <c r="D3" s="18">
        <v>-188</v>
      </c>
      <c r="E3" s="18">
        <v>30721</v>
      </c>
      <c r="F3" s="18">
        <v>40388</v>
      </c>
      <c r="G3" s="18">
        <v>1240</v>
      </c>
      <c r="H3" s="18">
        <v>24619</v>
      </c>
      <c r="I3" s="18">
        <v>71109</v>
      </c>
      <c r="J3" s="18">
        <v>48371</v>
      </c>
      <c r="K3" s="18">
        <v>25356</v>
      </c>
      <c r="L3" s="18">
        <v>3924</v>
      </c>
      <c r="M3" s="18">
        <v>22738</v>
      </c>
      <c r="N3" s="18">
        <v>-84</v>
      </c>
      <c r="O3" s="18">
        <v>4072</v>
      </c>
      <c r="P3" s="18">
        <v>15831</v>
      </c>
      <c r="Q3" s="18">
        <v>-5764</v>
      </c>
      <c r="R3" s="18">
        <v>-3023</v>
      </c>
      <c r="S3" s="18">
        <v>-217</v>
      </c>
      <c r="T3" s="18">
        <v>-2806</v>
      </c>
      <c r="U3" s="18">
        <v>2873</v>
      </c>
      <c r="V3" s="18">
        <v>3212173</v>
      </c>
      <c r="W3" s="18">
        <v>3214728</v>
      </c>
      <c r="X3" s="18">
        <v>240263</v>
      </c>
      <c r="Y3" s="18">
        <v>241260</v>
      </c>
      <c r="Z3" s="18">
        <v>274753</v>
      </c>
      <c r="AA3" s="18">
        <v>277929</v>
      </c>
      <c r="AB3" s="18">
        <v>466</v>
      </c>
      <c r="AC3" s="18">
        <v>91405</v>
      </c>
    </row>
    <row r="4" spans="1:29">
      <c r="A4" s="21">
        <f t="shared" ref="A4:A18" si="0">EDATE(A3,-12)</f>
        <v>43830</v>
      </c>
      <c r="B4" s="17">
        <v>45135</v>
      </c>
      <c r="C4" s="17">
        <v>13704</v>
      </c>
      <c r="D4" s="17">
        <v>-605</v>
      </c>
      <c r="E4" s="17">
        <v>31431</v>
      </c>
      <c r="F4" s="17">
        <v>40762</v>
      </c>
      <c r="G4" s="17">
        <v>1243</v>
      </c>
      <c r="H4" s="17">
        <v>25545</v>
      </c>
      <c r="I4" s="17">
        <v>72193</v>
      </c>
      <c r="J4" s="17">
        <v>46991</v>
      </c>
      <c r="K4" s="17">
        <v>23576</v>
      </c>
      <c r="L4" s="17">
        <v>4049</v>
      </c>
      <c r="M4" s="17">
        <v>25202</v>
      </c>
      <c r="N4" s="17">
        <v>-96</v>
      </c>
      <c r="O4" s="17">
        <v>479</v>
      </c>
      <c r="P4" s="17">
        <v>11837</v>
      </c>
      <c r="Q4" s="17">
        <v>-59</v>
      </c>
      <c r="R4" s="17">
        <v>12736</v>
      </c>
      <c r="S4" s="17">
        <v>4248</v>
      </c>
      <c r="T4" s="17">
        <v>8488</v>
      </c>
      <c r="U4" s="17">
        <v>5358</v>
      </c>
      <c r="V4" s="17">
        <v>3116682</v>
      </c>
      <c r="W4" s="17">
        <v>3157970</v>
      </c>
      <c r="X4" s="17">
        <v>239171</v>
      </c>
      <c r="Y4" s="17">
        <v>239695</v>
      </c>
      <c r="Z4" s="17">
        <v>281207</v>
      </c>
      <c r="AA4" s="17">
        <v>281757</v>
      </c>
      <c r="AB4" s="17">
        <v>486</v>
      </c>
      <c r="AC4" s="17">
        <v>83386</v>
      </c>
    </row>
    <row r="5" spans="1:29">
      <c r="A5" s="21">
        <f t="shared" si="0"/>
        <v>43465</v>
      </c>
      <c r="B5" s="18">
        <v>47127</v>
      </c>
      <c r="C5" s="18">
        <v>13438</v>
      </c>
      <c r="D5" s="18">
        <v>-3</v>
      </c>
      <c r="E5" s="18">
        <v>33689</v>
      </c>
      <c r="F5" s="18">
        <v>41094</v>
      </c>
      <c r="G5" s="18">
        <v>631</v>
      </c>
      <c r="H5" s="18">
        <v>26075</v>
      </c>
      <c r="I5" s="18">
        <v>74783</v>
      </c>
      <c r="J5" s="18">
        <v>47107</v>
      </c>
      <c r="K5" s="18">
        <v>22742</v>
      </c>
      <c r="L5" s="18">
        <v>3944</v>
      </c>
      <c r="M5" s="18">
        <v>27676</v>
      </c>
      <c r="N5" s="18">
        <v>-97</v>
      </c>
      <c r="O5" s="18">
        <v>1503</v>
      </c>
      <c r="P5" s="18">
        <v>11759</v>
      </c>
      <c r="Q5" s="18">
        <v>-1953</v>
      </c>
      <c r="R5" s="18">
        <v>12364</v>
      </c>
      <c r="S5" s="18">
        <v>92</v>
      </c>
      <c r="T5" s="18">
        <v>12272</v>
      </c>
      <c r="U5" s="18">
        <v>7006</v>
      </c>
      <c r="V5" s="18">
        <v>3077432</v>
      </c>
      <c r="W5" s="18">
        <v>3118523</v>
      </c>
      <c r="X5" s="18">
        <v>235089</v>
      </c>
      <c r="Y5" s="18">
        <v>243520</v>
      </c>
      <c r="Z5" s="18">
        <v>275020</v>
      </c>
      <c r="AA5" s="18">
        <v>279161</v>
      </c>
      <c r="AB5" s="18">
        <v>505</v>
      </c>
      <c r="AC5" s="18">
        <v>80690</v>
      </c>
    </row>
    <row r="6" spans="1:29">
      <c r="A6" s="21">
        <f t="shared" si="0"/>
        <v>43100</v>
      </c>
      <c r="B6" s="17">
        <v>51296</v>
      </c>
      <c r="C6" s="17">
        <v>20129</v>
      </c>
      <c r="D6" s="17">
        <v>246</v>
      </c>
      <c r="E6" s="17">
        <v>31167</v>
      </c>
      <c r="F6" s="17">
        <v>38323</v>
      </c>
      <c r="G6" s="17">
        <v>1538</v>
      </c>
      <c r="H6" s="17">
        <v>25621</v>
      </c>
      <c r="I6" s="17">
        <v>69491</v>
      </c>
      <c r="J6" s="17">
        <v>48645</v>
      </c>
      <c r="K6" s="17">
        <v>24476</v>
      </c>
      <c r="L6" s="17">
        <v>3954</v>
      </c>
      <c r="M6" s="17">
        <v>20846</v>
      </c>
      <c r="N6" s="17"/>
      <c r="O6" s="17">
        <v>2265</v>
      </c>
      <c r="P6" s="17">
        <v>20690</v>
      </c>
      <c r="Q6" s="17">
        <v>17013</v>
      </c>
      <c r="R6" s="17">
        <v>14905</v>
      </c>
      <c r="S6" s="17">
        <v>-57</v>
      </c>
      <c r="T6" s="17">
        <v>14962</v>
      </c>
      <c r="U6" s="17">
        <v>5487</v>
      </c>
      <c r="V6" s="17">
        <v>3096076</v>
      </c>
      <c r="W6" s="17">
        <v>3121932</v>
      </c>
      <c r="X6" s="17">
        <v>259431</v>
      </c>
      <c r="Y6" s="17">
        <v>242105</v>
      </c>
      <c r="Z6" s="17">
        <v>283131</v>
      </c>
      <c r="AA6" s="17">
        <v>290717</v>
      </c>
      <c r="AB6" s="17">
        <v>539</v>
      </c>
      <c r="AC6" s="17">
        <v>83813</v>
      </c>
    </row>
    <row r="7" spans="1:29">
      <c r="A7" s="21">
        <f t="shared" si="0"/>
        <v>42735</v>
      </c>
      <c r="B7" s="18">
        <v>57182</v>
      </c>
      <c r="C7" s="18">
        <v>25243</v>
      </c>
      <c r="D7" s="18">
        <v>651</v>
      </c>
      <c r="E7" s="18">
        <v>31940</v>
      </c>
      <c r="F7" s="18">
        <v>38052</v>
      </c>
      <c r="G7" s="18">
        <v>1112</v>
      </c>
      <c r="H7" s="18">
        <v>25132</v>
      </c>
      <c r="I7" s="18">
        <v>69992</v>
      </c>
      <c r="J7" s="18">
        <v>53743</v>
      </c>
      <c r="K7" s="18">
        <v>25889</v>
      </c>
      <c r="L7" s="18">
        <v>4247</v>
      </c>
      <c r="M7" s="18">
        <v>16249</v>
      </c>
      <c r="N7" s="18"/>
      <c r="O7" s="18">
        <v>2244</v>
      </c>
      <c r="P7" s="18">
        <v>33674</v>
      </c>
      <c r="Q7" s="18">
        <v>861</v>
      </c>
      <c r="R7" s="18">
        <v>-18808</v>
      </c>
      <c r="S7" s="18">
        <v>311</v>
      </c>
      <c r="T7" s="18">
        <v>-19120</v>
      </c>
      <c r="U7" s="18">
        <v>4854</v>
      </c>
      <c r="V7" s="18">
        <v>3118987</v>
      </c>
      <c r="W7" s="18">
        <v>3181258</v>
      </c>
      <c r="X7" s="18">
        <v>229461</v>
      </c>
      <c r="Y7" s="18">
        <v>247456</v>
      </c>
      <c r="Z7" s="18">
        <v>296614</v>
      </c>
      <c r="AA7" s="18">
        <v>298982</v>
      </c>
      <c r="AB7" s="18">
        <v>606</v>
      </c>
      <c r="AC7" s="18">
        <v>85824</v>
      </c>
    </row>
    <row r="8" spans="1:29">
      <c r="A8" s="21">
        <f t="shared" si="0"/>
        <v>42369</v>
      </c>
      <c r="B8" s="17">
        <v>59929</v>
      </c>
      <c r="C8" s="17">
        <v>27044</v>
      </c>
      <c r="D8" s="17">
        <v>855</v>
      </c>
      <c r="E8" s="17">
        <v>32885</v>
      </c>
      <c r="F8" s="17">
        <v>47522</v>
      </c>
      <c r="G8" s="17">
        <v>1933</v>
      </c>
      <c r="H8" s="17">
        <v>25578</v>
      </c>
      <c r="I8" s="17">
        <v>80407</v>
      </c>
      <c r="J8" s="17">
        <v>49955</v>
      </c>
      <c r="K8" s="17">
        <v>24700</v>
      </c>
      <c r="L8" s="17">
        <v>4277</v>
      </c>
      <c r="M8" s="17">
        <v>30452</v>
      </c>
      <c r="N8" s="17"/>
      <c r="O8" s="17">
        <v>1779</v>
      </c>
      <c r="P8" s="17">
        <v>20937</v>
      </c>
      <c r="Q8" s="17">
        <v>2714</v>
      </c>
      <c r="R8" s="17">
        <v>10450</v>
      </c>
      <c r="S8" s="17">
        <v>405</v>
      </c>
      <c r="T8" s="17">
        <v>10045</v>
      </c>
      <c r="U8" s="17">
        <v>5851</v>
      </c>
      <c r="V8" s="17">
        <v>3143835</v>
      </c>
      <c r="W8" s="17">
        <v>3131455</v>
      </c>
      <c r="X8" s="17">
        <v>254095</v>
      </c>
      <c r="Y8" s="17">
        <v>251808</v>
      </c>
      <c r="Z8" s="17">
        <v>299646</v>
      </c>
      <c r="AA8" s="17">
        <v>300648</v>
      </c>
      <c r="AB8" s="17">
        <v>630</v>
      </c>
      <c r="AC8" s="17">
        <v>81308</v>
      </c>
    </row>
    <row r="9" spans="1:29">
      <c r="A9" s="21">
        <f t="shared" si="0"/>
        <v>42004</v>
      </c>
      <c r="B9" s="18">
        <v>70416</v>
      </c>
      <c r="C9" s="18">
        <v>36254</v>
      </c>
      <c r="D9" s="18">
        <v>963</v>
      </c>
      <c r="E9" s="18">
        <v>34162</v>
      </c>
      <c r="F9" s="18">
        <v>43320</v>
      </c>
      <c r="G9" s="18">
        <v>1331</v>
      </c>
      <c r="H9" s="18">
        <v>24131</v>
      </c>
      <c r="I9" s="18">
        <v>77482</v>
      </c>
      <c r="J9" s="18">
        <v>46745</v>
      </c>
      <c r="K9" s="18">
        <v>24177</v>
      </c>
      <c r="L9" s="18">
        <v>4000</v>
      </c>
      <c r="M9" s="18">
        <v>30737</v>
      </c>
      <c r="N9" s="18"/>
      <c r="O9" s="18">
        <v>1029</v>
      </c>
      <c r="P9" s="18">
        <v>32688</v>
      </c>
      <c r="Q9" s="18">
        <v>1007</v>
      </c>
      <c r="R9" s="18">
        <v>-1974</v>
      </c>
      <c r="S9" s="18">
        <v>-1236</v>
      </c>
      <c r="T9" s="18">
        <v>-737</v>
      </c>
      <c r="U9" s="18">
        <v>3400</v>
      </c>
      <c r="V9" s="18">
        <v>3130569</v>
      </c>
      <c r="W9" s="18">
        <v>3124411</v>
      </c>
      <c r="X9" s="18">
        <v>249109</v>
      </c>
      <c r="Y9" s="18">
        <v>251564</v>
      </c>
      <c r="Z9" s="18">
        <v>300716</v>
      </c>
      <c r="AA9" s="18">
        <v>305891</v>
      </c>
      <c r="AB9" s="18">
        <v>646</v>
      </c>
      <c r="AC9" s="18">
        <v>78933</v>
      </c>
    </row>
    <row r="10" spans="1:29">
      <c r="A10" s="21">
        <f t="shared" si="0"/>
        <v>41639</v>
      </c>
      <c r="B10" s="17">
        <v>76821</v>
      </c>
      <c r="C10" s="17">
        <v>43368</v>
      </c>
      <c r="D10" s="17">
        <v>1889</v>
      </c>
      <c r="E10" s="17">
        <v>33453</v>
      </c>
      <c r="F10" s="17">
        <v>43711</v>
      </c>
      <c r="G10" s="17">
        <v>1181</v>
      </c>
      <c r="H10" s="17">
        <v>22857</v>
      </c>
      <c r="I10" s="17">
        <v>77164</v>
      </c>
      <c r="J10" s="17">
        <v>45705</v>
      </c>
      <c r="K10" s="17">
        <v>23673</v>
      </c>
      <c r="L10" s="17">
        <v>3604</v>
      </c>
      <c r="M10" s="17">
        <v>31459</v>
      </c>
      <c r="N10" s="17"/>
      <c r="O10" s="17">
        <v>1756</v>
      </c>
      <c r="P10" s="17">
        <v>34378</v>
      </c>
      <c r="Q10" s="17">
        <v>2595</v>
      </c>
      <c r="R10" s="17">
        <v>-2080</v>
      </c>
      <c r="S10" s="17">
        <v>-2975</v>
      </c>
      <c r="T10" s="17">
        <v>895</v>
      </c>
      <c r="U10" s="17">
        <v>2464</v>
      </c>
      <c r="V10" s="17">
        <v>3117031</v>
      </c>
      <c r="W10" s="17">
        <v>3259166</v>
      </c>
      <c r="X10" s="17">
        <v>244303</v>
      </c>
      <c r="Y10" s="17">
        <v>261719</v>
      </c>
      <c r="Z10" s="17">
        <v>307901</v>
      </c>
      <c r="AA10" s="17">
        <v>309692</v>
      </c>
      <c r="AB10" s="17">
        <v>671</v>
      </c>
      <c r="AC10" s="17">
        <v>75875</v>
      </c>
    </row>
    <row r="11" spans="1:29">
      <c r="A11" s="21">
        <f t="shared" si="0"/>
        <v>41274</v>
      </c>
      <c r="B11" s="18">
        <v>89073</v>
      </c>
      <c r="C11" s="18">
        <v>51494</v>
      </c>
      <c r="D11" s="18">
        <v>1958</v>
      </c>
      <c r="E11" s="18">
        <v>37579</v>
      </c>
      <c r="F11" s="18">
        <v>38791</v>
      </c>
      <c r="G11" s="18">
        <v>2638</v>
      </c>
      <c r="H11" s="18">
        <v>22485</v>
      </c>
      <c r="I11" s="18">
        <v>76370</v>
      </c>
      <c r="J11" s="18">
        <v>48163</v>
      </c>
      <c r="K11" s="18">
        <v>25552</v>
      </c>
      <c r="L11" s="18">
        <v>3054</v>
      </c>
      <c r="M11" s="18">
        <v>28207</v>
      </c>
      <c r="N11" s="18"/>
      <c r="O11" s="18">
        <v>1399</v>
      </c>
      <c r="P11" s="18">
        <v>26550</v>
      </c>
      <c r="Q11" s="18">
        <v>-36</v>
      </c>
      <c r="R11" s="18">
        <v>222</v>
      </c>
      <c r="S11" s="18">
        <v>-2558</v>
      </c>
      <c r="T11" s="18">
        <v>2780</v>
      </c>
      <c r="U11" s="18">
        <v>3528</v>
      </c>
      <c r="V11" s="18">
        <v>3360096</v>
      </c>
      <c r="W11" s="18">
        <v>3360365</v>
      </c>
      <c r="X11" s="18">
        <v>267949</v>
      </c>
      <c r="Y11" s="18">
        <v>264490</v>
      </c>
      <c r="Z11" s="18">
        <v>310849</v>
      </c>
      <c r="AA11" s="18">
        <v>315328</v>
      </c>
      <c r="AB11" s="18">
        <v>697</v>
      </c>
      <c r="AC11" s="18">
        <v>79572</v>
      </c>
    </row>
    <row r="12" spans="1:29">
      <c r="A12" s="21">
        <f t="shared" si="0"/>
        <v>40908</v>
      </c>
      <c r="B12" s="17">
        <v>91270</v>
      </c>
      <c r="C12" s="17">
        <v>52615</v>
      </c>
      <c r="D12" s="17">
        <v>1686</v>
      </c>
      <c r="E12" s="17">
        <v>38655</v>
      </c>
      <c r="F12" s="17">
        <v>34269</v>
      </c>
      <c r="G12" s="17">
        <v>-1155</v>
      </c>
      <c r="H12" s="17">
        <v>22751</v>
      </c>
      <c r="I12" s="17">
        <v>72924</v>
      </c>
      <c r="J12" s="17">
        <v>49154</v>
      </c>
      <c r="K12" s="17">
        <v>26230</v>
      </c>
      <c r="L12" s="17">
        <v>2906</v>
      </c>
      <c r="M12" s="17">
        <v>23770</v>
      </c>
      <c r="N12" s="17"/>
      <c r="O12" s="17">
        <v>1310</v>
      </c>
      <c r="P12" s="17">
        <v>16718</v>
      </c>
      <c r="Q12" s="17">
        <v>-2241</v>
      </c>
      <c r="R12" s="17">
        <v>3500</v>
      </c>
      <c r="S12" s="17">
        <v>-1406</v>
      </c>
      <c r="T12" s="17">
        <v>4906</v>
      </c>
      <c r="U12" s="17">
        <v>3426</v>
      </c>
      <c r="V12" s="17">
        <v>3300038</v>
      </c>
      <c r="W12" s="17">
        <v>3246470</v>
      </c>
      <c r="X12" s="17">
        <v>257270</v>
      </c>
      <c r="Y12" s="17">
        <v>286296</v>
      </c>
      <c r="Z12" s="17">
        <v>317760</v>
      </c>
      <c r="AA12" s="17">
        <v>319500</v>
      </c>
      <c r="AB12" s="17">
        <v>728</v>
      </c>
      <c r="AC12" s="17">
        <v>80592</v>
      </c>
    </row>
    <row r="13" spans="1:29">
      <c r="A13" s="21">
        <f t="shared" si="0"/>
        <v>40543</v>
      </c>
      <c r="B13" s="18">
        <v>82601</v>
      </c>
      <c r="C13" s="18">
        <v>44028</v>
      </c>
      <c r="D13" s="18">
        <v>2921</v>
      </c>
      <c r="E13" s="18">
        <v>38574</v>
      </c>
      <c r="F13" s="18">
        <v>36064</v>
      </c>
      <c r="G13" s="18">
        <v>-1310</v>
      </c>
      <c r="H13" s="18">
        <v>22860</v>
      </c>
      <c r="I13" s="18">
        <v>74638</v>
      </c>
      <c r="J13" s="18">
        <v>48525</v>
      </c>
      <c r="K13" s="18">
        <v>26021</v>
      </c>
      <c r="L13" s="18">
        <v>2718</v>
      </c>
      <c r="M13" s="18">
        <v>26113</v>
      </c>
      <c r="N13" s="18"/>
      <c r="O13" s="18">
        <v>1443</v>
      </c>
      <c r="P13" s="18">
        <v>13797</v>
      </c>
      <c r="Q13" s="18">
        <v>721</v>
      </c>
      <c r="R13" s="18">
        <v>11594</v>
      </c>
      <c r="S13" s="18">
        <v>3168</v>
      </c>
      <c r="T13" s="18">
        <v>8426</v>
      </c>
      <c r="U13" s="18">
        <v>5327</v>
      </c>
      <c r="V13" s="18">
        <v>3216649</v>
      </c>
      <c r="W13" s="18">
        <v>3446877</v>
      </c>
      <c r="X13" s="18">
        <v>288256</v>
      </c>
      <c r="Y13" s="18">
        <v>297115</v>
      </c>
      <c r="Z13" s="18">
        <v>322405</v>
      </c>
      <c r="AA13" s="18">
        <v>322553</v>
      </c>
      <c r="AB13" s="18">
        <v>743</v>
      </c>
      <c r="AC13" s="18">
        <v>80044</v>
      </c>
    </row>
    <row r="14" spans="1:29">
      <c r="A14" s="21">
        <f t="shared" si="0"/>
        <v>40178</v>
      </c>
      <c r="B14" s="17">
        <v>106429</v>
      </c>
      <c r="C14" s="17">
        <v>64364</v>
      </c>
      <c r="D14" s="17">
        <v>700</v>
      </c>
      <c r="E14" s="17">
        <v>42065</v>
      </c>
      <c r="F14" s="17">
        <v>36099</v>
      </c>
      <c r="G14" s="17">
        <v>1044</v>
      </c>
      <c r="H14" s="17">
        <v>21267</v>
      </c>
      <c r="I14" s="17">
        <v>78164</v>
      </c>
      <c r="J14" s="17">
        <v>49469</v>
      </c>
      <c r="K14" s="17">
        <v>26032</v>
      </c>
      <c r="L14" s="17">
        <v>2720</v>
      </c>
      <c r="M14" s="17">
        <v>28694</v>
      </c>
      <c r="N14" s="17"/>
      <c r="O14" s="17">
        <v>1258</v>
      </c>
      <c r="P14" s="17">
        <v>16311</v>
      </c>
      <c r="Q14" s="17">
        <v>146</v>
      </c>
      <c r="R14" s="17">
        <v>11271</v>
      </c>
      <c r="S14" s="17">
        <v>3685</v>
      </c>
      <c r="T14" s="17">
        <v>7587</v>
      </c>
      <c r="U14" s="17">
        <v>5280</v>
      </c>
      <c r="V14" s="17">
        <v>3468392</v>
      </c>
      <c r="W14" s="17">
        <v>3458752</v>
      </c>
      <c r="X14" s="17">
        <v>296799</v>
      </c>
      <c r="Y14" s="17">
        <v>288208</v>
      </c>
      <c r="Z14" s="17">
        <v>325143</v>
      </c>
      <c r="AA14" s="17">
        <v>331807</v>
      </c>
      <c r="AB14" s="17">
        <v>777</v>
      </c>
      <c r="AC14" s="17">
        <v>75724</v>
      </c>
    </row>
    <row r="15" spans="1:29">
      <c r="A15" s="21">
        <f t="shared" si="0"/>
        <v>39813</v>
      </c>
      <c r="B15" s="18">
        <v>166679</v>
      </c>
      <c r="C15" s="18">
        <v>120721</v>
      </c>
      <c r="D15" s="18">
        <v>-2455</v>
      </c>
      <c r="E15" s="18">
        <v>45958</v>
      </c>
      <c r="F15" s="18">
        <v>35425</v>
      </c>
      <c r="G15" s="18">
        <v>-3603</v>
      </c>
      <c r="H15" s="18">
        <v>20662</v>
      </c>
      <c r="I15" s="18">
        <v>81383</v>
      </c>
      <c r="J15" s="18">
        <v>51887</v>
      </c>
      <c r="K15" s="18">
        <v>27847</v>
      </c>
      <c r="L15" s="18">
        <v>2321</v>
      </c>
      <c r="M15" s="18">
        <v>29496</v>
      </c>
      <c r="N15" s="18"/>
      <c r="O15" s="18">
        <v>1891</v>
      </c>
      <c r="P15" s="18">
        <v>13777</v>
      </c>
      <c r="Q15" s="18">
        <v>3598</v>
      </c>
      <c r="R15" s="18">
        <v>17427</v>
      </c>
      <c r="S15" s="18">
        <v>1419</v>
      </c>
      <c r="T15" s="18">
        <v>16008</v>
      </c>
      <c r="U15" s="18">
        <v>5586</v>
      </c>
      <c r="V15" s="18">
        <v>3414524</v>
      </c>
      <c r="W15" s="18">
        <v>3258620</v>
      </c>
      <c r="X15" s="18">
        <v>278966</v>
      </c>
      <c r="Y15" s="18">
        <v>284298</v>
      </c>
      <c r="Z15" s="18">
        <v>339447</v>
      </c>
      <c r="AA15" s="18">
        <v>339451</v>
      </c>
      <c r="AB15" s="18">
        <v>796</v>
      </c>
      <c r="AC15" s="18">
        <v>79658</v>
      </c>
    </row>
    <row r="16" spans="1:29">
      <c r="A16" s="21">
        <f t="shared" si="0"/>
        <v>39447</v>
      </c>
      <c r="B16" s="17">
        <v>136294</v>
      </c>
      <c r="C16" s="17">
        <v>93613</v>
      </c>
      <c r="D16" s="17">
        <v>-452</v>
      </c>
      <c r="E16" s="17">
        <v>42681</v>
      </c>
      <c r="F16" s="17">
        <v>41285</v>
      </c>
      <c r="G16" s="17">
        <v>49</v>
      </c>
      <c r="H16" s="17">
        <v>21938</v>
      </c>
      <c r="I16" s="17">
        <v>83966</v>
      </c>
      <c r="J16" s="17">
        <v>50424</v>
      </c>
      <c r="K16" s="17">
        <v>27945</v>
      </c>
      <c r="L16" s="17">
        <v>2450</v>
      </c>
      <c r="M16" s="17">
        <v>33542</v>
      </c>
      <c r="N16" s="17"/>
      <c r="O16" s="17">
        <v>1829</v>
      </c>
      <c r="P16" s="17">
        <v>7165</v>
      </c>
      <c r="Q16" s="17">
        <v>4834</v>
      </c>
      <c r="R16" s="17">
        <v>29382</v>
      </c>
      <c r="S16" s="17">
        <v>8718</v>
      </c>
      <c r="T16" s="17">
        <v>20664</v>
      </c>
      <c r="U16" s="17">
        <v>14011</v>
      </c>
      <c r="V16" s="17">
        <v>3090415</v>
      </c>
      <c r="W16" s="17">
        <v>2946660</v>
      </c>
      <c r="X16" s="17">
        <v>284278</v>
      </c>
      <c r="Y16" s="17">
        <v>255258</v>
      </c>
      <c r="Z16" s="17">
        <v>340470</v>
      </c>
      <c r="AA16" s="17">
        <v>341604</v>
      </c>
      <c r="AB16" s="17">
        <v>807</v>
      </c>
      <c r="AC16" s="17">
        <v>81857</v>
      </c>
    </row>
    <row r="17" spans="1:29">
      <c r="A17" s="21">
        <f t="shared" si="0"/>
        <v>39082</v>
      </c>
      <c r="B17" s="18">
        <v>103482</v>
      </c>
      <c r="C17" s="18">
        <v>63143</v>
      </c>
      <c r="D17" s="18">
        <v>764</v>
      </c>
      <c r="E17" s="18">
        <v>40339</v>
      </c>
      <c r="F17" s="18">
        <v>44371</v>
      </c>
      <c r="G17" s="18">
        <v>1926</v>
      </c>
      <c r="H17" s="18">
        <v>21832</v>
      </c>
      <c r="I17" s="18">
        <v>84710</v>
      </c>
      <c r="J17" s="18">
        <v>48555</v>
      </c>
      <c r="K17" s="18">
        <v>26385</v>
      </c>
      <c r="L17" s="18">
        <v>2601</v>
      </c>
      <c r="M17" s="18">
        <v>36155</v>
      </c>
      <c r="N17" s="18"/>
      <c r="O17" s="18">
        <v>1593</v>
      </c>
      <c r="P17" s="18">
        <v>5919</v>
      </c>
      <c r="Q17" s="18">
        <v>-161</v>
      </c>
      <c r="R17" s="18">
        <v>28482</v>
      </c>
      <c r="S17" s="18">
        <v>7779</v>
      </c>
      <c r="T17" s="18">
        <v>20703</v>
      </c>
      <c r="U17" s="18">
        <v>14439</v>
      </c>
      <c r="V17" s="18">
        <v>2707831</v>
      </c>
      <c r="W17" s="18">
        <v>2707831</v>
      </c>
      <c r="X17" s="18">
        <v>218942</v>
      </c>
      <c r="Y17" s="18">
        <v>218942</v>
      </c>
      <c r="Z17" s="18">
        <v>339138</v>
      </c>
      <c r="AA17" s="18">
        <v>338826</v>
      </c>
      <c r="AB17" s="18">
        <v>788</v>
      </c>
      <c r="AC17" s="18">
        <v>86834</v>
      </c>
    </row>
    <row r="18" spans="1:29">
      <c r="A18" s="21">
        <f t="shared" si="0"/>
        <v>38717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>
        <v>2558</v>
      </c>
      <c r="M18" s="17"/>
      <c r="N18" s="17"/>
      <c r="O18" s="17"/>
      <c r="P18" s="17"/>
      <c r="Q18" s="17"/>
      <c r="R18" s="17"/>
      <c r="S18" s="17"/>
      <c r="T18" s="17"/>
      <c r="U18" s="17">
        <v>12333</v>
      </c>
      <c r="V18" s="17"/>
      <c r="W18" s="17"/>
      <c r="X18" s="17"/>
      <c r="Y18" s="17"/>
      <c r="Z18" s="17">
        <v>336080</v>
      </c>
      <c r="AA18" s="17">
        <v>336080</v>
      </c>
      <c r="AB18" s="17"/>
      <c r="AC18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E6A4-5C27-8141-8224-295A4CB682BD}">
  <dimension ref="A1:L330"/>
  <sheetViews>
    <sheetView topLeftCell="B1" zoomScale="211" workbookViewId="0">
      <selection sqref="A1:L330"/>
    </sheetView>
  </sheetViews>
  <sheetFormatPr baseColWidth="10" defaultRowHeight="15"/>
  <sheetData>
    <row r="1" spans="1:12">
      <c r="B1" s="22" t="s">
        <v>37</v>
      </c>
      <c r="C1" s="22"/>
      <c r="D1" s="22"/>
      <c r="E1" s="22"/>
      <c r="F1" s="22"/>
      <c r="G1" s="22"/>
      <c r="H1" s="22" t="s">
        <v>38</v>
      </c>
      <c r="I1" s="22"/>
      <c r="J1" s="22"/>
      <c r="K1" s="22"/>
      <c r="L1" s="22"/>
    </row>
    <row r="2" spans="1:12" ht="28">
      <c r="A2" s="1" t="s">
        <v>22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</row>
    <row r="3" spans="1:12">
      <c r="A3" s="12" t="s">
        <v>45</v>
      </c>
      <c r="B3" s="12">
        <v>35989.79</v>
      </c>
      <c r="C3" s="12">
        <v>11037.21</v>
      </c>
      <c r="D3" s="12">
        <v>9300.98</v>
      </c>
      <c r="E3" s="12">
        <v>8256.25</v>
      </c>
      <c r="F3" s="12">
        <v>345.07</v>
      </c>
      <c r="G3" s="12">
        <v>2832.77</v>
      </c>
      <c r="H3" s="12">
        <v>1368647.97</v>
      </c>
      <c r="I3" s="12">
        <v>64528</v>
      </c>
      <c r="J3" s="12">
        <v>150734.98000000001</v>
      </c>
      <c r="K3" s="12">
        <v>320552.23</v>
      </c>
      <c r="L3" s="12">
        <v>110806.42</v>
      </c>
    </row>
    <row r="4" spans="1:12">
      <c r="A4" s="12" t="s">
        <v>46</v>
      </c>
      <c r="B4" s="12">
        <v>38129.120000000003</v>
      </c>
      <c r="C4" s="12">
        <v>11049.74</v>
      </c>
      <c r="D4" s="12">
        <v>8601.77</v>
      </c>
      <c r="E4" s="12">
        <v>8247.6</v>
      </c>
      <c r="F4" s="12">
        <v>342.35</v>
      </c>
      <c r="G4" s="12">
        <v>2514.8000000000002</v>
      </c>
      <c r="H4" s="12">
        <v>1384106.76</v>
      </c>
      <c r="I4" s="12">
        <v>55682.66</v>
      </c>
      <c r="J4" s="12">
        <v>151335.56</v>
      </c>
      <c r="K4" s="12">
        <v>321323.83</v>
      </c>
      <c r="L4" s="12">
        <v>113970.06</v>
      </c>
    </row>
    <row r="5" spans="1:12">
      <c r="A5" s="12" t="s">
        <v>47</v>
      </c>
      <c r="B5" s="12">
        <v>38879.93</v>
      </c>
      <c r="C5" s="12">
        <v>11342.6</v>
      </c>
      <c r="D5" s="12">
        <v>8613.42</v>
      </c>
      <c r="E5" s="12">
        <v>8195.6200000000008</v>
      </c>
      <c r="F5" s="12">
        <v>345.55</v>
      </c>
      <c r="G5" s="12">
        <v>1888.13</v>
      </c>
      <c r="H5" s="12">
        <v>1402724.74</v>
      </c>
      <c r="I5" s="12">
        <v>48957.49</v>
      </c>
      <c r="J5" s="12">
        <v>152077.35</v>
      </c>
      <c r="K5" s="12">
        <v>320316.86</v>
      </c>
      <c r="L5" s="12">
        <v>118563.06</v>
      </c>
    </row>
    <row r="6" spans="1:12">
      <c r="A6" s="12" t="s">
        <v>48</v>
      </c>
      <c r="B6" s="12">
        <v>35834.57</v>
      </c>
      <c r="C6" s="12">
        <v>10166.48</v>
      </c>
      <c r="D6" s="12">
        <v>8343.7199999999993</v>
      </c>
      <c r="E6" s="12">
        <v>8212.94</v>
      </c>
      <c r="F6" s="12">
        <v>350.78</v>
      </c>
      <c r="G6" s="12">
        <v>882.64</v>
      </c>
      <c r="H6" s="12">
        <v>1458154.97</v>
      </c>
      <c r="I6" s="12">
        <v>46336.9</v>
      </c>
      <c r="J6" s="12">
        <v>153115.97</v>
      </c>
      <c r="K6" s="12">
        <v>319474.42</v>
      </c>
      <c r="L6" s="12">
        <v>88458.14</v>
      </c>
    </row>
    <row r="7" spans="1:12">
      <c r="A7" s="12" t="s">
        <v>49</v>
      </c>
      <c r="B7" s="12">
        <v>38217.19</v>
      </c>
      <c r="C7" s="12">
        <v>10027.31</v>
      </c>
      <c r="D7" s="12">
        <v>7696.62</v>
      </c>
      <c r="E7" s="12">
        <v>8043.53</v>
      </c>
      <c r="F7" s="12">
        <v>368.45</v>
      </c>
      <c r="G7" s="12">
        <v>1081.06</v>
      </c>
      <c r="H7" s="12">
        <v>1424559.66</v>
      </c>
      <c r="I7" s="12">
        <v>43076.33</v>
      </c>
      <c r="J7" s="12">
        <v>138416.19</v>
      </c>
      <c r="K7" s="12">
        <v>317411.78000000003</v>
      </c>
      <c r="L7" s="12">
        <v>114644.25</v>
      </c>
    </row>
    <row r="8" spans="1:12">
      <c r="A8" s="12" t="s">
        <v>50</v>
      </c>
      <c r="B8" s="12">
        <v>37538.660000000003</v>
      </c>
      <c r="C8" s="12">
        <v>11757.18</v>
      </c>
      <c r="D8" s="12">
        <v>7287.7</v>
      </c>
      <c r="E8" s="12">
        <v>8094.11</v>
      </c>
      <c r="F8" s="12">
        <v>374.13</v>
      </c>
      <c r="G8" s="12">
        <v>1151.33</v>
      </c>
      <c r="H8" s="12">
        <v>1452489.54</v>
      </c>
      <c r="I8" s="12">
        <v>36682.22</v>
      </c>
      <c r="J8" s="12">
        <v>138042.43</v>
      </c>
      <c r="K8" s="12">
        <v>319452.02</v>
      </c>
      <c r="L8" s="12">
        <v>100698.57</v>
      </c>
    </row>
    <row r="9" spans="1:12">
      <c r="A9" s="12" t="s">
        <v>51</v>
      </c>
      <c r="B9" s="12">
        <v>38011</v>
      </c>
      <c r="C9" s="12">
        <v>13162.5</v>
      </c>
      <c r="D9" s="12">
        <v>7230.47</v>
      </c>
      <c r="E9" s="12">
        <v>8113.17</v>
      </c>
      <c r="F9" s="12">
        <v>367.15</v>
      </c>
      <c r="G9" s="12">
        <v>1092.05</v>
      </c>
      <c r="H9" s="12">
        <v>1461204.21</v>
      </c>
      <c r="I9" s="12">
        <v>32839.910000000003</v>
      </c>
      <c r="J9" s="12">
        <v>141213.1</v>
      </c>
      <c r="K9" s="12">
        <v>319532.57</v>
      </c>
      <c r="L9" s="12">
        <v>94383.679999999993</v>
      </c>
    </row>
    <row r="10" spans="1:12">
      <c r="A10" s="12" t="s">
        <v>52</v>
      </c>
      <c r="B10" s="12">
        <v>37571</v>
      </c>
      <c r="C10" s="12">
        <v>10607.8</v>
      </c>
      <c r="D10" s="12">
        <v>6951.7</v>
      </c>
      <c r="E10" s="12">
        <v>7861.34</v>
      </c>
      <c r="F10" s="12">
        <v>363.62</v>
      </c>
      <c r="G10" s="12">
        <v>1367.85</v>
      </c>
      <c r="H10" s="12">
        <v>1474819.13</v>
      </c>
      <c r="I10" s="12">
        <v>30492.34</v>
      </c>
      <c r="J10" s="12">
        <v>141712.09</v>
      </c>
      <c r="K10" s="12">
        <v>320610.33</v>
      </c>
      <c r="L10" s="12">
        <v>108151.41</v>
      </c>
    </row>
    <row r="11" spans="1:12">
      <c r="A11" s="12" t="s">
        <v>53</v>
      </c>
      <c r="B11" s="12">
        <v>37178</v>
      </c>
      <c r="C11" s="12">
        <v>12120.46</v>
      </c>
      <c r="D11" s="12">
        <v>6672.26</v>
      </c>
      <c r="E11" s="12">
        <v>7765.99</v>
      </c>
      <c r="F11" s="12">
        <v>368.35</v>
      </c>
      <c r="G11" s="12">
        <v>1698.5</v>
      </c>
      <c r="H11" s="12">
        <v>1496775.14</v>
      </c>
      <c r="I11" s="12">
        <v>29717.96</v>
      </c>
      <c r="J11" s="12">
        <v>144855.18</v>
      </c>
      <c r="K11" s="12">
        <v>319622.21999999997</v>
      </c>
      <c r="L11" s="12">
        <v>106418.38</v>
      </c>
    </row>
    <row r="12" spans="1:12">
      <c r="A12" s="12" t="s">
        <v>54</v>
      </c>
      <c r="B12" s="12">
        <v>37217</v>
      </c>
      <c r="C12" s="12">
        <v>11158.46</v>
      </c>
      <c r="D12" s="12">
        <v>6423.88</v>
      </c>
      <c r="E12" s="12">
        <v>7968.87</v>
      </c>
      <c r="F12" s="12">
        <v>362.46</v>
      </c>
      <c r="G12" s="12">
        <v>969.52</v>
      </c>
      <c r="H12" s="12">
        <v>1465173.71</v>
      </c>
      <c r="I12" s="12">
        <v>30667.84</v>
      </c>
      <c r="J12" s="12">
        <v>146159.13</v>
      </c>
      <c r="K12" s="12">
        <v>318218.93</v>
      </c>
      <c r="L12" s="12">
        <v>101846.91</v>
      </c>
    </row>
    <row r="13" spans="1:12">
      <c r="A13" s="12" t="s">
        <v>55</v>
      </c>
      <c r="B13" s="12">
        <v>38696</v>
      </c>
      <c r="C13" s="12">
        <v>11192.62</v>
      </c>
      <c r="D13" s="12">
        <v>6113.25</v>
      </c>
      <c r="E13" s="12">
        <v>7851.49</v>
      </c>
      <c r="F13" s="12">
        <v>362.59</v>
      </c>
      <c r="G13" s="12">
        <v>2293.81</v>
      </c>
      <c r="H13" s="12">
        <v>1481261.46</v>
      </c>
      <c r="I13" s="12">
        <v>30990.45</v>
      </c>
      <c r="J13" s="12">
        <v>147553.74</v>
      </c>
      <c r="K13" s="12">
        <v>318978.44</v>
      </c>
      <c r="L13" s="12">
        <v>122387.63</v>
      </c>
    </row>
    <row r="14" spans="1:12">
      <c r="A14" s="12" t="s">
        <v>56</v>
      </c>
      <c r="B14" s="12">
        <v>37850</v>
      </c>
      <c r="C14" s="12">
        <v>12027.46</v>
      </c>
      <c r="D14" s="12">
        <v>6360.6</v>
      </c>
      <c r="E14" s="12">
        <v>7780.61</v>
      </c>
      <c r="F14" s="12">
        <v>363.13</v>
      </c>
      <c r="G14" s="12">
        <v>1539.87</v>
      </c>
      <c r="H14" s="12">
        <v>1485920.94</v>
      </c>
      <c r="I14" s="12">
        <v>31824.400000000001</v>
      </c>
      <c r="J14" s="12">
        <v>148417.91</v>
      </c>
      <c r="K14" s="12">
        <v>318299.65000000002</v>
      </c>
      <c r="L14" s="12">
        <v>122861.65</v>
      </c>
    </row>
    <row r="15" spans="1:12">
      <c r="A15" s="12" t="s">
        <v>57</v>
      </c>
      <c r="B15" s="12">
        <v>38237</v>
      </c>
      <c r="C15" s="12">
        <v>12142.01</v>
      </c>
      <c r="D15" s="12">
        <v>6409.32</v>
      </c>
      <c r="E15" s="12">
        <v>7692.39</v>
      </c>
      <c r="F15" s="12">
        <v>363.22</v>
      </c>
      <c r="G15" s="12">
        <v>1572.16</v>
      </c>
      <c r="H15" s="12">
        <v>1456926.51</v>
      </c>
      <c r="I15" s="12">
        <v>33539.199999999997</v>
      </c>
      <c r="J15" s="12">
        <v>147372.63</v>
      </c>
      <c r="K15" s="12">
        <v>317489.46999999997</v>
      </c>
      <c r="L15" s="12">
        <v>106774.33</v>
      </c>
    </row>
    <row r="16" spans="1:12">
      <c r="A16" s="12" t="s">
        <v>58</v>
      </c>
      <c r="B16" s="12">
        <v>33306</v>
      </c>
      <c r="C16" s="12">
        <v>12401.93</v>
      </c>
      <c r="D16" s="12">
        <v>6073.04</v>
      </c>
      <c r="E16" s="12">
        <v>7669.28</v>
      </c>
      <c r="F16" s="12">
        <v>568.17999999999995</v>
      </c>
      <c r="G16" s="12">
        <v>1578.84</v>
      </c>
      <c r="H16" s="12">
        <v>1445984.97</v>
      </c>
      <c r="I16" s="12">
        <v>32830.54</v>
      </c>
      <c r="J16" s="12">
        <v>149132.04</v>
      </c>
      <c r="K16" s="12">
        <v>319110.14</v>
      </c>
      <c r="L16" s="12">
        <v>115709.27</v>
      </c>
    </row>
    <row r="17" spans="1:12">
      <c r="A17" s="12" t="s">
        <v>59</v>
      </c>
      <c r="B17" s="12">
        <v>33499.46</v>
      </c>
      <c r="C17" s="12">
        <v>13088.05</v>
      </c>
      <c r="D17" s="12">
        <v>5896.76</v>
      </c>
      <c r="E17" s="12">
        <v>7603.89</v>
      </c>
      <c r="F17" s="12">
        <v>571.24</v>
      </c>
      <c r="G17" s="12">
        <v>2190.79</v>
      </c>
      <c r="H17" s="12">
        <v>1447532.64</v>
      </c>
      <c r="I17" s="12">
        <v>32766.19</v>
      </c>
      <c r="J17" s="12">
        <v>151678.59</v>
      </c>
      <c r="K17" s="12">
        <v>318759.42</v>
      </c>
      <c r="L17" s="12">
        <v>113600.33</v>
      </c>
    </row>
    <row r="18" spans="1:12">
      <c r="A18" s="12" t="s">
        <v>60</v>
      </c>
      <c r="B18" s="12">
        <v>32321.66</v>
      </c>
      <c r="C18" s="12">
        <v>13701.56</v>
      </c>
      <c r="D18" s="12">
        <v>5607.14</v>
      </c>
      <c r="E18" s="12">
        <v>7965.96</v>
      </c>
      <c r="F18" s="12">
        <v>576.72</v>
      </c>
      <c r="G18" s="12">
        <v>2778.8</v>
      </c>
      <c r="H18" s="12">
        <v>1480121.47</v>
      </c>
      <c r="I18" s="12">
        <v>33485.660000000003</v>
      </c>
      <c r="J18" s="12">
        <v>154825.23000000001</v>
      </c>
      <c r="K18" s="12">
        <v>315977.75</v>
      </c>
      <c r="L18" s="12">
        <v>92400.79</v>
      </c>
    </row>
    <row r="19" spans="1:12">
      <c r="A19" s="12" t="s">
        <v>61</v>
      </c>
      <c r="B19" s="12">
        <v>32620.03</v>
      </c>
      <c r="C19" s="12">
        <v>14584.64</v>
      </c>
      <c r="D19" s="12">
        <v>5033.75</v>
      </c>
      <c r="E19" s="12">
        <v>7439.9</v>
      </c>
      <c r="F19" s="12">
        <v>380.71</v>
      </c>
      <c r="G19" s="12">
        <v>1799.26</v>
      </c>
      <c r="H19" s="12">
        <v>1430509.19</v>
      </c>
      <c r="I19" s="12">
        <v>34699.07</v>
      </c>
      <c r="J19" s="12">
        <v>148153.68</v>
      </c>
      <c r="K19" s="12">
        <v>317751.03999999998</v>
      </c>
      <c r="L19" s="12">
        <v>99657.06</v>
      </c>
    </row>
    <row r="20" spans="1:12">
      <c r="A20" s="12" t="s">
        <v>62</v>
      </c>
      <c r="B20" s="12">
        <v>33100.080000000002</v>
      </c>
      <c r="C20" s="12">
        <v>14322.32</v>
      </c>
      <c r="D20" s="12">
        <v>4986.51</v>
      </c>
      <c r="E20" s="12">
        <v>7389.71</v>
      </c>
      <c r="F20" s="12">
        <v>382.15</v>
      </c>
      <c r="G20" s="12">
        <v>2200.19</v>
      </c>
      <c r="H20" s="12">
        <v>1449358.26</v>
      </c>
      <c r="I20" s="12">
        <v>37174.339999999997</v>
      </c>
      <c r="J20" s="12">
        <v>149156.12</v>
      </c>
      <c r="K20" s="12">
        <v>316334.40999999997</v>
      </c>
      <c r="L20" s="12">
        <v>98765.54</v>
      </c>
    </row>
    <row r="21" spans="1:12">
      <c r="A21" s="12" t="s">
        <v>63</v>
      </c>
      <c r="B21" s="12">
        <v>32137.06</v>
      </c>
      <c r="C21" s="12">
        <v>13934.93</v>
      </c>
      <c r="D21" s="12">
        <v>5034.8599999999997</v>
      </c>
      <c r="E21" s="12">
        <v>7335.91</v>
      </c>
      <c r="F21" s="12">
        <v>384.16</v>
      </c>
      <c r="G21" s="12">
        <v>1522.22</v>
      </c>
      <c r="H21" s="12">
        <v>1412565.93</v>
      </c>
      <c r="I21" s="12">
        <v>38297.980000000003</v>
      </c>
      <c r="J21" s="12">
        <v>150311.98000000001</v>
      </c>
      <c r="K21" s="12">
        <v>316703.07</v>
      </c>
      <c r="L21" s="12">
        <v>98430.81</v>
      </c>
    </row>
    <row r="22" spans="1:12">
      <c r="A22" s="12" t="s">
        <v>64</v>
      </c>
      <c r="B22" s="12">
        <v>33127.410000000003</v>
      </c>
      <c r="C22" s="12">
        <v>12707.89</v>
      </c>
      <c r="D22" s="12">
        <v>5835.39</v>
      </c>
      <c r="E22" s="12">
        <v>6796.77</v>
      </c>
      <c r="F22" s="12">
        <v>597.33000000000004</v>
      </c>
      <c r="G22" s="12">
        <v>1684.83</v>
      </c>
      <c r="H22" s="12">
        <v>1413014.28</v>
      </c>
      <c r="I22" s="12">
        <v>37870.769999999997</v>
      </c>
      <c r="J22" s="12">
        <v>150931.78</v>
      </c>
      <c r="K22" s="12">
        <v>317415</v>
      </c>
      <c r="L22" s="12">
        <v>86298.77</v>
      </c>
    </row>
    <row r="23" spans="1:12">
      <c r="A23" s="12" t="s">
        <v>65</v>
      </c>
      <c r="B23" s="12">
        <v>31410.91</v>
      </c>
      <c r="C23" s="12">
        <v>14582.37</v>
      </c>
      <c r="D23" s="12">
        <v>6084.03</v>
      </c>
      <c r="E23" s="12">
        <v>6545.32</v>
      </c>
      <c r="F23" s="12">
        <v>588.41</v>
      </c>
      <c r="G23" s="12">
        <v>1812.43</v>
      </c>
      <c r="H23" s="12">
        <v>1417835.19</v>
      </c>
      <c r="I23" s="12">
        <v>38945.18</v>
      </c>
      <c r="J23" s="12">
        <v>151973.19</v>
      </c>
      <c r="K23" s="12">
        <v>316932.68</v>
      </c>
      <c r="L23" s="12">
        <v>92039.21</v>
      </c>
    </row>
    <row r="24" spans="1:12">
      <c r="A24" s="12" t="s">
        <v>66</v>
      </c>
      <c r="B24" s="12">
        <v>32456.46</v>
      </c>
      <c r="C24" s="12">
        <v>13299.98</v>
      </c>
      <c r="D24" s="12">
        <v>6506.2</v>
      </c>
      <c r="E24" s="12">
        <v>5871.07</v>
      </c>
      <c r="F24" s="12">
        <v>795.03</v>
      </c>
      <c r="G24" s="12">
        <v>2308.4</v>
      </c>
      <c r="H24" s="12">
        <v>1394273.54</v>
      </c>
      <c r="I24" s="12">
        <v>39402.129999999997</v>
      </c>
      <c r="J24" s="12">
        <v>152146.26</v>
      </c>
      <c r="K24" s="12">
        <v>316672.58</v>
      </c>
      <c r="L24" s="12">
        <v>85375.1</v>
      </c>
    </row>
    <row r="25" spans="1:12">
      <c r="A25" s="12" t="s">
        <v>67</v>
      </c>
      <c r="B25" s="12">
        <v>31313.89</v>
      </c>
      <c r="C25" s="12">
        <v>14162.65</v>
      </c>
      <c r="D25" s="12">
        <v>7286.98</v>
      </c>
      <c r="E25" s="12">
        <v>5330.29</v>
      </c>
      <c r="F25" s="12">
        <v>1801.69</v>
      </c>
      <c r="G25" s="12">
        <v>1930.72</v>
      </c>
      <c r="H25" s="12">
        <v>1384364.4</v>
      </c>
      <c r="I25" s="12">
        <v>40938.14</v>
      </c>
      <c r="J25" s="12">
        <v>156436.07999999999</v>
      </c>
      <c r="K25" s="12">
        <v>317101.61</v>
      </c>
      <c r="L25" s="12">
        <v>97111.12</v>
      </c>
    </row>
    <row r="26" spans="1:12">
      <c r="A26" s="12" t="s">
        <v>68</v>
      </c>
      <c r="B26" s="12">
        <v>32034.37</v>
      </c>
      <c r="C26" s="12">
        <v>15064.81</v>
      </c>
      <c r="D26" s="12">
        <v>8203.1299999999992</v>
      </c>
      <c r="E26" s="12">
        <v>4527.6099999999997</v>
      </c>
      <c r="F26" s="12">
        <v>1820.15</v>
      </c>
      <c r="G26" s="12">
        <v>1733.43</v>
      </c>
      <c r="H26" s="12">
        <v>1374346.29</v>
      </c>
      <c r="I26" s="12">
        <v>41694.07</v>
      </c>
      <c r="J26" s="12">
        <v>159199.07999999999</v>
      </c>
      <c r="K26" s="12">
        <v>317596.43</v>
      </c>
      <c r="L26" s="12">
        <v>95377.96</v>
      </c>
    </row>
    <row r="27" spans="1:12">
      <c r="A27" s="12" t="s">
        <v>69</v>
      </c>
      <c r="B27" s="12">
        <v>31446.42</v>
      </c>
      <c r="C27" s="12">
        <v>14761.92</v>
      </c>
      <c r="D27" s="12">
        <v>8120.47</v>
      </c>
      <c r="E27" s="12">
        <v>4424.3999999999996</v>
      </c>
      <c r="F27" s="12">
        <v>1528.65</v>
      </c>
      <c r="G27" s="12">
        <v>1218.49</v>
      </c>
      <c r="H27" s="12">
        <v>1356622.55</v>
      </c>
      <c r="I27" s="12">
        <v>43636.1</v>
      </c>
      <c r="J27" s="12">
        <v>155482.57</v>
      </c>
      <c r="K27" s="12">
        <v>317309.48</v>
      </c>
      <c r="L27" s="12">
        <v>87502.25</v>
      </c>
    </row>
    <row r="28" spans="1:12">
      <c r="A28" s="12" t="s">
        <v>70</v>
      </c>
      <c r="B28" s="12">
        <v>32434.400000000001</v>
      </c>
      <c r="C28" s="12">
        <v>14234.23</v>
      </c>
      <c r="D28" s="12">
        <v>8019.5</v>
      </c>
      <c r="E28" s="12">
        <v>4672.7700000000004</v>
      </c>
      <c r="F28" s="12">
        <v>1564.82</v>
      </c>
      <c r="G28" s="12">
        <v>1443.96</v>
      </c>
      <c r="H28" s="12">
        <v>1357508.94</v>
      </c>
      <c r="I28" s="12">
        <v>44526.1</v>
      </c>
      <c r="J28" s="12">
        <v>156312.28</v>
      </c>
      <c r="K28" s="12">
        <v>317113.84999999998</v>
      </c>
      <c r="L28" s="12">
        <v>108997.75999999999</v>
      </c>
    </row>
    <row r="29" spans="1:12">
      <c r="A29" s="12" t="s">
        <v>71</v>
      </c>
      <c r="B29" s="12">
        <v>31733.759999999998</v>
      </c>
      <c r="C29" s="12">
        <v>15294.53</v>
      </c>
      <c r="D29" s="12">
        <v>8318.1</v>
      </c>
      <c r="E29" s="12">
        <v>4475.3500000000004</v>
      </c>
      <c r="F29" s="12">
        <v>1585.29</v>
      </c>
      <c r="G29" s="12">
        <v>959.06</v>
      </c>
      <c r="H29" s="12">
        <v>1350108.7</v>
      </c>
      <c r="I29" s="12">
        <v>45461.99</v>
      </c>
      <c r="J29" s="12">
        <v>158526.79</v>
      </c>
      <c r="K29" s="12">
        <v>316332.49</v>
      </c>
      <c r="L29" s="12">
        <v>105409.46</v>
      </c>
    </row>
    <row r="30" spans="1:12">
      <c r="A30" s="12" t="s">
        <v>72</v>
      </c>
      <c r="B30" s="12">
        <v>31340.11</v>
      </c>
      <c r="C30" s="12">
        <v>13155.97</v>
      </c>
      <c r="D30" s="12">
        <v>8228.2000000000007</v>
      </c>
      <c r="E30" s="12">
        <v>4388.5200000000004</v>
      </c>
      <c r="F30" s="12">
        <v>1443.66</v>
      </c>
      <c r="G30" s="12">
        <v>799.05</v>
      </c>
      <c r="H30" s="12">
        <v>1348719.4</v>
      </c>
      <c r="I30" s="12">
        <v>45232.639999999999</v>
      </c>
      <c r="J30" s="12">
        <v>161632.82</v>
      </c>
      <c r="K30" s="12">
        <v>313257.03000000003</v>
      </c>
      <c r="L30" s="12">
        <v>87246.71</v>
      </c>
    </row>
    <row r="31" spans="1:12">
      <c r="A31" s="12" t="s">
        <v>73</v>
      </c>
      <c r="B31" s="12">
        <v>32167.16</v>
      </c>
      <c r="C31" s="12">
        <v>13017.82</v>
      </c>
      <c r="D31" s="12">
        <v>7842.63</v>
      </c>
      <c r="E31" s="12">
        <v>4260.33</v>
      </c>
      <c r="F31" s="12">
        <v>1845.1</v>
      </c>
      <c r="G31" s="12">
        <v>838.89</v>
      </c>
      <c r="H31" s="12">
        <v>1316611.22</v>
      </c>
      <c r="I31" s="12">
        <v>46146.84</v>
      </c>
      <c r="J31" s="12">
        <v>168453.38</v>
      </c>
      <c r="K31" s="12">
        <v>314443.37</v>
      </c>
      <c r="L31" s="12">
        <v>99954.79</v>
      </c>
    </row>
    <row r="32" spans="1:12">
      <c r="A32" s="12" t="s">
        <v>74</v>
      </c>
      <c r="B32" s="12">
        <v>31611.22</v>
      </c>
      <c r="C32" s="12">
        <v>13409.34</v>
      </c>
      <c r="D32" s="12">
        <v>7652.43</v>
      </c>
      <c r="E32" s="12">
        <v>4184.29</v>
      </c>
      <c r="F32" s="12">
        <v>1839.63</v>
      </c>
      <c r="G32" s="12">
        <v>770.66</v>
      </c>
      <c r="H32" s="12">
        <v>1321061.1499999999</v>
      </c>
      <c r="I32" s="12">
        <v>48151.69</v>
      </c>
      <c r="J32" s="12">
        <v>165754.62</v>
      </c>
      <c r="K32" s="12">
        <v>312701.15999999997</v>
      </c>
      <c r="L32" s="12">
        <v>97213.75</v>
      </c>
    </row>
    <row r="33" spans="1:12">
      <c r="A33" s="12" t="s">
        <v>75</v>
      </c>
      <c r="B33" s="12">
        <v>33043.410000000003</v>
      </c>
      <c r="C33" s="12">
        <v>13714.58</v>
      </c>
      <c r="D33" s="12">
        <v>7533.9</v>
      </c>
      <c r="E33" s="12">
        <v>4120.8500000000004</v>
      </c>
      <c r="F33" s="12">
        <v>1431.59</v>
      </c>
      <c r="G33" s="12">
        <v>756.87</v>
      </c>
      <c r="H33" s="12">
        <v>1279884.48</v>
      </c>
      <c r="I33" s="12">
        <v>49185.73</v>
      </c>
      <c r="J33" s="12">
        <v>164144.34</v>
      </c>
      <c r="K33" s="12">
        <v>312538.67</v>
      </c>
      <c r="L33" s="12">
        <v>98894.14</v>
      </c>
    </row>
    <row r="34" spans="1:12">
      <c r="A34" s="12" t="s">
        <v>76</v>
      </c>
      <c r="B34" s="12">
        <v>31622.6</v>
      </c>
      <c r="C34" s="12">
        <v>13005.03</v>
      </c>
      <c r="D34" s="12">
        <v>7588.27</v>
      </c>
      <c r="E34" s="12">
        <v>4030.15</v>
      </c>
      <c r="F34" s="12">
        <v>1411.73</v>
      </c>
      <c r="G34" s="12">
        <v>792.22</v>
      </c>
      <c r="H34" s="12">
        <v>1267848.6299999999</v>
      </c>
      <c r="I34" s="12">
        <v>50534.87</v>
      </c>
      <c r="J34" s="12">
        <v>165277.42000000001</v>
      </c>
      <c r="K34" s="12">
        <v>313100.59999999998</v>
      </c>
      <c r="L34" s="12">
        <v>116377.81</v>
      </c>
    </row>
    <row r="35" spans="1:12">
      <c r="A35" s="12" t="s">
        <v>77</v>
      </c>
      <c r="B35" s="12">
        <v>37570.089999999997</v>
      </c>
      <c r="C35" s="12">
        <v>12891.54</v>
      </c>
      <c r="D35" s="12">
        <v>7609.04</v>
      </c>
      <c r="E35" s="12">
        <v>3961.16</v>
      </c>
      <c r="F35" s="12">
        <v>1385.29</v>
      </c>
      <c r="G35" s="12">
        <v>708.5</v>
      </c>
      <c r="H35" s="12">
        <v>1256180.83</v>
      </c>
      <c r="I35" s="12">
        <v>52048.93</v>
      </c>
      <c r="J35" s="12">
        <v>166739.35</v>
      </c>
      <c r="K35" s="12">
        <v>312284.69</v>
      </c>
      <c r="L35" s="12">
        <v>115987.38</v>
      </c>
    </row>
    <row r="36" spans="1:12">
      <c r="A36" s="12" t="s">
        <v>78</v>
      </c>
      <c r="B36" s="12">
        <v>33686.31</v>
      </c>
      <c r="C36" s="12">
        <v>12536.46</v>
      </c>
      <c r="D36" s="12">
        <v>6290.83</v>
      </c>
      <c r="E36" s="12">
        <v>3984.11</v>
      </c>
      <c r="F36" s="12">
        <v>1391.95</v>
      </c>
      <c r="G36" s="12">
        <v>690.95</v>
      </c>
      <c r="H36" s="12">
        <v>1231317.6100000001</v>
      </c>
      <c r="I36" s="12">
        <v>52476.66</v>
      </c>
      <c r="J36" s="12">
        <v>167582.97</v>
      </c>
      <c r="K36" s="12">
        <v>312130.63</v>
      </c>
      <c r="L36" s="12">
        <v>115881.84</v>
      </c>
    </row>
    <row r="37" spans="1:12">
      <c r="A37" s="12" t="s">
        <v>79</v>
      </c>
      <c r="B37" s="12">
        <v>32553.43</v>
      </c>
      <c r="C37" s="12">
        <v>12640.8</v>
      </c>
      <c r="D37" s="12">
        <v>6235.56</v>
      </c>
      <c r="E37" s="12">
        <v>3902.15</v>
      </c>
      <c r="F37" s="12">
        <v>887.46</v>
      </c>
      <c r="G37" s="12">
        <v>705.01</v>
      </c>
      <c r="H37" s="12">
        <v>1236492.56</v>
      </c>
      <c r="I37" s="12">
        <v>50805.01</v>
      </c>
      <c r="J37" s="12">
        <v>159723.49</v>
      </c>
      <c r="K37" s="12">
        <v>312407</v>
      </c>
      <c r="L37" s="12">
        <v>139140.38</v>
      </c>
    </row>
    <row r="38" spans="1:12">
      <c r="A38" s="12" t="s">
        <v>80</v>
      </c>
      <c r="B38" s="12">
        <v>32625.78</v>
      </c>
      <c r="C38" s="12">
        <v>11679.05</v>
      </c>
      <c r="D38" s="12">
        <v>6270.17</v>
      </c>
      <c r="E38" s="12">
        <v>3917.67</v>
      </c>
      <c r="F38" s="12">
        <v>893.89</v>
      </c>
      <c r="G38" s="12">
        <v>578.21</v>
      </c>
      <c r="H38" s="12">
        <v>1220255.48</v>
      </c>
      <c r="I38" s="12">
        <v>47920.77</v>
      </c>
      <c r="J38" s="12">
        <v>162204.65</v>
      </c>
      <c r="K38" s="12">
        <v>312484.40999999997</v>
      </c>
      <c r="L38" s="12">
        <v>134311.01</v>
      </c>
    </row>
    <row r="39" spans="1:12">
      <c r="A39" s="12" t="s">
        <v>81</v>
      </c>
      <c r="B39" s="12">
        <v>32688.9</v>
      </c>
      <c r="C39" s="12">
        <v>10853.87</v>
      </c>
      <c r="D39" s="12">
        <v>6258.47</v>
      </c>
      <c r="E39" s="12">
        <v>3963.6</v>
      </c>
      <c r="F39" s="12">
        <v>946.19</v>
      </c>
      <c r="G39" s="12">
        <v>731.01</v>
      </c>
      <c r="H39" s="12">
        <v>1204101.8600000001</v>
      </c>
      <c r="I39" s="12">
        <v>46488.18</v>
      </c>
      <c r="J39" s="12">
        <v>164982.22</v>
      </c>
      <c r="K39" s="12">
        <v>311387.05</v>
      </c>
      <c r="L39" s="12">
        <v>128516.78</v>
      </c>
    </row>
    <row r="40" spans="1:12">
      <c r="A40" s="12" t="s">
        <v>82</v>
      </c>
      <c r="B40" s="12">
        <v>32207.1</v>
      </c>
      <c r="C40" s="12">
        <v>13069.36</v>
      </c>
      <c r="D40" s="12">
        <v>6723.36</v>
      </c>
      <c r="E40" s="12">
        <v>3934.78</v>
      </c>
      <c r="F40" s="12">
        <v>740.2</v>
      </c>
      <c r="G40" s="12">
        <v>964.79</v>
      </c>
      <c r="H40" s="12">
        <v>1187514.1499999999</v>
      </c>
      <c r="I40" s="12">
        <v>47433.17</v>
      </c>
      <c r="J40" s="12">
        <v>166507.45000000001</v>
      </c>
      <c r="K40" s="12">
        <v>308693.68</v>
      </c>
      <c r="L40" s="12">
        <v>122959.19</v>
      </c>
    </row>
    <row r="41" spans="1:12">
      <c r="A41" s="12" t="s">
        <v>83</v>
      </c>
      <c r="B41" s="12">
        <v>31625.58</v>
      </c>
      <c r="C41" s="12">
        <v>14473.68</v>
      </c>
      <c r="D41" s="12">
        <v>6984</v>
      </c>
      <c r="E41" s="12">
        <v>3921.38</v>
      </c>
      <c r="F41" s="12">
        <v>742.53</v>
      </c>
      <c r="G41" s="12">
        <v>881.07</v>
      </c>
      <c r="H41" s="12">
        <v>1166757.07</v>
      </c>
      <c r="I41" s="12">
        <v>47573.31</v>
      </c>
      <c r="J41" s="12">
        <v>167364.32</v>
      </c>
      <c r="K41" s="12">
        <v>308561.37</v>
      </c>
      <c r="L41" s="12">
        <v>120901.14</v>
      </c>
    </row>
    <row r="42" spans="1:12">
      <c r="A42" s="12" t="s">
        <v>84</v>
      </c>
      <c r="B42" s="12">
        <v>31616.080000000002</v>
      </c>
      <c r="C42" s="12">
        <v>13952.22</v>
      </c>
      <c r="D42" s="12">
        <v>6767.46</v>
      </c>
      <c r="E42" s="12">
        <v>3874.99</v>
      </c>
      <c r="F42" s="12">
        <v>743.96</v>
      </c>
      <c r="G42" s="12">
        <v>910.78</v>
      </c>
      <c r="H42" s="12">
        <v>1182391.3</v>
      </c>
      <c r="I42" s="12">
        <v>46770.720000000001</v>
      </c>
      <c r="J42" s="12">
        <v>169314.53</v>
      </c>
      <c r="K42" s="12">
        <v>305709.59999999998</v>
      </c>
      <c r="L42" s="12">
        <v>118830.92</v>
      </c>
    </row>
    <row r="43" spans="1:12">
      <c r="A43" s="12" t="s">
        <v>85</v>
      </c>
      <c r="B43" s="12">
        <v>31501.9</v>
      </c>
      <c r="C43" s="12">
        <v>13714</v>
      </c>
      <c r="D43" s="12">
        <v>5642.64</v>
      </c>
      <c r="E43" s="12">
        <v>3811.63</v>
      </c>
      <c r="F43" s="12">
        <v>348.45</v>
      </c>
      <c r="G43" s="12">
        <v>948.4</v>
      </c>
      <c r="H43" s="12">
        <v>1189858.05</v>
      </c>
      <c r="I43" s="12">
        <v>47845.53</v>
      </c>
      <c r="J43" s="12">
        <v>168653.38</v>
      </c>
      <c r="K43" s="12">
        <v>305452.69</v>
      </c>
      <c r="L43" s="12">
        <v>138011.87</v>
      </c>
    </row>
    <row r="44" spans="1:12">
      <c r="A44" s="12" t="s">
        <v>86</v>
      </c>
      <c r="B44" s="12">
        <v>30608.39</v>
      </c>
      <c r="C44" s="12">
        <v>14264.95</v>
      </c>
      <c r="D44" s="12">
        <v>5536.04</v>
      </c>
      <c r="E44" s="12">
        <v>3846.15</v>
      </c>
      <c r="F44" s="12">
        <v>341.09</v>
      </c>
      <c r="G44" s="12">
        <v>944.03</v>
      </c>
      <c r="H44" s="12">
        <v>1171934.48</v>
      </c>
      <c r="I44" s="12">
        <v>48220.4</v>
      </c>
      <c r="J44" s="12">
        <v>150397.54</v>
      </c>
      <c r="K44" s="12">
        <v>305967.58</v>
      </c>
      <c r="L44" s="12">
        <v>148498.65</v>
      </c>
    </row>
    <row r="45" spans="1:12">
      <c r="A45" s="12" t="s">
        <v>87</v>
      </c>
      <c r="B45" s="12">
        <v>31993.35</v>
      </c>
      <c r="C45" s="12">
        <v>13919.08</v>
      </c>
      <c r="D45" s="12">
        <v>5453.33</v>
      </c>
      <c r="E45" s="12">
        <v>3733.79</v>
      </c>
      <c r="F45" s="12">
        <v>310.74</v>
      </c>
      <c r="G45" s="12">
        <v>940.73</v>
      </c>
      <c r="H45" s="12">
        <v>1163638.6299999999</v>
      </c>
      <c r="I45" s="12">
        <v>48933.16</v>
      </c>
      <c r="J45" s="12">
        <v>149273.23000000001</v>
      </c>
      <c r="K45" s="12">
        <v>305942.57</v>
      </c>
      <c r="L45" s="12">
        <v>115036.63</v>
      </c>
    </row>
    <row r="46" spans="1:12">
      <c r="A46" s="12" t="s">
        <v>88</v>
      </c>
      <c r="B46" s="12">
        <v>31453.94</v>
      </c>
      <c r="C46" s="12">
        <v>12199.3</v>
      </c>
      <c r="D46" s="12">
        <v>5457.59</v>
      </c>
      <c r="E46" s="12">
        <v>3625.42</v>
      </c>
      <c r="F46" s="12">
        <v>290.27999999999997</v>
      </c>
      <c r="G46" s="12">
        <v>957.2</v>
      </c>
      <c r="H46" s="12">
        <v>1167968.8</v>
      </c>
      <c r="I46" s="12">
        <v>49964.87</v>
      </c>
      <c r="J46" s="12">
        <v>148950.35</v>
      </c>
      <c r="K46" s="12">
        <v>306580.2</v>
      </c>
      <c r="L46" s="12">
        <v>122744.32000000001</v>
      </c>
    </row>
    <row r="47" spans="1:12">
      <c r="A47" s="12" t="s">
        <v>89</v>
      </c>
      <c r="B47" s="12">
        <v>30287.32</v>
      </c>
      <c r="C47" s="12">
        <v>13625.5</v>
      </c>
      <c r="D47" s="12">
        <v>5383.17</v>
      </c>
      <c r="E47" s="12">
        <v>3490.38</v>
      </c>
      <c r="F47" s="12">
        <v>264.51</v>
      </c>
      <c r="G47" s="12">
        <v>847.24</v>
      </c>
      <c r="H47" s="12">
        <v>1147671.28</v>
      </c>
      <c r="I47" s="12">
        <v>51145.09</v>
      </c>
      <c r="J47" s="12">
        <v>149030.94</v>
      </c>
      <c r="K47" s="12">
        <v>305439.09999999998</v>
      </c>
      <c r="L47" s="12">
        <v>121501.05</v>
      </c>
    </row>
    <row r="48" spans="1:12">
      <c r="A48" s="12" t="s">
        <v>90</v>
      </c>
      <c r="B48" s="12">
        <v>30420.74</v>
      </c>
      <c r="C48" s="12">
        <v>13315.93</v>
      </c>
      <c r="D48" s="12">
        <v>5331.63</v>
      </c>
      <c r="E48" s="12">
        <v>3573.76</v>
      </c>
      <c r="F48" s="12">
        <v>239.03</v>
      </c>
      <c r="G48" s="12">
        <v>842.05</v>
      </c>
      <c r="H48" s="12">
        <v>1149706.31</v>
      </c>
      <c r="I48" s="12">
        <v>51867.61</v>
      </c>
      <c r="J48" s="12">
        <v>149539.06</v>
      </c>
      <c r="K48" s="12">
        <v>304638.11</v>
      </c>
      <c r="L48" s="12">
        <v>125968.01</v>
      </c>
    </row>
    <row r="49" spans="1:12">
      <c r="A49" s="12" t="s">
        <v>91</v>
      </c>
      <c r="B49" s="12">
        <v>31487.59</v>
      </c>
      <c r="C49" s="12">
        <v>12564.35</v>
      </c>
      <c r="D49" s="12">
        <v>5520.86</v>
      </c>
      <c r="E49" s="12">
        <v>3530.98</v>
      </c>
      <c r="F49" s="12">
        <v>220.46</v>
      </c>
      <c r="G49" s="12">
        <v>858.37</v>
      </c>
      <c r="H49" s="12">
        <v>1130932.4099999999</v>
      </c>
      <c r="I49" s="12">
        <v>54241.13</v>
      </c>
      <c r="J49" s="12">
        <v>146525.94</v>
      </c>
      <c r="K49" s="12">
        <v>304717.31</v>
      </c>
      <c r="L49" s="12">
        <v>132598.79999999999</v>
      </c>
    </row>
    <row r="50" spans="1:12">
      <c r="A50" s="12" t="s">
        <v>92</v>
      </c>
      <c r="B50" s="12">
        <v>31248.880000000001</v>
      </c>
      <c r="C50" s="12">
        <v>11710.01</v>
      </c>
      <c r="D50" s="12">
        <v>5332.77</v>
      </c>
      <c r="E50" s="12">
        <v>3534.06</v>
      </c>
      <c r="F50" s="12">
        <v>214.52</v>
      </c>
      <c r="G50" s="12">
        <v>807.34</v>
      </c>
      <c r="H50" s="12">
        <v>1124246.03</v>
      </c>
      <c r="I50" s="12">
        <v>52595.64</v>
      </c>
      <c r="J50" s="12">
        <v>147633.71</v>
      </c>
      <c r="K50" s="12">
        <v>304600.18</v>
      </c>
      <c r="L50" s="12">
        <v>138489.88</v>
      </c>
    </row>
    <row r="51" spans="1:12">
      <c r="A51" s="12" t="s">
        <v>93</v>
      </c>
      <c r="B51" s="12">
        <v>33271.339999999997</v>
      </c>
      <c r="C51" s="12">
        <v>12254.31</v>
      </c>
      <c r="D51" s="12">
        <v>5160.09</v>
      </c>
      <c r="E51" s="12">
        <v>3549.11</v>
      </c>
      <c r="F51" s="12">
        <v>214.23</v>
      </c>
      <c r="G51" s="12">
        <v>881.15</v>
      </c>
      <c r="H51" s="12">
        <v>1122396.02</v>
      </c>
      <c r="I51" s="12">
        <v>53388.86</v>
      </c>
      <c r="J51" s="12">
        <v>149825.65</v>
      </c>
      <c r="K51" s="12">
        <v>304710.94</v>
      </c>
      <c r="L51" s="12">
        <v>136933.84</v>
      </c>
    </row>
    <row r="52" spans="1:12">
      <c r="A52" s="12" t="s">
        <v>94</v>
      </c>
      <c r="B52" s="12">
        <v>32796.199999999997</v>
      </c>
      <c r="C52" s="12">
        <v>10905.74</v>
      </c>
      <c r="D52" s="12">
        <v>5101.8</v>
      </c>
      <c r="E52" s="12">
        <v>3572.41</v>
      </c>
      <c r="F52" s="12">
        <v>213.51</v>
      </c>
      <c r="G52" s="12">
        <v>682.93</v>
      </c>
      <c r="H52" s="12">
        <v>1097618.03</v>
      </c>
      <c r="I52" s="12">
        <v>53077.49</v>
      </c>
      <c r="J52" s="12">
        <v>150449.88</v>
      </c>
      <c r="K52" s="12">
        <v>304841.02</v>
      </c>
      <c r="L52" s="12">
        <v>140622.63</v>
      </c>
    </row>
    <row r="53" spans="1:12">
      <c r="A53" s="12" t="s">
        <v>95</v>
      </c>
      <c r="B53" s="12">
        <v>36993.51</v>
      </c>
      <c r="C53" s="12">
        <v>11737.63</v>
      </c>
      <c r="D53" s="12">
        <v>5150.22</v>
      </c>
      <c r="E53" s="12">
        <v>3381</v>
      </c>
      <c r="F53" s="12">
        <v>211.89</v>
      </c>
      <c r="G53" s="12">
        <v>713.07</v>
      </c>
      <c r="H53" s="12">
        <v>1092557.6399999999</v>
      </c>
      <c r="I53" s="12">
        <v>52303.24</v>
      </c>
      <c r="J53" s="12">
        <v>149671.94</v>
      </c>
      <c r="K53" s="12">
        <v>304368</v>
      </c>
      <c r="L53" s="12">
        <v>134465.82</v>
      </c>
    </row>
    <row r="54" spans="1:12">
      <c r="A54" s="12" t="s">
        <v>96</v>
      </c>
      <c r="B54" s="12">
        <v>34499.480000000003</v>
      </c>
      <c r="C54" s="12">
        <v>11523.73</v>
      </c>
      <c r="D54" s="12">
        <v>4938.51</v>
      </c>
      <c r="E54" s="12">
        <v>3589.92</v>
      </c>
      <c r="F54" s="12">
        <v>210.14</v>
      </c>
      <c r="G54" s="12">
        <v>723.87</v>
      </c>
      <c r="H54" s="12">
        <v>1109801.9099999999</v>
      </c>
      <c r="I54" s="12">
        <v>50789.18</v>
      </c>
      <c r="J54" s="12">
        <v>143347.04</v>
      </c>
      <c r="K54" s="12">
        <v>301727.99</v>
      </c>
      <c r="L54" s="12">
        <v>148999.29999999999</v>
      </c>
    </row>
    <row r="55" spans="1:12">
      <c r="A55" s="12" t="s">
        <v>97</v>
      </c>
      <c r="B55" s="12">
        <v>34692.839999999997</v>
      </c>
      <c r="C55" s="12">
        <v>11543.15</v>
      </c>
      <c r="D55" s="12">
        <v>4508.28</v>
      </c>
      <c r="E55" s="12">
        <v>3588.81</v>
      </c>
      <c r="F55" s="12">
        <v>208.78</v>
      </c>
      <c r="G55" s="12">
        <v>608.64</v>
      </c>
      <c r="H55" s="12">
        <v>1083814.53</v>
      </c>
      <c r="I55" s="12">
        <v>51219.33</v>
      </c>
      <c r="J55" s="12">
        <v>140228.68</v>
      </c>
      <c r="K55" s="12">
        <v>301700.67</v>
      </c>
      <c r="L55" s="12">
        <v>145142.29</v>
      </c>
    </row>
    <row r="56" spans="1:12">
      <c r="A56" s="12" t="s">
        <v>98</v>
      </c>
      <c r="B56" s="12">
        <v>37536.589999999997</v>
      </c>
      <c r="C56" s="12">
        <v>10831.75</v>
      </c>
      <c r="D56" s="12">
        <v>4692.6400000000003</v>
      </c>
      <c r="E56" s="12">
        <v>3580.82</v>
      </c>
      <c r="F56" s="12">
        <v>207.42</v>
      </c>
      <c r="G56" s="12">
        <v>517.77</v>
      </c>
      <c r="H56" s="12">
        <v>1093802.17</v>
      </c>
      <c r="I56" s="12">
        <v>52039.35</v>
      </c>
      <c r="J56" s="12">
        <v>139596.16</v>
      </c>
      <c r="K56" s="12">
        <v>301332.23</v>
      </c>
      <c r="L56" s="12">
        <v>133025.51</v>
      </c>
    </row>
    <row r="57" spans="1:12">
      <c r="A57" s="12" t="s">
        <v>99</v>
      </c>
      <c r="B57" s="12">
        <v>41237.03</v>
      </c>
      <c r="C57" s="12">
        <v>11988.68</v>
      </c>
      <c r="D57" s="12">
        <v>4747.3</v>
      </c>
      <c r="E57" s="12">
        <v>3546.39</v>
      </c>
      <c r="F57" s="12">
        <v>206.25</v>
      </c>
      <c r="G57" s="12">
        <v>489.66</v>
      </c>
      <c r="H57" s="12">
        <v>1106156.8600000001</v>
      </c>
      <c r="I57" s="12">
        <v>53569.27</v>
      </c>
      <c r="J57" s="12">
        <v>142065.82</v>
      </c>
      <c r="K57" s="12">
        <v>301489.53999999998</v>
      </c>
      <c r="L57" s="12">
        <v>139253.25</v>
      </c>
    </row>
    <row r="58" spans="1:12">
      <c r="A58" s="12" t="s">
        <v>100</v>
      </c>
      <c r="B58" s="12">
        <v>41712.32</v>
      </c>
      <c r="C58" s="12">
        <v>10932.56</v>
      </c>
      <c r="D58" s="12">
        <v>5176.6899999999996</v>
      </c>
      <c r="E58" s="12">
        <v>3526.16</v>
      </c>
      <c r="F58" s="12">
        <v>203.42</v>
      </c>
      <c r="G58" s="12">
        <v>449.09</v>
      </c>
      <c r="H58" s="12">
        <v>1079978.58</v>
      </c>
      <c r="I58" s="12">
        <v>54437.53</v>
      </c>
      <c r="J58" s="12">
        <v>144730.39000000001</v>
      </c>
      <c r="K58" s="12">
        <v>301103.73</v>
      </c>
      <c r="L58" s="12">
        <v>139721.75</v>
      </c>
    </row>
    <row r="59" spans="1:12">
      <c r="A59" s="12" t="s">
        <v>101</v>
      </c>
      <c r="B59" s="12">
        <v>39827.57</v>
      </c>
      <c r="C59" s="12">
        <v>11615.61</v>
      </c>
      <c r="D59" s="12">
        <v>4907.2</v>
      </c>
      <c r="E59" s="12">
        <v>3506.55</v>
      </c>
      <c r="F59" s="12">
        <v>202.27</v>
      </c>
      <c r="G59" s="12">
        <v>439.99</v>
      </c>
      <c r="H59" s="12">
        <v>1077309.19</v>
      </c>
      <c r="I59" s="12">
        <v>55575.22</v>
      </c>
      <c r="J59" s="12">
        <v>146609.35999999999</v>
      </c>
      <c r="K59" s="12">
        <v>300417.91999999998</v>
      </c>
      <c r="L59" s="12">
        <v>137777.38</v>
      </c>
    </row>
    <row r="60" spans="1:12">
      <c r="A60" s="12" t="s">
        <v>102</v>
      </c>
      <c r="B60" s="12">
        <v>39642.199999999997</v>
      </c>
      <c r="C60" s="12">
        <v>12461.23</v>
      </c>
      <c r="D60" s="12">
        <v>9680.02</v>
      </c>
      <c r="E60" s="12">
        <v>3490.6</v>
      </c>
      <c r="F60" s="12">
        <v>202.67</v>
      </c>
      <c r="G60" s="12">
        <v>644.35</v>
      </c>
      <c r="H60" s="12">
        <v>1101350.95</v>
      </c>
      <c r="I60" s="12">
        <v>57260.05</v>
      </c>
      <c r="J60" s="12">
        <v>138061.44</v>
      </c>
      <c r="K60" s="12">
        <v>300312.98</v>
      </c>
      <c r="L60" s="12">
        <v>139781.15</v>
      </c>
    </row>
    <row r="61" spans="1:12">
      <c r="A61" s="12" t="s">
        <v>103</v>
      </c>
      <c r="B61" s="12">
        <v>43198.26</v>
      </c>
      <c r="C61" s="12">
        <v>11110.89</v>
      </c>
      <c r="D61" s="12">
        <v>10355.89</v>
      </c>
      <c r="E61" s="12">
        <v>3329.6</v>
      </c>
      <c r="F61" s="12">
        <v>201.6</v>
      </c>
      <c r="G61" s="12">
        <v>676.2</v>
      </c>
      <c r="H61" s="12">
        <v>1083938.29</v>
      </c>
      <c r="I61" s="12">
        <v>58351.31</v>
      </c>
      <c r="J61" s="12">
        <v>141461.51</v>
      </c>
      <c r="K61" s="12">
        <v>300161.96999999997</v>
      </c>
      <c r="L61" s="12">
        <v>123243.33</v>
      </c>
    </row>
    <row r="62" spans="1:12">
      <c r="A62" s="12" t="s">
        <v>104</v>
      </c>
      <c r="B62" s="12">
        <v>41754.06</v>
      </c>
      <c r="C62" s="12">
        <v>10849.52</v>
      </c>
      <c r="D62" s="12">
        <v>10396.049999999999</v>
      </c>
      <c r="E62" s="12">
        <v>3273.44</v>
      </c>
      <c r="F62" s="12">
        <v>201.77</v>
      </c>
      <c r="G62" s="12">
        <v>625.79</v>
      </c>
      <c r="H62" s="12">
        <v>1073576.17</v>
      </c>
      <c r="I62" s="12">
        <v>59798.11</v>
      </c>
      <c r="J62" s="12">
        <v>147175.54999999999</v>
      </c>
      <c r="K62" s="12">
        <v>300594.25</v>
      </c>
      <c r="L62" s="12">
        <v>110159.34</v>
      </c>
    </row>
    <row r="63" spans="1:12">
      <c r="A63" s="12" t="s">
        <v>105</v>
      </c>
      <c r="B63" s="12">
        <v>39132.589999999997</v>
      </c>
      <c r="C63" s="12">
        <v>10925.88</v>
      </c>
      <c r="D63" s="12">
        <v>10505.15</v>
      </c>
      <c r="E63" s="12">
        <v>3215.62</v>
      </c>
      <c r="F63" s="12">
        <v>201.49</v>
      </c>
      <c r="G63" s="12">
        <v>640.91999999999996</v>
      </c>
      <c r="H63" s="12">
        <v>1071086.4099999999</v>
      </c>
      <c r="I63" s="12">
        <v>62530.879999999997</v>
      </c>
      <c r="J63" s="12">
        <v>144103.51</v>
      </c>
      <c r="K63" s="12">
        <v>300916.71000000002</v>
      </c>
      <c r="L63" s="12">
        <v>116080.52</v>
      </c>
    </row>
    <row r="64" spans="1:12">
      <c r="A64" s="12" t="s">
        <v>106</v>
      </c>
      <c r="B64" s="12">
        <v>40659.25</v>
      </c>
      <c r="C64" s="12">
        <v>10401.66</v>
      </c>
      <c r="D64" s="12">
        <v>10720.65</v>
      </c>
      <c r="E64" s="12">
        <v>3238.95</v>
      </c>
      <c r="F64" s="12">
        <v>201.28</v>
      </c>
      <c r="G64" s="12">
        <v>587.94000000000005</v>
      </c>
      <c r="H64" s="12">
        <v>1050189.93</v>
      </c>
      <c r="I64" s="12">
        <v>64928.89</v>
      </c>
      <c r="J64" s="12">
        <v>144863.35</v>
      </c>
      <c r="K64" s="12">
        <v>301487.67</v>
      </c>
      <c r="L64" s="12">
        <v>106279.25</v>
      </c>
    </row>
    <row r="65" spans="1:12">
      <c r="A65" s="12" t="s">
        <v>107</v>
      </c>
      <c r="B65" s="12">
        <v>38353.97</v>
      </c>
      <c r="C65" s="12">
        <v>10688.56</v>
      </c>
      <c r="D65" s="12">
        <v>10833.73</v>
      </c>
      <c r="E65" s="12">
        <v>2910.18</v>
      </c>
      <c r="F65" s="12">
        <v>201.9</v>
      </c>
      <c r="G65" s="12">
        <v>597.54999999999995</v>
      </c>
      <c r="H65" s="12">
        <v>1048444.87</v>
      </c>
      <c r="I65" s="12">
        <v>66431.509999999995</v>
      </c>
      <c r="J65" s="12">
        <v>145530.13</v>
      </c>
      <c r="K65" s="12">
        <v>301390.2</v>
      </c>
      <c r="L65" s="12">
        <v>113042.66</v>
      </c>
    </row>
    <row r="66" spans="1:12">
      <c r="A66" s="12" t="s">
        <v>108</v>
      </c>
      <c r="B66" s="12">
        <v>39840.49</v>
      </c>
      <c r="C66" s="12">
        <v>10823.61</v>
      </c>
      <c r="D66" s="12">
        <v>5932.84</v>
      </c>
      <c r="E66" s="12">
        <v>2895.31</v>
      </c>
      <c r="F66" s="12">
        <v>201.68</v>
      </c>
      <c r="G66" s="12">
        <v>626.55999999999995</v>
      </c>
      <c r="H66" s="12">
        <v>1059756.22</v>
      </c>
      <c r="I66" s="12">
        <v>67687.429999999993</v>
      </c>
      <c r="J66" s="12">
        <v>147537.31</v>
      </c>
      <c r="K66" s="12">
        <v>299175.61</v>
      </c>
      <c r="L66" s="12">
        <v>114732.74</v>
      </c>
    </row>
    <row r="67" spans="1:12">
      <c r="A67" s="12" t="s">
        <v>109</v>
      </c>
      <c r="B67" s="12">
        <v>42535.42</v>
      </c>
      <c r="C67" s="12">
        <v>9819.52</v>
      </c>
      <c r="D67" s="12">
        <v>6044.18</v>
      </c>
      <c r="E67" s="12">
        <v>2681.59</v>
      </c>
      <c r="F67" s="12">
        <v>199.1</v>
      </c>
      <c r="G67" s="12">
        <v>582.89</v>
      </c>
      <c r="H67" s="12">
        <v>1022948.85</v>
      </c>
      <c r="I67" s="12">
        <v>70098.399999999994</v>
      </c>
      <c r="J67" s="12">
        <v>134147.75</v>
      </c>
      <c r="K67" s="12">
        <v>297974.99</v>
      </c>
      <c r="L67" s="12">
        <v>140379.48000000001</v>
      </c>
    </row>
    <row r="68" spans="1:12">
      <c r="A68" s="12" t="s">
        <v>110</v>
      </c>
      <c r="B68" s="12">
        <v>40810.82</v>
      </c>
      <c r="C68" s="12">
        <v>9903.9599999999991</v>
      </c>
      <c r="D68" s="12">
        <v>5952.36</v>
      </c>
      <c r="E68" s="12">
        <v>2708.77</v>
      </c>
      <c r="F68" s="12">
        <v>196.76</v>
      </c>
      <c r="G68" s="12">
        <v>575.91999999999996</v>
      </c>
      <c r="H68" s="12">
        <v>1028099.02</v>
      </c>
      <c r="I68" s="12">
        <v>71871.009999999995</v>
      </c>
      <c r="J68" s="12">
        <v>129736.89</v>
      </c>
      <c r="K68" s="12">
        <v>297344.88</v>
      </c>
      <c r="L68" s="12">
        <v>127832.92</v>
      </c>
    </row>
    <row r="69" spans="1:12">
      <c r="A69" s="12" t="s">
        <v>111</v>
      </c>
      <c r="B69" s="12">
        <v>41036.410000000003</v>
      </c>
      <c r="C69" s="12">
        <v>9560.23</v>
      </c>
      <c r="D69" s="12">
        <v>5874.43</v>
      </c>
      <c r="E69" s="12">
        <v>2767.52</v>
      </c>
      <c r="F69" s="12">
        <v>197.49</v>
      </c>
      <c r="G69" s="12">
        <v>536.03</v>
      </c>
      <c r="H69" s="12">
        <v>1027084.46</v>
      </c>
      <c r="I69" s="12">
        <v>73880.52</v>
      </c>
      <c r="J69" s="12">
        <v>132306.9</v>
      </c>
      <c r="K69" s="12">
        <v>297783.71000000002</v>
      </c>
      <c r="L69" s="12">
        <v>117377.02</v>
      </c>
    </row>
    <row r="70" spans="1:12">
      <c r="A70" s="12" t="s">
        <v>112</v>
      </c>
      <c r="B70" s="12">
        <v>42023.72</v>
      </c>
      <c r="C70" s="12">
        <v>8626.4599999999991</v>
      </c>
      <c r="D70" s="12">
        <v>5790.56</v>
      </c>
      <c r="E70" s="12">
        <v>2943.52</v>
      </c>
      <c r="F70" s="12">
        <v>196.33</v>
      </c>
      <c r="G70" s="12">
        <v>516.54999999999995</v>
      </c>
      <c r="H70" s="12">
        <v>1005023.84</v>
      </c>
      <c r="I70" s="12">
        <v>76587.929999999993</v>
      </c>
      <c r="J70" s="12">
        <v>132468.31</v>
      </c>
      <c r="K70" s="12">
        <v>297589.64</v>
      </c>
      <c r="L70" s="12">
        <v>106652.34</v>
      </c>
    </row>
    <row r="71" spans="1:12">
      <c r="A71" s="12" t="s">
        <v>113</v>
      </c>
      <c r="B71" s="12">
        <v>39926.54</v>
      </c>
      <c r="C71" s="12">
        <v>9040.26</v>
      </c>
      <c r="D71" s="12">
        <v>5575.08</v>
      </c>
      <c r="E71" s="12">
        <v>2946.63</v>
      </c>
      <c r="F71" s="12">
        <v>243.03</v>
      </c>
      <c r="G71" s="12">
        <v>494.72</v>
      </c>
      <c r="H71" s="12">
        <v>999028.64</v>
      </c>
      <c r="I71" s="12">
        <v>76365.64</v>
      </c>
      <c r="J71" s="12">
        <v>134283.85999999999</v>
      </c>
      <c r="K71" s="12">
        <v>296282.71999999997</v>
      </c>
      <c r="L71" s="12">
        <v>108844.94</v>
      </c>
    </row>
    <row r="72" spans="1:12">
      <c r="A72" s="12" t="s">
        <v>114</v>
      </c>
      <c r="B72" s="12">
        <v>40513.379999999997</v>
      </c>
      <c r="C72" s="12">
        <v>8963.1299999999992</v>
      </c>
      <c r="D72" s="12">
        <v>5610.4</v>
      </c>
      <c r="E72" s="12">
        <v>2865.89</v>
      </c>
      <c r="F72" s="12">
        <v>194.38</v>
      </c>
      <c r="G72" s="12">
        <v>491.24</v>
      </c>
      <c r="H72" s="12">
        <v>996383.82</v>
      </c>
      <c r="I72" s="12">
        <v>76819.990000000005</v>
      </c>
      <c r="J72" s="12">
        <v>134100.29999999999</v>
      </c>
      <c r="K72" s="12">
        <v>295268.90999999997</v>
      </c>
      <c r="L72" s="12">
        <v>120987.61</v>
      </c>
    </row>
    <row r="73" spans="1:12">
      <c r="A73" s="12" t="s">
        <v>115</v>
      </c>
      <c r="B73" s="12">
        <v>41875.760000000002</v>
      </c>
      <c r="C73" s="12">
        <v>10512.21</v>
      </c>
      <c r="D73" s="12">
        <v>4140.6099999999997</v>
      </c>
      <c r="E73" s="12">
        <v>2841.66</v>
      </c>
      <c r="F73" s="12">
        <v>194.72</v>
      </c>
      <c r="G73" s="12">
        <v>422.65</v>
      </c>
      <c r="H73" s="12">
        <v>993518.39</v>
      </c>
      <c r="I73" s="12">
        <v>78163.27</v>
      </c>
      <c r="J73" s="12">
        <v>138338.82999999999</v>
      </c>
      <c r="K73" s="12">
        <v>296003.93</v>
      </c>
      <c r="L73" s="12">
        <v>131401.48000000001</v>
      </c>
    </row>
    <row r="74" spans="1:12">
      <c r="A74" s="12" t="s">
        <v>116</v>
      </c>
      <c r="B74" s="12">
        <v>41338.36</v>
      </c>
      <c r="C74" s="12">
        <v>8232.56</v>
      </c>
      <c r="D74" s="12">
        <v>3588.3</v>
      </c>
      <c r="E74" s="12">
        <v>2801.03</v>
      </c>
      <c r="F74" s="12">
        <v>194.3</v>
      </c>
      <c r="G74" s="12">
        <v>715.51</v>
      </c>
      <c r="H74" s="12">
        <v>1004033.14</v>
      </c>
      <c r="I74" s="12">
        <v>79749.649999999994</v>
      </c>
      <c r="J74" s="12">
        <v>138824.84</v>
      </c>
      <c r="K74" s="12">
        <v>296333.08</v>
      </c>
      <c r="L74" s="12">
        <v>147299.92000000001</v>
      </c>
    </row>
    <row r="75" spans="1:12">
      <c r="A75" s="12" t="s">
        <v>117</v>
      </c>
      <c r="B75" s="12">
        <v>41571.51</v>
      </c>
      <c r="C75" s="12">
        <v>8339.2000000000007</v>
      </c>
      <c r="D75" s="12">
        <v>3595.14</v>
      </c>
      <c r="E75" s="12">
        <v>2786.29</v>
      </c>
      <c r="F75" s="12">
        <v>194.51</v>
      </c>
      <c r="G75" s="12">
        <v>1660.48</v>
      </c>
      <c r="H75" s="12">
        <v>979575.64</v>
      </c>
      <c r="I75" s="12">
        <v>81725.399999999994</v>
      </c>
      <c r="J75" s="12">
        <v>142066.29999999999</v>
      </c>
      <c r="K75" s="12">
        <v>297034.32</v>
      </c>
      <c r="L75" s="12">
        <v>149924.78</v>
      </c>
    </row>
    <row r="76" spans="1:12">
      <c r="A76" s="12" t="s">
        <v>118</v>
      </c>
      <c r="B76" s="12">
        <v>41437.49</v>
      </c>
      <c r="C76" s="12">
        <v>8902.73</v>
      </c>
      <c r="D76" s="12">
        <v>3532.42</v>
      </c>
      <c r="E76" s="12">
        <v>2783.27</v>
      </c>
      <c r="F76" s="12">
        <v>195.84</v>
      </c>
      <c r="G76" s="12">
        <v>1097.07</v>
      </c>
      <c r="H76" s="12">
        <v>965979.69</v>
      </c>
      <c r="I76" s="12">
        <v>82702.009999999995</v>
      </c>
      <c r="J76" s="12">
        <v>140646.54</v>
      </c>
      <c r="K76" s="12">
        <v>298283.48</v>
      </c>
      <c r="L76" s="12">
        <v>141830.15</v>
      </c>
    </row>
    <row r="77" spans="1:12">
      <c r="A77" s="12" t="s">
        <v>119</v>
      </c>
      <c r="B77" s="12">
        <v>41060.61</v>
      </c>
      <c r="C77" s="12">
        <v>9043.19</v>
      </c>
      <c r="D77" s="12">
        <v>3328.48</v>
      </c>
      <c r="E77" s="12">
        <v>2842.92</v>
      </c>
      <c r="F77" s="12">
        <v>194.9</v>
      </c>
      <c r="G77" s="12">
        <v>983.18</v>
      </c>
      <c r="H77" s="12">
        <v>961393.74</v>
      </c>
      <c r="I77" s="12">
        <v>83652.58</v>
      </c>
      <c r="J77" s="12">
        <v>140065.04999999999</v>
      </c>
      <c r="K77" s="12">
        <v>298773.03999999998</v>
      </c>
      <c r="L77" s="12">
        <v>144121.69</v>
      </c>
    </row>
    <row r="78" spans="1:12">
      <c r="A78" s="12" t="s">
        <v>120</v>
      </c>
      <c r="B78" s="12">
        <v>44594.14</v>
      </c>
      <c r="C78" s="12">
        <v>7451.46</v>
      </c>
      <c r="D78" s="12">
        <v>5710.24</v>
      </c>
      <c r="E78" s="12">
        <v>7959.66</v>
      </c>
      <c r="F78" s="12">
        <v>193.92</v>
      </c>
      <c r="G78" s="12">
        <v>1864.07</v>
      </c>
      <c r="H78" s="12">
        <v>987864.47</v>
      </c>
      <c r="I78" s="12">
        <v>83322.720000000001</v>
      </c>
      <c r="J78" s="12">
        <v>141354.45000000001</v>
      </c>
      <c r="K78" s="12">
        <v>297919.98</v>
      </c>
      <c r="L78" s="12">
        <v>159114.18</v>
      </c>
    </row>
    <row r="79" spans="1:12">
      <c r="A79" s="12" t="s">
        <v>121</v>
      </c>
      <c r="B79" s="12">
        <v>45478.84</v>
      </c>
      <c r="C79" s="12">
        <v>7534.13</v>
      </c>
      <c r="D79" s="12">
        <v>5497.58</v>
      </c>
      <c r="E79" s="12">
        <v>7970.03</v>
      </c>
      <c r="F79" s="12">
        <v>194.02</v>
      </c>
      <c r="G79" s="12">
        <v>840.05</v>
      </c>
      <c r="H79" s="12">
        <v>949673.06</v>
      </c>
      <c r="I79" s="12">
        <v>85841.14</v>
      </c>
      <c r="J79" s="12">
        <v>140469.93</v>
      </c>
      <c r="K79" s="12">
        <v>297323.07</v>
      </c>
      <c r="L79" s="12">
        <v>152672.88</v>
      </c>
    </row>
    <row r="80" spans="1:12">
      <c r="A80" s="12" t="s">
        <v>122</v>
      </c>
      <c r="B80" s="12">
        <v>44309.85</v>
      </c>
      <c r="C80" s="12">
        <v>8441.43</v>
      </c>
      <c r="D80" s="12">
        <v>5634.69</v>
      </c>
      <c r="E80" s="12">
        <v>8301.3700000000008</v>
      </c>
      <c r="F80" s="12">
        <v>192.69</v>
      </c>
      <c r="G80" s="12">
        <v>975.73</v>
      </c>
      <c r="H80" s="12">
        <v>949774.67</v>
      </c>
      <c r="I80" s="12">
        <v>89828.95</v>
      </c>
      <c r="J80" s="12">
        <v>136769.57999999999</v>
      </c>
      <c r="K80" s="12">
        <v>298104.25</v>
      </c>
      <c r="L80" s="12">
        <v>153573.5</v>
      </c>
    </row>
    <row r="81" spans="1:12">
      <c r="A81" s="12" t="s">
        <v>123</v>
      </c>
      <c r="B81" s="12">
        <v>45298</v>
      </c>
      <c r="C81" s="12">
        <v>8197.7099999999991</v>
      </c>
      <c r="D81" s="12">
        <v>5660.95</v>
      </c>
      <c r="E81" s="12">
        <v>8178.68</v>
      </c>
      <c r="F81" s="12">
        <v>193.43</v>
      </c>
      <c r="G81" s="12">
        <v>1232.1500000000001</v>
      </c>
      <c r="H81" s="12">
        <v>933743.88</v>
      </c>
      <c r="I81" s="12">
        <v>90592.73</v>
      </c>
      <c r="J81" s="12">
        <v>136011.24</v>
      </c>
      <c r="K81" s="12">
        <v>299090.90000000002</v>
      </c>
      <c r="L81" s="12">
        <v>159946.18</v>
      </c>
    </row>
    <row r="82" spans="1:12">
      <c r="A82" s="12" t="s">
        <v>124</v>
      </c>
      <c r="B82" s="12">
        <v>44709</v>
      </c>
      <c r="C82" s="12">
        <v>7833.35</v>
      </c>
      <c r="D82" s="12">
        <v>5984.68</v>
      </c>
      <c r="E82" s="12">
        <v>8328.17</v>
      </c>
      <c r="F82" s="12">
        <v>192.53</v>
      </c>
      <c r="G82" s="12">
        <v>601.80999999999995</v>
      </c>
      <c r="H82" s="12">
        <v>928405.94</v>
      </c>
      <c r="I82" s="12">
        <v>91471.38</v>
      </c>
      <c r="J82" s="12">
        <v>139032.35999999999</v>
      </c>
      <c r="K82" s="12">
        <v>299933.01</v>
      </c>
      <c r="L82" s="12">
        <v>157698.64000000001</v>
      </c>
    </row>
    <row r="83" spans="1:12">
      <c r="A83" s="12" t="s">
        <v>125</v>
      </c>
      <c r="B83" s="12">
        <v>42654</v>
      </c>
      <c r="C83" s="12">
        <v>10049.24</v>
      </c>
      <c r="D83" s="12">
        <v>5773.83</v>
      </c>
      <c r="E83" s="12">
        <v>8347.7900000000009</v>
      </c>
      <c r="F83" s="12">
        <v>190.89</v>
      </c>
      <c r="G83" s="12">
        <v>851.2</v>
      </c>
      <c r="H83" s="12">
        <v>936911.45</v>
      </c>
      <c r="I83" s="12">
        <v>92755.199999999997</v>
      </c>
      <c r="J83" s="12">
        <v>134573.54</v>
      </c>
      <c r="K83" s="12">
        <v>299973.95</v>
      </c>
      <c r="L83" s="12">
        <v>158763.53</v>
      </c>
    </row>
    <row r="84" spans="1:12">
      <c r="A84" s="12" t="s">
        <v>126</v>
      </c>
      <c r="B84" s="12">
        <v>48147</v>
      </c>
      <c r="C84" s="12">
        <v>9473.69</v>
      </c>
      <c r="D84" s="12">
        <v>5659.74</v>
      </c>
      <c r="E84" s="12">
        <v>8492.7800000000007</v>
      </c>
      <c r="F84" s="12">
        <v>189.11</v>
      </c>
      <c r="G84" s="12">
        <v>1960.04</v>
      </c>
      <c r="H84" s="12">
        <v>917140.68</v>
      </c>
      <c r="I84" s="12">
        <v>95330.3</v>
      </c>
      <c r="J84" s="12">
        <v>135596.74</v>
      </c>
      <c r="K84" s="12">
        <v>300447.8</v>
      </c>
      <c r="L84" s="12">
        <v>175064.2</v>
      </c>
    </row>
    <row r="85" spans="1:12">
      <c r="A85" s="12" t="s">
        <v>127</v>
      </c>
      <c r="B85" s="12">
        <v>44611</v>
      </c>
      <c r="C85" s="12">
        <v>8229.83</v>
      </c>
      <c r="D85" s="12">
        <v>5766.83</v>
      </c>
      <c r="E85" s="12">
        <v>7931.58</v>
      </c>
      <c r="F85" s="12">
        <v>189.74</v>
      </c>
      <c r="G85" s="12">
        <v>884</v>
      </c>
      <c r="H85" s="12">
        <v>915128.89</v>
      </c>
      <c r="I85" s="12">
        <v>99006.97</v>
      </c>
      <c r="J85" s="12">
        <v>140171.35</v>
      </c>
      <c r="K85" s="12">
        <v>301640.12</v>
      </c>
      <c r="L85" s="12">
        <v>173880.52</v>
      </c>
    </row>
    <row r="86" spans="1:12">
      <c r="A86" s="12" t="s">
        <v>128</v>
      </c>
      <c r="B86" s="12">
        <v>43084</v>
      </c>
      <c r="C86" s="12">
        <v>7682.28</v>
      </c>
      <c r="D86" s="12">
        <v>5627.29</v>
      </c>
      <c r="E86" s="12">
        <v>7980.09</v>
      </c>
      <c r="F86" s="12">
        <v>190.01</v>
      </c>
      <c r="G86" s="12">
        <v>620</v>
      </c>
      <c r="H86" s="12">
        <v>925470.64</v>
      </c>
      <c r="I86" s="12">
        <v>102023.87</v>
      </c>
      <c r="J86" s="12">
        <v>140386.28</v>
      </c>
      <c r="K86" s="12">
        <v>302986.02</v>
      </c>
      <c r="L86" s="12">
        <v>177099.38</v>
      </c>
    </row>
    <row r="87" spans="1:12">
      <c r="A87" s="12" t="s">
        <v>129</v>
      </c>
      <c r="B87" s="12">
        <v>47451</v>
      </c>
      <c r="C87" s="12">
        <v>8010.36</v>
      </c>
      <c r="D87" s="12">
        <v>5465.01</v>
      </c>
      <c r="E87" s="12">
        <v>7974.18</v>
      </c>
      <c r="F87" s="12">
        <v>189.75</v>
      </c>
      <c r="G87" s="12">
        <v>695.39</v>
      </c>
      <c r="H87" s="12">
        <v>898747.72</v>
      </c>
      <c r="I87" s="12">
        <v>105497.59</v>
      </c>
      <c r="J87" s="12">
        <v>136929.73000000001</v>
      </c>
      <c r="K87" s="12">
        <v>303931.67</v>
      </c>
      <c r="L87" s="12">
        <v>182551.61</v>
      </c>
    </row>
    <row r="88" spans="1:12">
      <c r="A88" s="12" t="s">
        <v>130</v>
      </c>
      <c r="B88" s="12">
        <v>45507</v>
      </c>
      <c r="C88" s="12">
        <v>7007.05</v>
      </c>
      <c r="D88" s="12">
        <v>5580.71</v>
      </c>
      <c r="E88" s="12">
        <v>7614.5</v>
      </c>
      <c r="F88" s="12">
        <v>190.15</v>
      </c>
      <c r="G88" s="12">
        <v>667.86</v>
      </c>
      <c r="H88" s="12">
        <v>888765.31</v>
      </c>
      <c r="I88" s="12">
        <v>106162.39</v>
      </c>
      <c r="J88" s="12">
        <v>137098.70000000001</v>
      </c>
      <c r="K88" s="12">
        <v>304678.3</v>
      </c>
      <c r="L88" s="12">
        <v>179294.42</v>
      </c>
    </row>
    <row r="89" spans="1:12">
      <c r="A89" s="12" t="s">
        <v>131</v>
      </c>
      <c r="B89" s="12">
        <v>48004</v>
      </c>
      <c r="C89" s="12">
        <v>9301.6299999999992</v>
      </c>
      <c r="D89" s="12">
        <v>5673.25</v>
      </c>
      <c r="E89" s="12">
        <v>7500.09</v>
      </c>
      <c r="F89" s="12">
        <v>190.52</v>
      </c>
      <c r="G89" s="12">
        <v>460.89</v>
      </c>
      <c r="H89" s="12">
        <v>889131.43</v>
      </c>
      <c r="I89" s="12">
        <v>111286.78</v>
      </c>
      <c r="J89" s="12">
        <v>137982.9</v>
      </c>
      <c r="K89" s="12">
        <v>304060.67</v>
      </c>
      <c r="L89" s="12">
        <v>153736.38</v>
      </c>
    </row>
    <row r="90" spans="1:12">
      <c r="A90" s="12" t="s">
        <v>132</v>
      </c>
      <c r="B90" s="12">
        <v>46166</v>
      </c>
      <c r="C90" s="12">
        <v>7225.34</v>
      </c>
      <c r="D90" s="12">
        <v>5554.52</v>
      </c>
      <c r="E90" s="12">
        <v>7388.4</v>
      </c>
      <c r="F90" s="12">
        <v>213.44</v>
      </c>
      <c r="G90" s="12">
        <v>693.17</v>
      </c>
      <c r="H90" s="12">
        <v>891702.34</v>
      </c>
      <c r="I90" s="12">
        <v>115287.37</v>
      </c>
      <c r="J90" s="12">
        <v>140899.66</v>
      </c>
      <c r="K90" s="12">
        <v>301049.19</v>
      </c>
      <c r="L90" s="12">
        <v>151343.43</v>
      </c>
    </row>
    <row r="91" spans="1:12">
      <c r="A91" s="12" t="s">
        <v>133</v>
      </c>
      <c r="B91" s="12">
        <v>47704</v>
      </c>
      <c r="C91" s="12">
        <v>7602.56</v>
      </c>
      <c r="D91" s="12">
        <v>4881.01</v>
      </c>
      <c r="E91" s="12">
        <v>6766.01</v>
      </c>
      <c r="F91" s="12">
        <v>263.89999999999998</v>
      </c>
      <c r="G91" s="12">
        <v>867.2</v>
      </c>
      <c r="H91" s="12">
        <v>865201.62</v>
      </c>
      <c r="I91" s="12">
        <v>118003.46</v>
      </c>
      <c r="J91" s="12">
        <v>140956.72</v>
      </c>
      <c r="K91" s="12">
        <v>298886.86</v>
      </c>
      <c r="L91" s="12">
        <v>148476.09</v>
      </c>
    </row>
    <row r="92" spans="1:12">
      <c r="A92" s="12" t="s">
        <v>134</v>
      </c>
      <c r="B92" s="12">
        <v>46019</v>
      </c>
      <c r="C92" s="12">
        <v>9012.3799999999992</v>
      </c>
      <c r="D92" s="12">
        <v>5214.63</v>
      </c>
      <c r="E92" s="12">
        <v>6520.28</v>
      </c>
      <c r="F92" s="12">
        <v>194.37</v>
      </c>
      <c r="G92" s="12">
        <v>604.22</v>
      </c>
      <c r="H92" s="12">
        <v>879560.62</v>
      </c>
      <c r="I92" s="12">
        <v>120042.54</v>
      </c>
      <c r="J92" s="12">
        <v>143044.82999999999</v>
      </c>
      <c r="K92" s="12">
        <v>298788.88</v>
      </c>
      <c r="L92" s="12">
        <v>139340.26</v>
      </c>
    </row>
    <row r="93" spans="1:12">
      <c r="A93" s="12" t="s">
        <v>135</v>
      </c>
      <c r="B93" s="12">
        <v>42514</v>
      </c>
      <c r="C93" s="12">
        <v>8037.86</v>
      </c>
      <c r="D93" s="12">
        <v>5057.6099999999997</v>
      </c>
      <c r="E93" s="12">
        <v>6424</v>
      </c>
      <c r="F93" s="12">
        <v>204.97</v>
      </c>
      <c r="G93" s="12">
        <v>1033.94</v>
      </c>
      <c r="H93" s="12">
        <v>856984.61</v>
      </c>
      <c r="I93" s="12">
        <v>122886.03</v>
      </c>
      <c r="J93" s="12">
        <v>142067.65</v>
      </c>
      <c r="K93" s="12">
        <v>299854.65000000002</v>
      </c>
      <c r="L93" s="12">
        <v>154192.66</v>
      </c>
    </row>
    <row r="94" spans="1:12">
      <c r="A94" s="12" t="s">
        <v>136</v>
      </c>
      <c r="B94" s="12">
        <v>46066</v>
      </c>
      <c r="C94" s="12">
        <v>8781.17</v>
      </c>
      <c r="D94" s="12">
        <v>5300.22</v>
      </c>
      <c r="E94" s="12">
        <v>6272.81</v>
      </c>
      <c r="F94" s="12">
        <v>186.42</v>
      </c>
      <c r="G94" s="12">
        <v>485.05</v>
      </c>
      <c r="H94" s="12">
        <v>846183.77</v>
      </c>
      <c r="I94" s="12">
        <v>123614.79</v>
      </c>
      <c r="J94" s="12">
        <v>143083.99</v>
      </c>
      <c r="K94" s="12">
        <v>301334.71000000002</v>
      </c>
      <c r="L94" s="12">
        <v>161786.04</v>
      </c>
    </row>
    <row r="95" spans="1:12">
      <c r="A95" s="12" t="s">
        <v>137</v>
      </c>
      <c r="B95" s="12">
        <v>55557</v>
      </c>
      <c r="C95" s="12">
        <v>9380.36</v>
      </c>
      <c r="D95" s="12">
        <v>5310.6</v>
      </c>
      <c r="E95" s="12">
        <v>6319.05</v>
      </c>
      <c r="F95" s="12">
        <v>185.26</v>
      </c>
      <c r="G95" s="12">
        <v>296.64999999999998</v>
      </c>
      <c r="H95" s="12">
        <v>846021.92</v>
      </c>
      <c r="I95" s="12">
        <v>123188.1</v>
      </c>
      <c r="J95" s="12">
        <v>139330</v>
      </c>
      <c r="K95" s="12">
        <v>301005.44</v>
      </c>
      <c r="L95" s="12">
        <v>154696.95999999999</v>
      </c>
    </row>
    <row r="96" spans="1:12">
      <c r="A96" s="12" t="s">
        <v>138</v>
      </c>
      <c r="B96" s="12">
        <v>50860</v>
      </c>
      <c r="C96" s="12">
        <v>7286.72</v>
      </c>
      <c r="D96" s="12">
        <v>4973.5600000000004</v>
      </c>
      <c r="E96" s="12">
        <v>6269.78</v>
      </c>
      <c r="F96" s="12">
        <v>183.22</v>
      </c>
      <c r="G96" s="12">
        <v>362.93</v>
      </c>
      <c r="H96" s="12">
        <v>846995.51</v>
      </c>
      <c r="I96" s="12">
        <v>121871.57</v>
      </c>
      <c r="J96" s="12">
        <v>140278.32999999999</v>
      </c>
      <c r="K96" s="12">
        <v>303440.84999999998</v>
      </c>
      <c r="L96" s="12">
        <v>165543.59</v>
      </c>
    </row>
    <row r="97" spans="1:12">
      <c r="A97" s="12" t="s">
        <v>139</v>
      </c>
      <c r="B97" s="12">
        <v>54566</v>
      </c>
      <c r="C97" s="12">
        <v>8416.3799999999992</v>
      </c>
      <c r="D97" s="12">
        <v>4866.8100000000004</v>
      </c>
      <c r="E97" s="12">
        <v>6386.36</v>
      </c>
      <c r="F97" s="12">
        <v>179.62</v>
      </c>
      <c r="G97" s="12">
        <v>642.13</v>
      </c>
      <c r="H97" s="12">
        <v>849407.31</v>
      </c>
      <c r="I97" s="12">
        <v>124174.16</v>
      </c>
      <c r="J97" s="12">
        <v>142210.98000000001</v>
      </c>
      <c r="K97" s="12">
        <v>303224.63</v>
      </c>
      <c r="L97" s="12">
        <v>164457.60000000001</v>
      </c>
    </row>
    <row r="98" spans="1:12">
      <c r="A98" s="12" t="s">
        <v>140</v>
      </c>
      <c r="B98" s="12">
        <v>57627</v>
      </c>
      <c r="C98" s="12">
        <v>8364.15</v>
      </c>
      <c r="D98" s="12">
        <v>4480.2299999999996</v>
      </c>
      <c r="E98" s="12">
        <v>6476.12</v>
      </c>
      <c r="F98" s="12">
        <v>178.29</v>
      </c>
      <c r="G98" s="12">
        <v>761.45</v>
      </c>
      <c r="H98" s="12">
        <v>834729.14</v>
      </c>
      <c r="I98" s="12">
        <v>125466.06</v>
      </c>
      <c r="J98" s="12">
        <v>143557.93</v>
      </c>
      <c r="K98" s="12">
        <v>303635.15000000002</v>
      </c>
      <c r="L98" s="12">
        <v>157051.41</v>
      </c>
    </row>
    <row r="99" spans="1:12">
      <c r="A99" s="12" t="s">
        <v>141</v>
      </c>
      <c r="B99" s="12">
        <v>49759</v>
      </c>
      <c r="C99" s="12">
        <v>7525.37</v>
      </c>
      <c r="D99" s="12">
        <v>4417.28</v>
      </c>
      <c r="E99" s="12">
        <v>6494.92</v>
      </c>
      <c r="F99" s="12">
        <v>178.43</v>
      </c>
      <c r="G99" s="12">
        <v>661.78</v>
      </c>
      <c r="H99" s="12">
        <v>828503.45</v>
      </c>
      <c r="I99" s="12">
        <v>127241.53</v>
      </c>
      <c r="J99" s="12">
        <v>145303.47</v>
      </c>
      <c r="K99" s="12">
        <v>304459.27</v>
      </c>
      <c r="L99" s="12">
        <v>166360.17000000001</v>
      </c>
    </row>
    <row r="100" spans="1:12">
      <c r="A100" s="12" t="s">
        <v>142</v>
      </c>
      <c r="B100" s="12">
        <v>49135</v>
      </c>
      <c r="C100" s="12">
        <v>8344.69</v>
      </c>
      <c r="D100" s="12">
        <v>4548.7</v>
      </c>
      <c r="E100" s="12">
        <v>6757.55</v>
      </c>
      <c r="F100" s="12">
        <v>186.32</v>
      </c>
      <c r="G100" s="12">
        <v>92.59</v>
      </c>
      <c r="H100" s="12">
        <v>821333.67</v>
      </c>
      <c r="I100" s="12">
        <v>130714.06</v>
      </c>
      <c r="J100" s="12">
        <v>146456.54</v>
      </c>
      <c r="K100" s="12">
        <v>304045.48</v>
      </c>
      <c r="L100" s="12">
        <v>172983.46</v>
      </c>
    </row>
    <row r="101" spans="1:12">
      <c r="A101" s="12" t="s">
        <v>143</v>
      </c>
      <c r="B101" s="12">
        <v>45126</v>
      </c>
      <c r="C101" s="12">
        <v>8136.75</v>
      </c>
      <c r="D101" s="12">
        <v>4054.27</v>
      </c>
      <c r="E101" s="12">
        <v>7027.84</v>
      </c>
      <c r="F101" s="12">
        <v>186.36</v>
      </c>
      <c r="G101" s="12">
        <v>90.6</v>
      </c>
      <c r="H101" s="12">
        <v>825727.98</v>
      </c>
      <c r="I101" s="12">
        <v>130013.27</v>
      </c>
      <c r="J101" s="12">
        <v>147185.22</v>
      </c>
      <c r="K101" s="12">
        <v>303664.37</v>
      </c>
      <c r="L101" s="12">
        <v>149231.41</v>
      </c>
    </row>
    <row r="102" spans="1:12">
      <c r="A102" s="12" t="s">
        <v>144</v>
      </c>
      <c r="B102" s="12">
        <v>45102</v>
      </c>
      <c r="C102" s="12">
        <v>7399.21</v>
      </c>
      <c r="D102" s="12">
        <v>4275.84</v>
      </c>
      <c r="E102" s="12">
        <v>3753.31</v>
      </c>
      <c r="F102" s="12">
        <v>185.21</v>
      </c>
      <c r="G102" s="12">
        <v>114.44</v>
      </c>
      <c r="H102" s="12">
        <v>821435.3</v>
      </c>
      <c r="I102" s="12">
        <v>133762.60999999999</v>
      </c>
      <c r="J102" s="12">
        <v>148933.51999999999</v>
      </c>
      <c r="K102" s="12">
        <v>302593.09000000003</v>
      </c>
      <c r="L102" s="12">
        <v>124001.05</v>
      </c>
    </row>
    <row r="103" spans="1:12">
      <c r="A103" s="12" t="s">
        <v>145</v>
      </c>
      <c r="B103" s="12">
        <v>47989</v>
      </c>
      <c r="C103" s="12">
        <v>7624.3</v>
      </c>
      <c r="D103" s="12">
        <v>4214.12</v>
      </c>
      <c r="E103" s="12">
        <v>3938.16</v>
      </c>
      <c r="F103" s="12">
        <v>183.3</v>
      </c>
      <c r="G103" s="12">
        <v>37.450000000000003</v>
      </c>
      <c r="H103" s="12">
        <v>812622.23</v>
      </c>
      <c r="I103" s="12">
        <v>138346.60999999999</v>
      </c>
      <c r="J103" s="12">
        <v>148161.25</v>
      </c>
      <c r="K103" s="12">
        <v>300091.57</v>
      </c>
      <c r="L103" s="12">
        <v>136435.26</v>
      </c>
    </row>
    <row r="104" spans="1:12">
      <c r="A104" s="12" t="s">
        <v>146</v>
      </c>
      <c r="B104" s="12">
        <v>45701</v>
      </c>
      <c r="C104" s="12">
        <v>6641.26</v>
      </c>
      <c r="D104" s="12">
        <v>4392.5200000000004</v>
      </c>
      <c r="E104" s="12">
        <v>3982.46</v>
      </c>
      <c r="F104" s="12">
        <v>178.59</v>
      </c>
      <c r="G104" s="12">
        <v>226.59</v>
      </c>
      <c r="H104" s="12">
        <v>790387.65</v>
      </c>
      <c r="I104" s="12">
        <v>143008.23000000001</v>
      </c>
      <c r="J104" s="12">
        <v>151049.54999999999</v>
      </c>
      <c r="K104" s="12">
        <v>298502.67</v>
      </c>
      <c r="L104" s="12">
        <v>131971.49</v>
      </c>
    </row>
    <row r="105" spans="1:12">
      <c r="A105" s="12" t="s">
        <v>147</v>
      </c>
      <c r="B105" s="12">
        <v>46106</v>
      </c>
      <c r="C105" s="12">
        <v>6923.8</v>
      </c>
      <c r="D105" s="12">
        <v>5137.1400000000003</v>
      </c>
      <c r="E105" s="12">
        <v>3976.51</v>
      </c>
      <c r="F105" s="12">
        <v>178.86</v>
      </c>
      <c r="G105" s="12">
        <v>300.89999999999998</v>
      </c>
      <c r="H105" s="12">
        <v>791542.31</v>
      </c>
      <c r="I105" s="12">
        <v>147116.92000000001</v>
      </c>
      <c r="J105" s="12">
        <v>152323.29999999999</v>
      </c>
      <c r="K105" s="12">
        <v>298684.49</v>
      </c>
      <c r="L105" s="12">
        <v>115355.44</v>
      </c>
    </row>
    <row r="106" spans="1:12">
      <c r="A106" s="12" t="s">
        <v>148</v>
      </c>
      <c r="B106" s="12">
        <v>42657</v>
      </c>
      <c r="C106" s="12">
        <v>5781.13</v>
      </c>
      <c r="D106" s="12">
        <v>5194.1899999999996</v>
      </c>
      <c r="E106" s="12">
        <v>4175.16</v>
      </c>
      <c r="F106" s="12">
        <v>177.63</v>
      </c>
      <c r="G106" s="12">
        <v>305.27999999999997</v>
      </c>
      <c r="H106" s="12">
        <v>787312.79</v>
      </c>
      <c r="I106" s="12">
        <v>149770.62</v>
      </c>
      <c r="J106" s="12">
        <v>152236.67000000001</v>
      </c>
      <c r="K106" s="12">
        <v>298302.17</v>
      </c>
      <c r="L106" s="12">
        <v>130328.03</v>
      </c>
    </row>
    <row r="107" spans="1:12">
      <c r="A107" s="12" t="s">
        <v>149</v>
      </c>
      <c r="B107" s="12">
        <v>44112</v>
      </c>
      <c r="C107" s="12">
        <v>6383.38</v>
      </c>
      <c r="D107" s="12">
        <v>4570.96</v>
      </c>
      <c r="E107" s="12">
        <v>4267.9399999999996</v>
      </c>
      <c r="F107" s="12">
        <v>172.53</v>
      </c>
      <c r="G107" s="12">
        <v>248.84</v>
      </c>
      <c r="H107" s="12">
        <v>774346.59</v>
      </c>
      <c r="I107" s="12">
        <v>151015.21</v>
      </c>
      <c r="J107" s="12">
        <v>152824.64000000001</v>
      </c>
      <c r="K107" s="12">
        <v>297322.28000000003</v>
      </c>
      <c r="L107" s="12">
        <v>126472.54</v>
      </c>
    </row>
    <row r="108" spans="1:12">
      <c r="A108" s="12" t="s">
        <v>150</v>
      </c>
      <c r="B108" s="12">
        <v>42213</v>
      </c>
      <c r="C108" s="12">
        <v>7882.05</v>
      </c>
      <c r="D108" s="12">
        <v>4404.04</v>
      </c>
      <c r="E108" s="12">
        <v>4212.63</v>
      </c>
      <c r="F108" s="12">
        <v>187.53</v>
      </c>
      <c r="G108" s="12">
        <v>345.21</v>
      </c>
      <c r="H108" s="12">
        <v>772653.7</v>
      </c>
      <c r="I108" s="12">
        <v>153335.97</v>
      </c>
      <c r="J108" s="12">
        <v>154505.34</v>
      </c>
      <c r="K108" s="12">
        <v>298202.3</v>
      </c>
      <c r="L108" s="12">
        <v>118430.74</v>
      </c>
    </row>
    <row r="109" spans="1:12">
      <c r="A109" s="12" t="s">
        <v>151</v>
      </c>
      <c r="B109" s="12">
        <v>39969</v>
      </c>
      <c r="C109" s="12">
        <v>8449.61</v>
      </c>
      <c r="D109" s="12">
        <v>4430.16</v>
      </c>
      <c r="E109" s="12">
        <v>4121.38</v>
      </c>
      <c r="F109" s="12">
        <v>186.26</v>
      </c>
      <c r="G109" s="12">
        <v>950.08</v>
      </c>
      <c r="H109" s="12">
        <v>776997.36</v>
      </c>
      <c r="I109" s="12">
        <v>154416.13</v>
      </c>
      <c r="J109" s="12">
        <v>150636.41</v>
      </c>
      <c r="K109" s="12">
        <v>298246.02</v>
      </c>
      <c r="L109" s="12">
        <v>104642.89</v>
      </c>
    </row>
    <row r="110" spans="1:12">
      <c r="A110" s="12" t="s">
        <v>152</v>
      </c>
      <c r="B110" s="12">
        <v>40765</v>
      </c>
      <c r="C110" s="12">
        <v>6687.74</v>
      </c>
      <c r="D110" s="12">
        <v>4908.41</v>
      </c>
      <c r="E110" s="12">
        <v>4073.43</v>
      </c>
      <c r="F110" s="12">
        <v>175.47</v>
      </c>
      <c r="G110" s="12">
        <v>1025.3599999999999</v>
      </c>
      <c r="H110" s="12">
        <v>763995.59</v>
      </c>
      <c r="I110" s="12">
        <v>156221.31</v>
      </c>
      <c r="J110" s="12">
        <v>154352.85999999999</v>
      </c>
      <c r="K110" s="12">
        <v>299252.78000000003</v>
      </c>
      <c r="L110" s="12">
        <v>116646.24</v>
      </c>
    </row>
    <row r="111" spans="1:12">
      <c r="A111" s="12" t="s">
        <v>153</v>
      </c>
      <c r="B111" s="12">
        <v>45751</v>
      </c>
      <c r="C111" s="12">
        <v>7752.71</v>
      </c>
      <c r="D111" s="12">
        <v>4868.34</v>
      </c>
      <c r="E111" s="12">
        <v>4255.82</v>
      </c>
      <c r="F111" s="12">
        <v>172.15</v>
      </c>
      <c r="G111" s="12">
        <v>856.47</v>
      </c>
      <c r="H111" s="12">
        <v>759259.77</v>
      </c>
      <c r="I111" s="12">
        <v>158148.98000000001</v>
      </c>
      <c r="J111" s="12">
        <v>155706.53</v>
      </c>
      <c r="K111" s="12">
        <v>300622.73</v>
      </c>
      <c r="L111" s="12">
        <v>128184.77</v>
      </c>
    </row>
    <row r="112" spans="1:12">
      <c r="A112" s="12" t="s">
        <v>154</v>
      </c>
      <c r="B112" s="12">
        <v>44297</v>
      </c>
      <c r="C112" s="12">
        <v>6957.04</v>
      </c>
      <c r="D112" s="12">
        <v>4687.7700000000004</v>
      </c>
      <c r="E112" s="12">
        <v>4097.8999999999996</v>
      </c>
      <c r="F112" s="12">
        <v>170.11</v>
      </c>
      <c r="G112" s="12">
        <v>781.07</v>
      </c>
      <c r="H112" s="12">
        <v>745934.32</v>
      </c>
      <c r="I112" s="12">
        <v>158475.35999999999</v>
      </c>
      <c r="J112" s="12">
        <v>157665.87</v>
      </c>
      <c r="K112" s="12">
        <v>300717.5</v>
      </c>
      <c r="L112" s="12">
        <v>126276.26</v>
      </c>
    </row>
    <row r="113" spans="1:12">
      <c r="A113" s="12" t="s">
        <v>155</v>
      </c>
      <c r="B113" s="12">
        <v>45230</v>
      </c>
      <c r="C113" s="12">
        <v>6620.49</v>
      </c>
      <c r="D113" s="12">
        <v>4890.6000000000004</v>
      </c>
      <c r="E113" s="12">
        <v>14334.45</v>
      </c>
      <c r="F113" s="12">
        <v>171.08</v>
      </c>
      <c r="G113" s="12">
        <v>820.93</v>
      </c>
      <c r="H113" s="12">
        <v>743359.25</v>
      </c>
      <c r="I113" s="12">
        <v>158090.76999999999</v>
      </c>
      <c r="J113" s="12">
        <v>157478.51</v>
      </c>
      <c r="K113" s="12">
        <v>300600.15999999997</v>
      </c>
      <c r="L113" s="12">
        <v>117650.34</v>
      </c>
    </row>
    <row r="114" spans="1:12">
      <c r="A114" s="12" t="s">
        <v>156</v>
      </c>
      <c r="B114" s="12">
        <v>41129</v>
      </c>
      <c r="C114" s="12">
        <v>6123.73</v>
      </c>
      <c r="D114" s="12">
        <v>5055.47</v>
      </c>
      <c r="E114" s="12">
        <v>14330.2</v>
      </c>
      <c r="F114" s="12">
        <v>173.89</v>
      </c>
      <c r="G114" s="12">
        <v>1211.71</v>
      </c>
      <c r="H114" s="12">
        <v>753282.96</v>
      </c>
      <c r="I114" s="12">
        <v>159618.67000000001</v>
      </c>
      <c r="J114" s="12">
        <v>156401.21</v>
      </c>
      <c r="K114" s="12">
        <v>299564.38</v>
      </c>
      <c r="L114" s="12">
        <v>130050.41</v>
      </c>
    </row>
    <row r="115" spans="1:12">
      <c r="A115" s="12" t="s">
        <v>157</v>
      </c>
      <c r="B115" s="12">
        <v>41906</v>
      </c>
      <c r="C115" s="12">
        <v>6487.02</v>
      </c>
      <c r="D115" s="12">
        <v>4792.28</v>
      </c>
      <c r="E115" s="12">
        <v>14415.9</v>
      </c>
      <c r="F115" s="12">
        <v>171.66</v>
      </c>
      <c r="G115" s="12">
        <v>1770.44</v>
      </c>
      <c r="H115" s="12">
        <v>752547.21</v>
      </c>
      <c r="I115" s="12">
        <v>162268.28</v>
      </c>
      <c r="J115" s="12">
        <v>158640.62</v>
      </c>
      <c r="K115" s="12">
        <v>297301.78000000003</v>
      </c>
      <c r="L115" s="12">
        <v>145685.53</v>
      </c>
    </row>
    <row r="116" spans="1:12">
      <c r="A116" s="12" t="s">
        <v>158</v>
      </c>
      <c r="B116" s="12">
        <v>42412</v>
      </c>
      <c r="C116" s="12">
        <v>6088.3</v>
      </c>
      <c r="D116" s="12">
        <v>2867.16</v>
      </c>
      <c r="E116" s="12">
        <v>14373.58</v>
      </c>
      <c r="F116" s="12">
        <v>166.42</v>
      </c>
      <c r="G116" s="12">
        <v>1505.26</v>
      </c>
      <c r="H116" s="12">
        <v>749766.69</v>
      </c>
      <c r="I116" s="12">
        <v>161473.85999999999</v>
      </c>
      <c r="J116" s="12">
        <v>158859.26999999999</v>
      </c>
      <c r="K116" s="12">
        <v>296945.89</v>
      </c>
      <c r="L116" s="12">
        <v>142016.75</v>
      </c>
    </row>
    <row r="117" spans="1:12">
      <c r="A117" s="12" t="s">
        <v>159</v>
      </c>
      <c r="B117" s="12">
        <v>43453</v>
      </c>
      <c r="C117" s="12">
        <v>5869.89</v>
      </c>
      <c r="D117" s="12">
        <v>2340.86</v>
      </c>
      <c r="E117" s="12">
        <v>14526.4</v>
      </c>
      <c r="F117" s="12">
        <v>166.85</v>
      </c>
      <c r="G117" s="12">
        <v>1321.05</v>
      </c>
      <c r="H117" s="12">
        <v>736966.35</v>
      </c>
      <c r="I117" s="12">
        <v>162148.29999999999</v>
      </c>
      <c r="J117" s="12">
        <v>162346.06</v>
      </c>
      <c r="K117" s="12">
        <v>298226.40999999997</v>
      </c>
      <c r="L117" s="12">
        <v>149858.85</v>
      </c>
    </row>
    <row r="118" spans="1:12">
      <c r="A118" s="12" t="s">
        <v>160</v>
      </c>
      <c r="B118" s="12">
        <v>40981</v>
      </c>
      <c r="C118" s="12">
        <v>4918.6899999999996</v>
      </c>
      <c r="D118" s="12">
        <v>2236.56</v>
      </c>
      <c r="E118" s="12">
        <v>14798.86</v>
      </c>
      <c r="F118" s="12">
        <v>168.01</v>
      </c>
      <c r="G118" s="12">
        <v>1568.27</v>
      </c>
      <c r="H118" s="12">
        <v>739516.53</v>
      </c>
      <c r="I118" s="12">
        <v>163646.1</v>
      </c>
      <c r="J118" s="12">
        <v>162709.74</v>
      </c>
      <c r="K118" s="12">
        <v>298519.11</v>
      </c>
      <c r="L118" s="12">
        <v>152249.07</v>
      </c>
    </row>
    <row r="119" spans="1:12">
      <c r="A119" s="12" t="s">
        <v>161</v>
      </c>
      <c r="B119" s="12">
        <v>44967</v>
      </c>
      <c r="C119" s="12">
        <v>5611.28</v>
      </c>
      <c r="D119" s="12">
        <v>2322.1799999999998</v>
      </c>
      <c r="E119" s="12">
        <v>15363.25</v>
      </c>
      <c r="F119" s="12">
        <v>160.69999999999999</v>
      </c>
      <c r="G119" s="12">
        <v>1682.73</v>
      </c>
      <c r="H119" s="12">
        <v>731170.41</v>
      </c>
      <c r="I119" s="12">
        <v>163393.16</v>
      </c>
      <c r="J119" s="12">
        <v>161315.94</v>
      </c>
      <c r="K119" s="12">
        <v>298008.94</v>
      </c>
      <c r="L119" s="12">
        <v>145517.56</v>
      </c>
    </row>
    <row r="120" spans="1:12">
      <c r="A120" s="12" t="s">
        <v>162</v>
      </c>
      <c r="B120" s="12">
        <v>43094</v>
      </c>
      <c r="C120" s="12">
        <v>5834.76</v>
      </c>
      <c r="D120" s="12">
        <v>2352.04</v>
      </c>
      <c r="E120" s="12">
        <v>15199.31</v>
      </c>
      <c r="F120" s="12">
        <v>159.69</v>
      </c>
      <c r="G120" s="12">
        <v>1404</v>
      </c>
      <c r="H120" s="12">
        <v>737724.85</v>
      </c>
      <c r="I120" s="12">
        <v>164621.76000000001</v>
      </c>
      <c r="J120" s="12">
        <v>159168.37</v>
      </c>
      <c r="K120" s="12">
        <v>298538.55</v>
      </c>
      <c r="L120" s="12">
        <v>156117.51999999999</v>
      </c>
    </row>
    <row r="121" spans="1:12">
      <c r="A121" s="12" t="s">
        <v>163</v>
      </c>
      <c r="B121" s="12">
        <v>40294</v>
      </c>
      <c r="C121" s="12">
        <v>6381.28</v>
      </c>
      <c r="D121" s="12">
        <v>2134.75</v>
      </c>
      <c r="E121" s="12">
        <v>15276.66</v>
      </c>
      <c r="F121" s="12">
        <v>164.16</v>
      </c>
      <c r="G121" s="12">
        <v>1415.73</v>
      </c>
      <c r="H121" s="12">
        <v>735689.46</v>
      </c>
      <c r="I121" s="12">
        <v>167343.67999999999</v>
      </c>
      <c r="J121" s="12">
        <v>158063.28</v>
      </c>
      <c r="K121" s="12">
        <v>299402.86</v>
      </c>
      <c r="L121" s="12">
        <v>157996.23000000001</v>
      </c>
    </row>
    <row r="122" spans="1:12">
      <c r="A122" s="12" t="s">
        <v>164</v>
      </c>
      <c r="B122" s="12">
        <v>41523</v>
      </c>
      <c r="C122" s="12">
        <v>5994.62</v>
      </c>
      <c r="D122" s="12">
        <v>2266.98</v>
      </c>
      <c r="E122" s="12">
        <v>15203.68</v>
      </c>
      <c r="F122" s="12">
        <v>163.66999999999999</v>
      </c>
      <c r="G122" s="12">
        <v>1233.6400000000001</v>
      </c>
      <c r="H122" s="12">
        <v>742904.24</v>
      </c>
      <c r="I122" s="12">
        <v>165690.82</v>
      </c>
      <c r="J122" s="12">
        <v>155244.4</v>
      </c>
      <c r="K122" s="12">
        <v>299691.34999999998</v>
      </c>
      <c r="L122" s="12">
        <v>145474.84</v>
      </c>
    </row>
    <row r="123" spans="1:12">
      <c r="A123" s="12" t="s">
        <v>165</v>
      </c>
      <c r="B123" s="12">
        <v>38582</v>
      </c>
      <c r="C123" s="12">
        <v>7163.38</v>
      </c>
      <c r="D123" s="12">
        <v>2350.0100000000002</v>
      </c>
      <c r="E123" s="12">
        <v>15098.13</v>
      </c>
      <c r="F123" s="12">
        <v>162.16999999999999</v>
      </c>
      <c r="G123" s="12">
        <v>1299.32</v>
      </c>
      <c r="H123" s="12">
        <v>737679.89</v>
      </c>
      <c r="I123" s="12">
        <v>166581.29</v>
      </c>
      <c r="J123" s="12">
        <v>160514.54</v>
      </c>
      <c r="K123" s="12">
        <v>300202.7</v>
      </c>
      <c r="L123" s="12">
        <v>144334.85999999999</v>
      </c>
    </row>
    <row r="124" spans="1:12">
      <c r="A124" s="12" t="s">
        <v>166</v>
      </c>
      <c r="B124" s="12">
        <v>39194</v>
      </c>
      <c r="C124" s="12">
        <v>5681.92</v>
      </c>
      <c r="D124" s="12">
        <v>2005.63</v>
      </c>
      <c r="E124" s="12">
        <v>15395.71</v>
      </c>
      <c r="F124" s="12">
        <v>159.35</v>
      </c>
      <c r="G124" s="12">
        <v>1088.8699999999999</v>
      </c>
      <c r="H124" s="12">
        <v>727018.34</v>
      </c>
      <c r="I124" s="12">
        <v>163104.43</v>
      </c>
      <c r="J124" s="12">
        <v>153471.65</v>
      </c>
      <c r="K124" s="12">
        <v>299124.49</v>
      </c>
      <c r="L124" s="12">
        <v>123860.72</v>
      </c>
    </row>
    <row r="125" spans="1:12">
      <c r="A125" s="12" t="s">
        <v>167</v>
      </c>
      <c r="B125" s="12">
        <v>39281</v>
      </c>
      <c r="C125" s="12">
        <v>5867.41</v>
      </c>
      <c r="D125" s="12">
        <v>2188.9699999999998</v>
      </c>
      <c r="E125" s="12">
        <v>15385.19</v>
      </c>
      <c r="F125" s="12">
        <v>159.16999999999999</v>
      </c>
      <c r="G125" s="12">
        <v>967.2</v>
      </c>
      <c r="H125" s="12">
        <v>713425.36</v>
      </c>
      <c r="I125" s="12">
        <v>160884.93</v>
      </c>
      <c r="J125" s="12">
        <v>154632.78</v>
      </c>
      <c r="K125" s="12">
        <v>298510.23</v>
      </c>
      <c r="L125" s="12">
        <v>121464.37</v>
      </c>
    </row>
    <row r="126" spans="1:12">
      <c r="A126" s="12" t="s">
        <v>168</v>
      </c>
      <c r="B126" s="12">
        <v>38723</v>
      </c>
      <c r="C126" s="12">
        <v>5942.68</v>
      </c>
      <c r="D126" s="12">
        <v>2092.7399999999998</v>
      </c>
      <c r="E126" s="12">
        <v>15446.72</v>
      </c>
      <c r="F126" s="12">
        <v>157.1</v>
      </c>
      <c r="G126" s="12">
        <v>1124.0899999999999</v>
      </c>
      <c r="H126" s="12">
        <v>731945.39</v>
      </c>
      <c r="I126" s="12">
        <v>159047.76999999999</v>
      </c>
      <c r="J126" s="12">
        <v>157717.38</v>
      </c>
      <c r="K126" s="12">
        <v>296850.82</v>
      </c>
      <c r="L126" s="12">
        <v>131925.51999999999</v>
      </c>
    </row>
    <row r="127" spans="1:12">
      <c r="A127" s="12" t="s">
        <v>169</v>
      </c>
      <c r="B127" s="12">
        <v>38544</v>
      </c>
      <c r="C127" s="12">
        <v>5551.66</v>
      </c>
      <c r="D127" s="12">
        <v>2432.29</v>
      </c>
      <c r="E127" s="12">
        <v>15414.01</v>
      </c>
      <c r="F127" s="12">
        <v>153.97</v>
      </c>
      <c r="G127" s="12">
        <v>1133.6300000000001</v>
      </c>
      <c r="H127" s="12">
        <v>696104.21</v>
      </c>
      <c r="I127" s="12">
        <v>156351.22</v>
      </c>
      <c r="J127" s="12">
        <v>150587.59</v>
      </c>
      <c r="K127" s="12">
        <v>292676.53000000003</v>
      </c>
      <c r="L127" s="12">
        <v>130738.21</v>
      </c>
    </row>
    <row r="128" spans="1:12">
      <c r="A128" s="12" t="s">
        <v>170</v>
      </c>
      <c r="B128" s="12">
        <v>35788</v>
      </c>
      <c r="C128" s="12">
        <v>5405.04</v>
      </c>
      <c r="D128" s="12">
        <v>2061.09</v>
      </c>
      <c r="E128" s="12">
        <v>15653.44</v>
      </c>
      <c r="F128" s="12">
        <v>154.26</v>
      </c>
      <c r="G128" s="12">
        <v>1210.8800000000001</v>
      </c>
      <c r="H128" s="12">
        <v>702331.42</v>
      </c>
      <c r="I128" s="12">
        <v>153770.85</v>
      </c>
      <c r="J128" s="12">
        <v>151270</v>
      </c>
      <c r="K128" s="12">
        <v>291117.81</v>
      </c>
      <c r="L128" s="12">
        <v>127585.53</v>
      </c>
    </row>
    <row r="129" spans="1:12">
      <c r="A129" s="12" t="s">
        <v>171</v>
      </c>
      <c r="B129" s="12">
        <v>38626</v>
      </c>
      <c r="C129" s="12">
        <v>6870.38</v>
      </c>
      <c r="D129" s="12">
        <v>1606.67</v>
      </c>
      <c r="E129" s="12">
        <v>16014.65</v>
      </c>
      <c r="F129" s="12">
        <v>153.86000000000001</v>
      </c>
      <c r="G129" s="12">
        <v>2274.86</v>
      </c>
      <c r="H129" s="12">
        <v>716364.21</v>
      </c>
      <c r="I129" s="12">
        <v>148176.79999999999</v>
      </c>
      <c r="J129" s="12">
        <v>146191.91</v>
      </c>
      <c r="K129" s="12">
        <v>291293</v>
      </c>
      <c r="L129" s="12">
        <v>144164.1</v>
      </c>
    </row>
    <row r="130" spans="1:12">
      <c r="A130" s="12" t="s">
        <v>172</v>
      </c>
      <c r="B130" s="12">
        <v>37096</v>
      </c>
      <c r="C130" s="12">
        <v>5675.03</v>
      </c>
      <c r="D130" s="12">
        <v>1756.56</v>
      </c>
      <c r="E130" s="12">
        <v>16016.36</v>
      </c>
      <c r="F130" s="12">
        <v>151.94999999999999</v>
      </c>
      <c r="G130" s="12">
        <v>2110.6</v>
      </c>
      <c r="H130" s="12">
        <v>699985.33</v>
      </c>
      <c r="I130" s="12">
        <v>139884.38</v>
      </c>
      <c r="J130" s="12">
        <v>150703.17000000001</v>
      </c>
      <c r="K130" s="12">
        <v>289670.03999999998</v>
      </c>
      <c r="L130" s="12">
        <v>142156.75</v>
      </c>
    </row>
    <row r="131" spans="1:12">
      <c r="A131" s="12" t="s">
        <v>173</v>
      </c>
      <c r="B131" s="12">
        <v>41105</v>
      </c>
      <c r="C131" s="12">
        <v>5816.59</v>
      </c>
      <c r="D131" s="12">
        <v>2221.7199999999998</v>
      </c>
      <c r="E131" s="12">
        <v>14151.95</v>
      </c>
      <c r="F131" s="12">
        <v>147.43</v>
      </c>
      <c r="G131" s="12">
        <v>1916.1</v>
      </c>
      <c r="H131" s="12">
        <v>700864.39</v>
      </c>
      <c r="I131" s="12">
        <v>136892.53</v>
      </c>
      <c r="J131" s="12">
        <v>145931.07</v>
      </c>
      <c r="K131" s="12">
        <v>288505.23</v>
      </c>
      <c r="L131" s="12">
        <v>148718.93</v>
      </c>
    </row>
    <row r="132" spans="1:12">
      <c r="A132" s="12" t="s">
        <v>174</v>
      </c>
      <c r="B132" s="12">
        <v>41867</v>
      </c>
      <c r="C132" s="12">
        <v>6541.18</v>
      </c>
      <c r="D132" s="12">
        <v>1877.64</v>
      </c>
      <c r="E132" s="12">
        <v>14170.15</v>
      </c>
      <c r="F132" s="12">
        <v>143.43</v>
      </c>
      <c r="G132" s="12">
        <v>1071.44</v>
      </c>
      <c r="H132" s="12">
        <v>709449.85</v>
      </c>
      <c r="I132" s="12">
        <v>134004.5</v>
      </c>
      <c r="J132" s="12">
        <v>149265.28</v>
      </c>
      <c r="K132" s="12">
        <v>288422.5</v>
      </c>
      <c r="L132" s="12">
        <v>141368.76</v>
      </c>
    </row>
    <row r="133" spans="1:12">
      <c r="A133" s="12" t="s">
        <v>175</v>
      </c>
      <c r="B133" s="12">
        <v>42106</v>
      </c>
      <c r="C133" s="12">
        <v>6283.04</v>
      </c>
      <c r="D133" s="12">
        <v>1903.55</v>
      </c>
      <c r="E133" s="12">
        <v>14405.68</v>
      </c>
      <c r="F133" s="12">
        <v>143.25</v>
      </c>
      <c r="G133" s="12">
        <v>1294.1400000000001</v>
      </c>
      <c r="H133" s="12">
        <v>700862.85</v>
      </c>
      <c r="I133" s="12">
        <v>131581.6</v>
      </c>
      <c r="J133" s="12">
        <v>145282.84</v>
      </c>
      <c r="K133" s="12">
        <v>288122.43</v>
      </c>
      <c r="L133" s="12">
        <v>134616.32000000001</v>
      </c>
    </row>
    <row r="134" spans="1:12">
      <c r="A134" s="12" t="s">
        <v>176</v>
      </c>
      <c r="B134" s="12">
        <v>42367</v>
      </c>
      <c r="C134" s="12">
        <v>6025.46</v>
      </c>
      <c r="D134" s="12">
        <v>2153.3200000000002</v>
      </c>
      <c r="E134" s="12">
        <v>14407.81</v>
      </c>
      <c r="F134" s="12">
        <v>142.09</v>
      </c>
      <c r="G134" s="12">
        <v>1422.62</v>
      </c>
      <c r="H134" s="12">
        <v>707430.1</v>
      </c>
      <c r="I134" s="12">
        <v>127352.23</v>
      </c>
      <c r="J134" s="12">
        <v>158322.91</v>
      </c>
      <c r="K134" s="12">
        <v>287636</v>
      </c>
      <c r="L134" s="12">
        <v>118059.54</v>
      </c>
    </row>
    <row r="135" spans="1:12">
      <c r="A135" s="12" t="s">
        <v>177</v>
      </c>
      <c r="B135" s="12">
        <v>41013</v>
      </c>
      <c r="C135" s="12">
        <v>6073.36</v>
      </c>
      <c r="D135" s="12">
        <v>2528.5100000000002</v>
      </c>
      <c r="E135" s="12">
        <v>14611.48</v>
      </c>
      <c r="F135" s="12">
        <v>141.82</v>
      </c>
      <c r="G135" s="12">
        <v>864.38</v>
      </c>
      <c r="H135" s="12">
        <v>711210.4</v>
      </c>
      <c r="I135" s="12">
        <v>125401.54</v>
      </c>
      <c r="J135" s="12">
        <v>156247.56</v>
      </c>
      <c r="K135" s="12">
        <v>286951.31</v>
      </c>
      <c r="L135" s="12">
        <v>114742.44</v>
      </c>
    </row>
    <row r="136" spans="1:12">
      <c r="A136" s="12" t="s">
        <v>178</v>
      </c>
      <c r="B136" s="12">
        <v>43278</v>
      </c>
      <c r="C136" s="12">
        <v>4953.63</v>
      </c>
      <c r="D136" s="12">
        <v>2584.9899999999998</v>
      </c>
      <c r="E136" s="12">
        <v>14694.14</v>
      </c>
      <c r="F136" s="12">
        <v>141.80000000000001</v>
      </c>
      <c r="G136" s="12">
        <v>880.33</v>
      </c>
      <c r="H136" s="12">
        <v>699988.91</v>
      </c>
      <c r="I136" s="12">
        <v>113263.43</v>
      </c>
      <c r="J136" s="12">
        <v>172645.82</v>
      </c>
      <c r="K136" s="12">
        <v>284958.71999999997</v>
      </c>
      <c r="L136" s="12">
        <v>126763.93</v>
      </c>
    </row>
    <row r="137" spans="1:12">
      <c r="A137" s="12" t="s">
        <v>179</v>
      </c>
      <c r="B137" s="12">
        <v>43087</v>
      </c>
      <c r="C137" s="12">
        <v>4996.68</v>
      </c>
      <c r="D137" s="12">
        <v>2108.4499999999998</v>
      </c>
      <c r="E137" s="12">
        <v>14690.41</v>
      </c>
      <c r="F137" s="12">
        <v>160.01</v>
      </c>
      <c r="G137" s="12">
        <v>957.18</v>
      </c>
      <c r="H137" s="12">
        <v>705208.74</v>
      </c>
      <c r="I137" s="12">
        <v>98776.21</v>
      </c>
      <c r="J137" s="12">
        <v>168769.26</v>
      </c>
      <c r="K137" s="12">
        <v>284844.93</v>
      </c>
      <c r="L137" s="12">
        <v>117811.18</v>
      </c>
    </row>
    <row r="138" spans="1:12">
      <c r="A138" s="12" t="s">
        <v>180</v>
      </c>
      <c r="B138" s="12">
        <v>48562</v>
      </c>
      <c r="C138" s="12">
        <v>4612.3900000000003</v>
      </c>
      <c r="D138" s="12">
        <v>2650.33</v>
      </c>
      <c r="E138" s="12">
        <v>14715.36</v>
      </c>
      <c r="F138" s="12">
        <v>160.16999999999999</v>
      </c>
      <c r="G138" s="12">
        <v>989.88</v>
      </c>
      <c r="H138" s="12">
        <v>736084.72</v>
      </c>
      <c r="I138" s="12">
        <v>86693.85</v>
      </c>
      <c r="J138" s="12">
        <v>161042.35</v>
      </c>
      <c r="K138" s="12">
        <v>282787.8</v>
      </c>
      <c r="L138" s="12">
        <v>103703.62</v>
      </c>
    </row>
    <row r="139" spans="1:12">
      <c r="A139" s="12" t="s">
        <v>181</v>
      </c>
      <c r="B139" s="12">
        <v>50821</v>
      </c>
      <c r="C139" s="12">
        <v>4282.1899999999996</v>
      </c>
      <c r="D139" s="12">
        <v>1548.84</v>
      </c>
      <c r="E139" s="12">
        <v>14701.47</v>
      </c>
      <c r="F139" s="12">
        <v>159.22</v>
      </c>
      <c r="G139" s="12">
        <v>873.08</v>
      </c>
      <c r="H139" s="12">
        <v>703356.49</v>
      </c>
      <c r="I139" s="12">
        <v>75010.33</v>
      </c>
      <c r="J139" s="12">
        <v>157560.32999999999</v>
      </c>
      <c r="K139" s="12">
        <v>279525.09999999998</v>
      </c>
      <c r="L139" s="12">
        <v>136635.31</v>
      </c>
    </row>
    <row r="140" spans="1:12">
      <c r="A140" s="12" t="s">
        <v>182</v>
      </c>
      <c r="B140" s="12">
        <v>50845</v>
      </c>
      <c r="C140" s="12">
        <v>4359.87</v>
      </c>
      <c r="D140" s="12">
        <v>1856.9</v>
      </c>
      <c r="E140" s="12">
        <v>14700.37</v>
      </c>
      <c r="F140" s="12">
        <v>158.6</v>
      </c>
      <c r="G140" s="12">
        <v>784.22</v>
      </c>
      <c r="H140" s="12">
        <v>731139.19</v>
      </c>
      <c r="I140" s="12">
        <v>67897.31</v>
      </c>
      <c r="J140" s="12">
        <v>153005.93</v>
      </c>
      <c r="K140" s="12">
        <v>279163.08</v>
      </c>
      <c r="L140" s="12">
        <v>159894.88</v>
      </c>
    </row>
    <row r="141" spans="1:12">
      <c r="A141" s="12" t="s">
        <v>183</v>
      </c>
      <c r="B141" s="12">
        <v>51249</v>
      </c>
      <c r="C141" s="12">
        <v>4675.33</v>
      </c>
      <c r="D141" s="12">
        <v>2248.86</v>
      </c>
      <c r="E141" s="12">
        <v>14703.03</v>
      </c>
      <c r="F141" s="12">
        <v>158.74</v>
      </c>
      <c r="G141" s="12">
        <v>715.48</v>
      </c>
      <c r="H141" s="12">
        <v>735119.71</v>
      </c>
      <c r="I141" s="12">
        <v>62083.66</v>
      </c>
      <c r="J141" s="12">
        <v>143179.57999999999</v>
      </c>
      <c r="K141" s="12">
        <v>279375.35999999999</v>
      </c>
      <c r="L141" s="12">
        <v>164879.87</v>
      </c>
    </row>
    <row r="142" spans="1:12">
      <c r="A142" s="12" t="s">
        <v>184</v>
      </c>
      <c r="B142" s="12">
        <v>47094</v>
      </c>
      <c r="C142" s="12">
        <v>4043.11</v>
      </c>
      <c r="D142" s="12">
        <v>2022.87</v>
      </c>
      <c r="E142" s="12">
        <v>14704.48</v>
      </c>
      <c r="F142" s="12">
        <v>157.6</v>
      </c>
      <c r="G142" s="12">
        <v>554.98</v>
      </c>
      <c r="H142" s="12">
        <v>731998.14</v>
      </c>
      <c r="I142" s="12">
        <v>60833.99</v>
      </c>
      <c r="J142" s="12">
        <v>144085.70000000001</v>
      </c>
      <c r="K142" s="12">
        <v>280114.43</v>
      </c>
      <c r="L142" s="12">
        <v>163832.42000000001</v>
      </c>
    </row>
    <row r="143" spans="1:12">
      <c r="A143" s="12" t="s">
        <v>185</v>
      </c>
      <c r="B143" s="12">
        <v>45051</v>
      </c>
      <c r="C143" s="12">
        <v>3992.84</v>
      </c>
      <c r="D143" s="12">
        <v>2136.1999999999998</v>
      </c>
      <c r="E143" s="12">
        <v>14718.47</v>
      </c>
      <c r="F143" s="12">
        <v>155.88</v>
      </c>
      <c r="G143" s="12">
        <v>697.64</v>
      </c>
      <c r="H143" s="12">
        <v>744767.97</v>
      </c>
      <c r="I143" s="12">
        <v>59238.28</v>
      </c>
      <c r="J143" s="12">
        <v>141066.85999999999</v>
      </c>
      <c r="K143" s="12">
        <v>278733.51</v>
      </c>
      <c r="L143" s="12">
        <v>156467.12</v>
      </c>
    </row>
    <row r="144" spans="1:12">
      <c r="A144" s="12" t="s">
        <v>186</v>
      </c>
      <c r="B144" s="12">
        <v>45794</v>
      </c>
      <c r="C144" s="12">
        <v>5549.54</v>
      </c>
      <c r="D144" s="12">
        <v>2149.62</v>
      </c>
      <c r="E144" s="12">
        <v>14739.56</v>
      </c>
      <c r="F144" s="12">
        <v>155.24</v>
      </c>
      <c r="G144" s="12">
        <v>390.91</v>
      </c>
      <c r="H144" s="12">
        <v>742596.44</v>
      </c>
      <c r="I144" s="12">
        <v>59705.59</v>
      </c>
      <c r="J144" s="12">
        <v>144130.51999999999</v>
      </c>
      <c r="K144" s="12">
        <v>278761.71999999997</v>
      </c>
      <c r="L144" s="12">
        <v>150914.9</v>
      </c>
    </row>
    <row r="145" spans="1:12">
      <c r="A145" s="12" t="s">
        <v>187</v>
      </c>
      <c r="B145" s="12">
        <v>45412</v>
      </c>
      <c r="C145" s="12">
        <v>4421.34</v>
      </c>
      <c r="D145" s="12">
        <v>1945.36</v>
      </c>
      <c r="E145" s="12">
        <v>14799.03</v>
      </c>
      <c r="F145" s="12">
        <v>154.5</v>
      </c>
      <c r="G145" s="12">
        <v>4542.42</v>
      </c>
      <c r="H145" s="12">
        <v>741925.82</v>
      </c>
      <c r="I145" s="12">
        <v>59259.93</v>
      </c>
      <c r="J145" s="12">
        <v>144853.24</v>
      </c>
      <c r="K145" s="12">
        <v>278575.46999999997</v>
      </c>
      <c r="L145" s="12">
        <v>149948.57999999999</v>
      </c>
    </row>
    <row r="146" spans="1:12">
      <c r="A146" s="12" t="s">
        <v>188</v>
      </c>
      <c r="B146" s="12">
        <v>43132</v>
      </c>
      <c r="C146" s="12">
        <v>3958</v>
      </c>
      <c r="D146" s="12">
        <v>1954.14</v>
      </c>
      <c r="E146" s="12">
        <v>14696.72</v>
      </c>
      <c r="F146" s="12">
        <v>153.19</v>
      </c>
      <c r="G146" s="12">
        <v>4686.84</v>
      </c>
      <c r="H146" s="12">
        <v>750772.24</v>
      </c>
      <c r="I146" s="12">
        <v>59063.839999999997</v>
      </c>
      <c r="J146" s="12">
        <v>151525.73000000001</v>
      </c>
      <c r="K146" s="12">
        <v>279182.99</v>
      </c>
      <c r="L146" s="12">
        <v>146048.84</v>
      </c>
    </row>
    <row r="147" spans="1:12">
      <c r="A147" s="12" t="s">
        <v>189</v>
      </c>
      <c r="B147" s="12">
        <v>44357</v>
      </c>
      <c r="C147" s="12">
        <v>5293.76</v>
      </c>
      <c r="D147" s="12">
        <v>2075.83</v>
      </c>
      <c r="E147" s="12">
        <v>14820.84</v>
      </c>
      <c r="F147" s="12">
        <v>151.62</v>
      </c>
      <c r="G147" s="12">
        <v>4637.0200000000004</v>
      </c>
      <c r="H147" s="12">
        <v>742057.5</v>
      </c>
      <c r="I147" s="12">
        <v>60351.35</v>
      </c>
      <c r="J147" s="12">
        <v>152649.78</v>
      </c>
      <c r="K147" s="12">
        <v>280049.99</v>
      </c>
      <c r="L147" s="12">
        <v>141233.04999999999</v>
      </c>
    </row>
    <row r="148" spans="1:12">
      <c r="A148" s="12" t="s">
        <v>190</v>
      </c>
      <c r="B148" s="12">
        <v>45430</v>
      </c>
      <c r="C148" s="12">
        <v>5127.47</v>
      </c>
      <c r="D148" s="12">
        <v>2028.34</v>
      </c>
      <c r="E148" s="12">
        <v>13723.6</v>
      </c>
      <c r="F148" s="12">
        <v>154.27000000000001</v>
      </c>
      <c r="G148" s="12">
        <v>3786.58</v>
      </c>
      <c r="H148" s="12">
        <v>742470.94</v>
      </c>
      <c r="I148" s="12">
        <v>58824.23</v>
      </c>
      <c r="J148" s="12">
        <v>158537.48000000001</v>
      </c>
      <c r="K148" s="12">
        <v>280182.01</v>
      </c>
      <c r="L148" s="12">
        <v>159215.41</v>
      </c>
    </row>
    <row r="149" spans="1:12">
      <c r="A149" s="12" t="s">
        <v>191</v>
      </c>
      <c r="B149" s="12">
        <v>43959</v>
      </c>
      <c r="C149" s="12">
        <v>4419.99</v>
      </c>
      <c r="D149" s="12">
        <v>2814.58</v>
      </c>
      <c r="E149" s="12">
        <v>13752.4</v>
      </c>
      <c r="F149" s="12">
        <v>156.79</v>
      </c>
      <c r="G149" s="12">
        <v>2971.79</v>
      </c>
      <c r="H149" s="12">
        <v>747178.71</v>
      </c>
      <c r="I149" s="12">
        <v>57323.68</v>
      </c>
      <c r="J149" s="12">
        <v>162012.54999999999</v>
      </c>
      <c r="K149" s="12">
        <v>280292.51</v>
      </c>
      <c r="L149" s="12">
        <v>160352.91</v>
      </c>
    </row>
    <row r="150" spans="1:12">
      <c r="A150" s="12" t="s">
        <v>192</v>
      </c>
      <c r="B150" s="12">
        <v>42985</v>
      </c>
      <c r="C150" s="12">
        <v>4430.16</v>
      </c>
      <c r="D150" s="12">
        <v>3226.86</v>
      </c>
      <c r="E150" s="12">
        <v>14002.63</v>
      </c>
      <c r="F150" s="12">
        <v>155.49</v>
      </c>
      <c r="G150" s="12">
        <v>2568.3000000000002</v>
      </c>
      <c r="H150" s="12">
        <v>757719.63</v>
      </c>
      <c r="I150" s="12">
        <v>59547.31</v>
      </c>
      <c r="J150" s="12">
        <v>164439.46</v>
      </c>
      <c r="K150" s="12">
        <v>277898.63</v>
      </c>
      <c r="L150" s="12">
        <v>170570.91</v>
      </c>
    </row>
    <row r="151" spans="1:12">
      <c r="A151" s="12" t="s">
        <v>193</v>
      </c>
      <c r="B151" s="12">
        <v>42272</v>
      </c>
      <c r="C151" s="12">
        <v>5489.74</v>
      </c>
      <c r="D151" s="12">
        <v>3153.49</v>
      </c>
      <c r="E151" s="12">
        <v>14047.72</v>
      </c>
      <c r="F151" s="12">
        <v>149.56</v>
      </c>
      <c r="G151" s="12">
        <v>3274.24</v>
      </c>
      <c r="H151" s="12">
        <v>733771.88</v>
      </c>
      <c r="I151" s="12">
        <v>58092.93</v>
      </c>
      <c r="J151" s="12">
        <v>151162.39000000001</v>
      </c>
      <c r="K151" s="12">
        <v>273317.06</v>
      </c>
      <c r="L151" s="12">
        <v>158677.41</v>
      </c>
    </row>
    <row r="152" spans="1:12">
      <c r="A152" s="12" t="s">
        <v>194</v>
      </c>
      <c r="B152" s="12">
        <v>41382</v>
      </c>
      <c r="C152" s="12">
        <v>5220.6400000000003</v>
      </c>
      <c r="D152" s="12">
        <v>3351.55</v>
      </c>
      <c r="E152" s="12">
        <v>14659.82</v>
      </c>
      <c r="F152" s="12">
        <v>145.58000000000001</v>
      </c>
      <c r="G152" s="12">
        <v>3065.27</v>
      </c>
      <c r="H152" s="12">
        <v>757801.83</v>
      </c>
      <c r="I152" s="12">
        <v>57117.36</v>
      </c>
      <c r="J152" s="12">
        <v>147309.63</v>
      </c>
      <c r="K152" s="12">
        <v>271441.17</v>
      </c>
      <c r="L152" s="12">
        <v>135749.5</v>
      </c>
    </row>
    <row r="153" spans="1:12">
      <c r="A153" s="12" t="s">
        <v>195</v>
      </c>
      <c r="B153" s="12">
        <v>41804</v>
      </c>
      <c r="C153" s="12">
        <v>5333.16</v>
      </c>
      <c r="D153" s="12">
        <v>3768.87</v>
      </c>
      <c r="E153" s="12">
        <v>14432.11</v>
      </c>
      <c r="F153" s="12">
        <v>144.88</v>
      </c>
      <c r="G153" s="12">
        <v>4622.32</v>
      </c>
      <c r="H153" s="12">
        <v>745030.84</v>
      </c>
      <c r="I153" s="12">
        <v>58456.25</v>
      </c>
      <c r="J153" s="12">
        <v>149486.42000000001</v>
      </c>
      <c r="K153" s="12">
        <v>271331.74</v>
      </c>
      <c r="L153" s="12">
        <v>137174.12</v>
      </c>
    </row>
    <row r="154" spans="1:12">
      <c r="A154" s="12" t="s">
        <v>196</v>
      </c>
      <c r="B154" s="12">
        <v>42564.34</v>
      </c>
      <c r="C154" s="12">
        <v>4083.5</v>
      </c>
      <c r="D154" s="12">
        <v>3551.13</v>
      </c>
      <c r="E154" s="12">
        <v>14546.88</v>
      </c>
      <c r="F154" s="12">
        <v>154.76</v>
      </c>
      <c r="G154" s="12">
        <v>2385.86</v>
      </c>
      <c r="H154" s="12">
        <v>746774.44</v>
      </c>
      <c r="I154" s="12">
        <v>57890.61</v>
      </c>
      <c r="J154" s="12">
        <v>144669.46</v>
      </c>
      <c r="K154" s="12">
        <v>271212.11</v>
      </c>
      <c r="L154" s="12">
        <v>135141.71</v>
      </c>
    </row>
    <row r="155" spans="1:12">
      <c r="A155" s="12" t="s">
        <v>197</v>
      </c>
      <c r="B155" s="12">
        <v>43170.239999999998</v>
      </c>
      <c r="C155" s="12">
        <v>4572.8</v>
      </c>
      <c r="D155" s="12">
        <v>3121.88</v>
      </c>
      <c r="E155" s="12">
        <v>14117.39</v>
      </c>
      <c r="F155" s="12">
        <v>160.6</v>
      </c>
      <c r="G155" s="12">
        <v>1961.06</v>
      </c>
      <c r="H155" s="12">
        <v>763671.25</v>
      </c>
      <c r="I155" s="12">
        <v>56113.42</v>
      </c>
      <c r="J155" s="12">
        <v>146939.14000000001</v>
      </c>
      <c r="K155" s="12">
        <v>269007.27</v>
      </c>
      <c r="L155" s="12">
        <v>139028.03</v>
      </c>
    </row>
    <row r="156" spans="1:12">
      <c r="A156" s="12" t="s">
        <v>198</v>
      </c>
      <c r="B156" s="12">
        <v>44408.49</v>
      </c>
      <c r="C156" s="12">
        <v>5335.68</v>
      </c>
      <c r="D156" s="12">
        <v>3230.44</v>
      </c>
      <c r="E156" s="12">
        <v>14111.28</v>
      </c>
      <c r="F156" s="12">
        <v>151.85</v>
      </c>
      <c r="G156" s="12">
        <v>424.66</v>
      </c>
      <c r="H156" s="12">
        <v>766148.98</v>
      </c>
      <c r="I156" s="12">
        <v>56836.58</v>
      </c>
      <c r="J156" s="12">
        <v>150271.56</v>
      </c>
      <c r="K156" s="12">
        <v>268774.62</v>
      </c>
      <c r="L156" s="12">
        <v>141566.78</v>
      </c>
    </row>
    <row r="157" spans="1:12">
      <c r="A157" s="12" t="s">
        <v>199</v>
      </c>
      <c r="B157" s="12">
        <v>47272.56</v>
      </c>
      <c r="C157" s="12">
        <v>5040.5</v>
      </c>
      <c r="D157" s="12">
        <v>3115.36</v>
      </c>
      <c r="E157" s="12">
        <v>14546.81</v>
      </c>
      <c r="F157" s="12">
        <v>148.44999999999999</v>
      </c>
      <c r="G157" s="12">
        <v>460.32</v>
      </c>
      <c r="H157" s="12">
        <v>769333.52</v>
      </c>
      <c r="I157" s="12">
        <v>58006.65</v>
      </c>
      <c r="J157" s="12">
        <v>3122.36</v>
      </c>
      <c r="K157" s="12">
        <v>268928.71999999997</v>
      </c>
      <c r="L157" s="12">
        <v>118696.74</v>
      </c>
    </row>
    <row r="158" spans="1:12">
      <c r="A158" s="12" t="s">
        <v>200</v>
      </c>
      <c r="B158" s="12">
        <v>43457.62</v>
      </c>
      <c r="C158" s="12">
        <v>5280.2</v>
      </c>
      <c r="D158" s="12">
        <v>3645.95</v>
      </c>
      <c r="E158" s="12">
        <v>14541.93</v>
      </c>
      <c r="F158" s="12">
        <v>137.12</v>
      </c>
      <c r="G158" s="12">
        <v>396.77</v>
      </c>
      <c r="H158" s="12">
        <v>765998.18</v>
      </c>
      <c r="I158" s="12">
        <v>57405.91</v>
      </c>
      <c r="J158" s="12">
        <v>3120.58</v>
      </c>
      <c r="K158" s="12">
        <v>268904.26</v>
      </c>
      <c r="L158" s="12">
        <v>106639.77</v>
      </c>
    </row>
    <row r="159" spans="1:12">
      <c r="A159" s="12" t="s">
        <v>201</v>
      </c>
      <c r="B159" s="12">
        <v>43456.39</v>
      </c>
      <c r="C159" s="12">
        <v>5512.49</v>
      </c>
      <c r="D159" s="12">
        <v>3012.37</v>
      </c>
      <c r="E159" s="12">
        <v>14750.93</v>
      </c>
      <c r="F159" s="12">
        <v>136.82</v>
      </c>
      <c r="G159" s="12">
        <v>439.56</v>
      </c>
      <c r="H159" s="12">
        <v>752792.51</v>
      </c>
      <c r="I159" s="12">
        <v>58931.46</v>
      </c>
      <c r="J159" s="12">
        <v>3107.35</v>
      </c>
      <c r="K159" s="12">
        <v>269035.45</v>
      </c>
      <c r="L159" s="12">
        <v>105219.4</v>
      </c>
    </row>
    <row r="160" spans="1:12">
      <c r="A160" s="12" t="s">
        <v>202</v>
      </c>
      <c r="B160" s="12">
        <v>43055.97</v>
      </c>
      <c r="C160" s="12">
        <v>4908.79</v>
      </c>
      <c r="D160" s="12">
        <v>3125.75</v>
      </c>
      <c r="E160" s="12">
        <v>14240.8</v>
      </c>
      <c r="F160" s="12">
        <v>147.66999999999999</v>
      </c>
      <c r="G160" s="12">
        <v>274.39999999999998</v>
      </c>
      <c r="H160" s="12">
        <v>751971.77</v>
      </c>
      <c r="I160" s="12">
        <v>61134.47</v>
      </c>
      <c r="J160" s="12">
        <v>3019.05</v>
      </c>
      <c r="K160" s="12">
        <v>268034.36</v>
      </c>
      <c r="L160" s="12">
        <v>92500.65</v>
      </c>
    </row>
    <row r="161" spans="1:12">
      <c r="A161" s="12" t="s">
        <v>203</v>
      </c>
      <c r="B161" s="12">
        <v>41812.61</v>
      </c>
      <c r="C161" s="12">
        <v>4983.8500000000004</v>
      </c>
      <c r="D161" s="12">
        <v>3914.16</v>
      </c>
      <c r="E161" s="12">
        <v>14161.85</v>
      </c>
      <c r="F161" s="12">
        <v>138.49</v>
      </c>
      <c r="G161" s="12">
        <v>267.20999999999998</v>
      </c>
      <c r="H161" s="12">
        <v>767834.68</v>
      </c>
      <c r="I161" s="12">
        <v>60165.7</v>
      </c>
      <c r="J161" s="12">
        <v>2951.41</v>
      </c>
      <c r="K161" s="12">
        <v>267738.65000000002</v>
      </c>
      <c r="L161" s="12">
        <v>86634.34</v>
      </c>
    </row>
    <row r="162" spans="1:12">
      <c r="A162" s="12" t="s">
        <v>204</v>
      </c>
      <c r="B162" s="12">
        <v>40026.379999999997</v>
      </c>
      <c r="C162" s="12">
        <v>5097.76</v>
      </c>
      <c r="D162" s="12">
        <v>4652.88</v>
      </c>
      <c r="E162" s="12">
        <v>14196.77</v>
      </c>
      <c r="F162" s="12">
        <v>134.31</v>
      </c>
      <c r="G162" s="12">
        <v>311.92</v>
      </c>
      <c r="H162" s="12">
        <v>769840.77</v>
      </c>
      <c r="I162" s="12">
        <v>63491.23</v>
      </c>
      <c r="J162" s="12">
        <v>2958.39</v>
      </c>
      <c r="K162" s="12">
        <v>263738.2</v>
      </c>
      <c r="L162" s="12">
        <v>85273.49</v>
      </c>
    </row>
    <row r="163" spans="1:12">
      <c r="A163" s="12" t="s">
        <v>205</v>
      </c>
      <c r="B163" s="12">
        <v>37060.870000000003</v>
      </c>
      <c r="C163" s="12">
        <v>4874.6400000000003</v>
      </c>
      <c r="D163" s="12">
        <v>4575.1400000000003</v>
      </c>
      <c r="E163" s="12">
        <v>13266.99</v>
      </c>
      <c r="F163" s="12">
        <v>129.97</v>
      </c>
      <c r="G163" s="12">
        <v>257.72000000000003</v>
      </c>
      <c r="H163" s="12">
        <v>739991.38</v>
      </c>
      <c r="I163" s="12">
        <v>62579.19</v>
      </c>
      <c r="J163" s="12">
        <v>5124.53</v>
      </c>
      <c r="K163" s="12">
        <v>259961.44</v>
      </c>
      <c r="L163" s="12">
        <v>82010.92</v>
      </c>
    </row>
    <row r="164" spans="1:12">
      <c r="A164" s="12" t="s">
        <v>206</v>
      </c>
      <c r="B164" s="12">
        <v>38560.379999999997</v>
      </c>
      <c r="C164" s="12">
        <v>4880.1000000000004</v>
      </c>
      <c r="D164" s="12">
        <v>5554.66</v>
      </c>
      <c r="E164" s="12">
        <v>13355.72</v>
      </c>
      <c r="F164" s="12">
        <v>127.6</v>
      </c>
      <c r="G164" s="12">
        <v>281.89</v>
      </c>
      <c r="H164" s="12">
        <v>738686.72</v>
      </c>
      <c r="I164" s="12">
        <v>61726.64</v>
      </c>
      <c r="J164" s="12">
        <v>5096.49</v>
      </c>
      <c r="K164" s="12">
        <v>258756.4</v>
      </c>
      <c r="L164" s="12">
        <v>80974.460000000006</v>
      </c>
    </row>
    <row r="165" spans="1:12">
      <c r="A165" s="12" t="s">
        <v>207</v>
      </c>
      <c r="B165" s="12">
        <v>42278.9</v>
      </c>
      <c r="C165" s="12">
        <v>5202.5200000000004</v>
      </c>
      <c r="D165" s="12">
        <v>6352.37</v>
      </c>
      <c r="E165" s="12">
        <v>13333.59</v>
      </c>
      <c r="F165" s="12">
        <v>124.48</v>
      </c>
      <c r="G165" s="12">
        <v>277.67</v>
      </c>
      <c r="H165" s="12">
        <v>725801.87</v>
      </c>
      <c r="I165" s="12">
        <v>60369.95</v>
      </c>
      <c r="J165" s="12">
        <v>2898.92</v>
      </c>
      <c r="K165" s="12">
        <v>258308.35</v>
      </c>
      <c r="L165" s="12">
        <v>88837.19</v>
      </c>
    </row>
    <row r="166" spans="1:12">
      <c r="A166" s="12" t="s">
        <v>208</v>
      </c>
      <c r="B166" s="12">
        <v>39289.89</v>
      </c>
      <c r="C166" s="12">
        <v>4884.03</v>
      </c>
      <c r="D166" s="12">
        <v>5795.52</v>
      </c>
      <c r="E166" s="12">
        <v>13306.86</v>
      </c>
      <c r="F166" s="12">
        <v>122.92</v>
      </c>
      <c r="G166" s="12">
        <v>262.31</v>
      </c>
      <c r="H166" s="12">
        <v>712022.3</v>
      </c>
      <c r="I166" s="12">
        <v>61327.54</v>
      </c>
      <c r="J166" s="12">
        <v>2728.69</v>
      </c>
      <c r="K166" s="12">
        <v>258161.83</v>
      </c>
      <c r="L166" s="12">
        <v>84595.53</v>
      </c>
    </row>
    <row r="167" spans="1:12">
      <c r="A167" s="12" t="s">
        <v>209</v>
      </c>
      <c r="B167" s="12">
        <v>39218</v>
      </c>
      <c r="C167" s="12">
        <v>4617.43</v>
      </c>
      <c r="D167" s="12">
        <v>5755.53</v>
      </c>
      <c r="E167" s="12">
        <v>12188.33</v>
      </c>
      <c r="F167" s="12">
        <v>30.66</v>
      </c>
      <c r="G167" s="12">
        <v>235.76</v>
      </c>
      <c r="H167" s="12">
        <v>714358.87</v>
      </c>
      <c r="I167" s="12">
        <v>62811.8</v>
      </c>
      <c r="J167" s="12">
        <v>2727.7</v>
      </c>
      <c r="K167" s="12">
        <v>256223.59</v>
      </c>
      <c r="L167" s="12">
        <v>86213.71</v>
      </c>
    </row>
    <row r="168" spans="1:12">
      <c r="A168" s="12" t="s">
        <v>210</v>
      </c>
      <c r="B168" s="12">
        <v>41339</v>
      </c>
      <c r="C168" s="12">
        <v>5073.07</v>
      </c>
      <c r="D168" s="12">
        <v>5650.91</v>
      </c>
      <c r="E168" s="12">
        <v>12161.89</v>
      </c>
      <c r="F168" s="12">
        <v>118.98</v>
      </c>
      <c r="G168" s="12">
        <v>368.27</v>
      </c>
      <c r="H168" s="12">
        <v>720702.46</v>
      </c>
      <c r="I168" s="12">
        <v>62596.14</v>
      </c>
      <c r="J168" s="12">
        <v>2748.61</v>
      </c>
      <c r="K168" s="12">
        <v>254573.67</v>
      </c>
      <c r="L168" s="12">
        <v>90999.29</v>
      </c>
    </row>
    <row r="169" spans="1:12">
      <c r="A169" s="12" t="s">
        <v>211</v>
      </c>
      <c r="B169" s="12">
        <v>39860</v>
      </c>
      <c r="C169" s="12">
        <v>5052.7299999999996</v>
      </c>
      <c r="D169" s="12">
        <v>6486.53</v>
      </c>
      <c r="E169" s="12">
        <v>12163.37</v>
      </c>
      <c r="F169" s="12">
        <v>118.47</v>
      </c>
      <c r="G169" s="12">
        <v>364.1</v>
      </c>
      <c r="H169" s="12">
        <v>713126.98</v>
      </c>
      <c r="I169" s="12">
        <v>62514.29</v>
      </c>
      <c r="J169" s="12">
        <v>2587.9699999999998</v>
      </c>
      <c r="K169" s="12">
        <v>254446.13</v>
      </c>
      <c r="L169" s="12">
        <v>88225.98</v>
      </c>
    </row>
    <row r="170" spans="1:12">
      <c r="A170" s="12" t="s">
        <v>212</v>
      </c>
      <c r="B170" s="12">
        <v>38599</v>
      </c>
      <c r="C170" s="12">
        <v>4797.88</v>
      </c>
      <c r="D170" s="12">
        <v>6541.49</v>
      </c>
      <c r="E170" s="12">
        <v>12174.81</v>
      </c>
      <c r="F170" s="12">
        <v>116.85</v>
      </c>
      <c r="G170" s="12">
        <v>316.19</v>
      </c>
      <c r="H170" s="12">
        <v>710776.61</v>
      </c>
      <c r="I170" s="12">
        <v>62460.21</v>
      </c>
      <c r="J170" s="12">
        <v>2523.6999999999998</v>
      </c>
      <c r="K170" s="12">
        <v>253570.31</v>
      </c>
      <c r="L170" s="12">
        <v>88083.86</v>
      </c>
    </row>
    <row r="171" spans="1:12">
      <c r="A171" s="12" t="s">
        <v>213</v>
      </c>
      <c r="B171" s="12">
        <v>38050.620000000003</v>
      </c>
      <c r="C171" s="12">
        <v>4894.6899999999996</v>
      </c>
      <c r="D171" s="12">
        <v>5912.8</v>
      </c>
      <c r="E171" s="12">
        <v>12948.4</v>
      </c>
      <c r="F171" s="12">
        <v>115.01</v>
      </c>
      <c r="G171" s="12">
        <v>395.7</v>
      </c>
      <c r="H171" s="12">
        <v>691908.57</v>
      </c>
      <c r="I171" s="12">
        <v>62018.57</v>
      </c>
      <c r="J171" s="12">
        <v>2405.71</v>
      </c>
      <c r="K171" s="12">
        <v>252722.71</v>
      </c>
      <c r="L171" s="12">
        <v>89397.67</v>
      </c>
    </row>
    <row r="172" spans="1:12">
      <c r="A172" s="12" t="s">
        <v>214</v>
      </c>
      <c r="B172" s="12">
        <v>39022.6</v>
      </c>
      <c r="C172" s="12">
        <v>4925.6000000000004</v>
      </c>
      <c r="D172" s="12">
        <v>6695.89</v>
      </c>
      <c r="E172" s="12">
        <v>12829.94</v>
      </c>
      <c r="F172" s="12">
        <v>112.95</v>
      </c>
      <c r="G172" s="12">
        <v>276.43</v>
      </c>
      <c r="H172" s="12">
        <v>684342.35</v>
      </c>
      <c r="I172" s="12">
        <v>60422.17</v>
      </c>
      <c r="J172" s="12">
        <v>2341.89</v>
      </c>
      <c r="K172" s="12">
        <v>250824.34</v>
      </c>
      <c r="L172" s="12">
        <v>98069.39</v>
      </c>
    </row>
    <row r="173" spans="1:12">
      <c r="A173" s="12" t="s">
        <v>215</v>
      </c>
      <c r="B173" s="12">
        <v>39616.589999999997</v>
      </c>
      <c r="C173" s="12">
        <v>4922.3999999999996</v>
      </c>
      <c r="D173" s="12">
        <v>6741.27</v>
      </c>
      <c r="E173" s="12">
        <v>12811.22</v>
      </c>
      <c r="F173" s="12">
        <v>112.24</v>
      </c>
      <c r="G173" s="12">
        <v>374.79</v>
      </c>
      <c r="H173" s="12">
        <v>687796.8</v>
      </c>
      <c r="I173" s="12">
        <v>61140.959999999999</v>
      </c>
      <c r="J173" s="12">
        <v>2336.2199999999998</v>
      </c>
      <c r="K173" s="12">
        <v>249241.12</v>
      </c>
      <c r="L173" s="12">
        <v>107207.8</v>
      </c>
    </row>
    <row r="174" spans="1:12">
      <c r="A174" s="12" t="s">
        <v>216</v>
      </c>
      <c r="B174" s="12">
        <v>34526.339999999997</v>
      </c>
      <c r="C174" s="12">
        <v>5125.76</v>
      </c>
      <c r="D174" s="12">
        <v>8219.5</v>
      </c>
      <c r="E174" s="12">
        <v>12950.03</v>
      </c>
      <c r="F174" s="12">
        <v>116.84</v>
      </c>
      <c r="G174" s="12">
        <v>426.41</v>
      </c>
      <c r="H174" s="12">
        <v>692595.7</v>
      </c>
      <c r="I174" s="12">
        <v>59274.95</v>
      </c>
      <c r="J174" s="12">
        <v>2508.88</v>
      </c>
      <c r="K174" s="12">
        <v>243757.65</v>
      </c>
      <c r="L174" s="12">
        <v>116274.64</v>
      </c>
    </row>
    <row r="175" spans="1:12">
      <c r="A175" s="12" t="s">
        <v>217</v>
      </c>
      <c r="B175" s="12">
        <v>36020</v>
      </c>
      <c r="C175" s="12">
        <v>3939.69</v>
      </c>
      <c r="D175" s="12">
        <v>7510.26</v>
      </c>
      <c r="E175" s="12">
        <v>10190.11</v>
      </c>
      <c r="F175" s="12">
        <v>119.38</v>
      </c>
      <c r="G175" s="12">
        <v>2057.36</v>
      </c>
      <c r="H175" s="12">
        <v>666542.06000000006</v>
      </c>
      <c r="I175" s="12">
        <v>60138.7</v>
      </c>
      <c r="J175" s="12">
        <v>2563.02</v>
      </c>
      <c r="K175" s="12">
        <v>237594</v>
      </c>
      <c r="L175" s="12">
        <v>118182.88</v>
      </c>
    </row>
    <row r="176" spans="1:12">
      <c r="A176" s="12" t="s">
        <v>218</v>
      </c>
      <c r="B176" s="12">
        <v>36250</v>
      </c>
      <c r="C176" s="12">
        <v>4024.03</v>
      </c>
      <c r="D176" s="12">
        <v>7294.81</v>
      </c>
      <c r="E176" s="12">
        <v>10208.32</v>
      </c>
      <c r="F176" s="12">
        <v>117.43</v>
      </c>
      <c r="G176" s="12">
        <v>1812.53</v>
      </c>
      <c r="H176" s="12">
        <v>662416.31000000006</v>
      </c>
      <c r="I176" s="12">
        <v>57159.72</v>
      </c>
      <c r="J176" s="12">
        <v>2591.0100000000002</v>
      </c>
      <c r="K176" s="12">
        <v>236164.18</v>
      </c>
      <c r="L176" s="12">
        <v>123707.79</v>
      </c>
    </row>
    <row r="177" spans="1:12">
      <c r="A177" s="12" t="s">
        <v>219</v>
      </c>
      <c r="B177" s="12">
        <v>37964</v>
      </c>
      <c r="C177" s="12">
        <v>3944.27</v>
      </c>
      <c r="D177" s="12">
        <v>7812.96</v>
      </c>
      <c r="E177" s="12">
        <v>10164.040000000001</v>
      </c>
      <c r="F177" s="12">
        <v>141.19</v>
      </c>
      <c r="G177" s="12">
        <v>2282.23</v>
      </c>
      <c r="H177" s="12">
        <v>645897.89</v>
      </c>
      <c r="I177" s="12">
        <v>53772.24</v>
      </c>
      <c r="J177" s="12">
        <v>2631.83</v>
      </c>
      <c r="K177" s="12">
        <v>234895.63</v>
      </c>
      <c r="L177" s="12">
        <v>132648.26999999999</v>
      </c>
    </row>
    <row r="178" spans="1:12">
      <c r="A178" s="12" t="s">
        <v>220</v>
      </c>
      <c r="B178" s="12">
        <v>38470</v>
      </c>
      <c r="C178" s="12">
        <v>3551.08</v>
      </c>
      <c r="D178" s="12">
        <v>9740.65</v>
      </c>
      <c r="E178" s="12">
        <v>10162.709999999999</v>
      </c>
      <c r="F178" s="12">
        <v>106.65</v>
      </c>
      <c r="G178" s="12">
        <v>1843.64</v>
      </c>
      <c r="H178" s="12">
        <v>620833.39</v>
      </c>
      <c r="I178" s="12">
        <v>51991.65</v>
      </c>
      <c r="J178" s="12">
        <v>2659.1</v>
      </c>
      <c r="K178" s="12">
        <v>234763.69</v>
      </c>
      <c r="L178" s="12">
        <v>136312.84</v>
      </c>
    </row>
    <row r="179" spans="1:12">
      <c r="A179" s="12" t="s">
        <v>221</v>
      </c>
      <c r="B179" s="12">
        <v>38993</v>
      </c>
      <c r="C179" s="12">
        <v>4791.91</v>
      </c>
      <c r="D179" s="12">
        <v>8936.76</v>
      </c>
      <c r="E179" s="12">
        <v>10344.99</v>
      </c>
      <c r="F179" s="12">
        <v>103.17</v>
      </c>
      <c r="G179" s="12">
        <v>1727.97</v>
      </c>
      <c r="H179" s="12">
        <v>639624.31000000006</v>
      </c>
      <c r="I179" s="12">
        <v>50677.98</v>
      </c>
      <c r="J179" s="12">
        <v>2629.94</v>
      </c>
      <c r="K179" s="12">
        <v>232839.71</v>
      </c>
      <c r="L179" s="12">
        <v>130524.14</v>
      </c>
    </row>
    <row r="180" spans="1:12">
      <c r="A180" s="12" t="s">
        <v>222</v>
      </c>
      <c r="B180" s="12">
        <v>40074</v>
      </c>
      <c r="C180" s="12">
        <v>4399.17</v>
      </c>
      <c r="D180" s="12">
        <v>9223.02</v>
      </c>
      <c r="E180" s="12">
        <v>8811.09</v>
      </c>
      <c r="F180" s="12">
        <v>93.11</v>
      </c>
      <c r="G180" s="12">
        <v>1637.24</v>
      </c>
      <c r="H180" s="12">
        <v>654009.14</v>
      </c>
      <c r="I180" s="12">
        <v>50414.46</v>
      </c>
      <c r="J180" s="12">
        <v>2644</v>
      </c>
      <c r="K180" s="12">
        <v>232580.66</v>
      </c>
      <c r="L180" s="12">
        <v>118141.6</v>
      </c>
    </row>
    <row r="181" spans="1:12">
      <c r="A181" s="12" t="s">
        <v>223</v>
      </c>
      <c r="B181" s="12">
        <v>39508</v>
      </c>
      <c r="C181" s="12">
        <v>4785.83</v>
      </c>
      <c r="D181" s="12">
        <v>9164.9500000000007</v>
      </c>
      <c r="E181" s="12">
        <v>6248.61</v>
      </c>
      <c r="F181" s="12">
        <v>93.26</v>
      </c>
      <c r="G181" s="12">
        <v>2041.71</v>
      </c>
      <c r="H181" s="12">
        <v>655934.35</v>
      </c>
      <c r="I181" s="12">
        <v>52471.67</v>
      </c>
      <c r="J181" s="12">
        <v>2708.61</v>
      </c>
      <c r="K181" s="12">
        <v>232612.72</v>
      </c>
      <c r="L181" s="12">
        <v>124821.72</v>
      </c>
    </row>
    <row r="182" spans="1:12">
      <c r="A182" s="12" t="s">
        <v>224</v>
      </c>
      <c r="B182" s="12">
        <v>38932</v>
      </c>
      <c r="C182" s="12">
        <v>3255.47</v>
      </c>
      <c r="D182" s="12">
        <v>8258.81</v>
      </c>
      <c r="E182" s="12">
        <v>5395.66</v>
      </c>
      <c r="F182" s="12">
        <v>91.81</v>
      </c>
      <c r="G182" s="12">
        <v>2664.79</v>
      </c>
      <c r="H182" s="12">
        <v>651282.35</v>
      </c>
      <c r="I182" s="12">
        <v>51409.03</v>
      </c>
      <c r="J182" s="12">
        <v>2715.14</v>
      </c>
      <c r="K182" s="12">
        <v>233126.66</v>
      </c>
      <c r="L182" s="12">
        <v>119998.81</v>
      </c>
    </row>
    <row r="183" spans="1:12">
      <c r="A183" s="12" t="s">
        <v>225</v>
      </c>
      <c r="B183" s="12">
        <v>40401</v>
      </c>
      <c r="C183" s="12">
        <v>3685.25</v>
      </c>
      <c r="D183" s="12">
        <v>9376.39</v>
      </c>
      <c r="E183" s="12">
        <v>3501.94</v>
      </c>
      <c r="F183" s="12">
        <v>91.59</v>
      </c>
      <c r="G183" s="12">
        <v>2988.36</v>
      </c>
      <c r="H183" s="12">
        <v>636326.06999999995</v>
      </c>
      <c r="I183" s="12">
        <v>51414.61</v>
      </c>
      <c r="J183" s="12">
        <v>2709.58</v>
      </c>
      <c r="K183" s="12">
        <v>233032.39</v>
      </c>
      <c r="L183" s="12">
        <v>113545.49</v>
      </c>
    </row>
    <row r="184" spans="1:12">
      <c r="A184" s="12" t="s">
        <v>226</v>
      </c>
      <c r="B184" s="12">
        <v>40848</v>
      </c>
      <c r="C184" s="12">
        <v>3411.82</v>
      </c>
      <c r="D184" s="12">
        <v>9336.31</v>
      </c>
      <c r="E184" s="12">
        <v>3262.07</v>
      </c>
      <c r="F184" s="12">
        <v>91.9</v>
      </c>
      <c r="G184" s="12">
        <v>2452.09</v>
      </c>
      <c r="H184" s="12">
        <v>625920.79</v>
      </c>
      <c r="I184" s="12">
        <v>50804.6</v>
      </c>
      <c r="J184" s="12">
        <v>2938.17</v>
      </c>
      <c r="K184" s="12">
        <v>231914.07</v>
      </c>
      <c r="L184" s="12">
        <v>114031.24</v>
      </c>
    </row>
    <row r="185" spans="1:12">
      <c r="A185" s="12" t="s">
        <v>227</v>
      </c>
      <c r="B185" s="12">
        <v>38770</v>
      </c>
      <c r="C185" s="12">
        <v>3632.95</v>
      </c>
      <c r="D185" s="12">
        <v>8019.39</v>
      </c>
      <c r="E185" s="12">
        <v>3106.33</v>
      </c>
      <c r="F185" s="12">
        <v>90.59</v>
      </c>
      <c r="G185" s="12">
        <v>1900.29</v>
      </c>
      <c r="H185" s="12">
        <v>635424.98</v>
      </c>
      <c r="I185" s="12">
        <v>48318.98</v>
      </c>
      <c r="J185" s="12">
        <v>2748.39</v>
      </c>
      <c r="K185" s="12">
        <v>231083.03</v>
      </c>
      <c r="L185" s="12">
        <v>110869.46</v>
      </c>
    </row>
    <row r="186" spans="1:12">
      <c r="A186" s="12" t="s">
        <v>228</v>
      </c>
      <c r="B186" s="12">
        <v>37360</v>
      </c>
      <c r="C186" s="12">
        <v>3707.41</v>
      </c>
      <c r="D186" s="12">
        <v>7257.04</v>
      </c>
      <c r="E186" s="12">
        <v>3039.98</v>
      </c>
      <c r="F186" s="12">
        <v>89.42</v>
      </c>
      <c r="G186" s="12">
        <v>2620.17</v>
      </c>
      <c r="H186" s="12">
        <v>647499.5</v>
      </c>
      <c r="I186" s="12">
        <v>48279.02</v>
      </c>
      <c r="J186" s="12">
        <v>2752.37</v>
      </c>
      <c r="K186" s="12">
        <v>227821.35</v>
      </c>
      <c r="L186" s="12">
        <v>105342.17</v>
      </c>
    </row>
    <row r="187" spans="1:12">
      <c r="A187" s="12" t="s">
        <v>229</v>
      </c>
      <c r="B187" s="12">
        <v>38906</v>
      </c>
      <c r="C187" s="12">
        <v>4090.67</v>
      </c>
      <c r="D187" s="12">
        <v>8024.37</v>
      </c>
      <c r="E187" s="12">
        <v>2409</v>
      </c>
      <c r="F187" s="12">
        <v>619.49</v>
      </c>
      <c r="G187" s="12">
        <v>2893.06</v>
      </c>
      <c r="H187" s="12">
        <v>609561.43000000005</v>
      </c>
      <c r="I187" s="12">
        <v>44772.11</v>
      </c>
      <c r="J187" s="12">
        <v>2737</v>
      </c>
      <c r="K187" s="12">
        <v>222252.92</v>
      </c>
      <c r="L187" s="12">
        <v>102565.9</v>
      </c>
    </row>
    <row r="188" spans="1:12">
      <c r="A188" s="12" t="s">
        <v>230</v>
      </c>
      <c r="B188" s="12">
        <v>38905</v>
      </c>
      <c r="C188" s="12">
        <v>3800.87</v>
      </c>
      <c r="D188" s="12">
        <v>7487.37</v>
      </c>
      <c r="E188" s="12">
        <v>2196.6799999999998</v>
      </c>
      <c r="F188" s="12">
        <v>618.28</v>
      </c>
      <c r="G188" s="12">
        <v>2096.1999999999998</v>
      </c>
      <c r="H188" s="12">
        <v>621323.44999999995</v>
      </c>
      <c r="I188" s="12">
        <v>43500.45</v>
      </c>
      <c r="J188" s="12">
        <v>2757.64</v>
      </c>
      <c r="K188" s="12">
        <v>220563.27</v>
      </c>
      <c r="L188" s="12">
        <v>104494.12</v>
      </c>
    </row>
    <row r="189" spans="1:12">
      <c r="A189" s="12" t="s">
        <v>231</v>
      </c>
      <c r="B189" s="12">
        <v>39642</v>
      </c>
      <c r="C189" s="12">
        <v>3795.88</v>
      </c>
      <c r="D189" s="12">
        <v>6880.5</v>
      </c>
      <c r="E189" s="12">
        <v>2078.9899999999998</v>
      </c>
      <c r="F189" s="12">
        <v>556.16</v>
      </c>
      <c r="G189" s="12">
        <v>2808.06</v>
      </c>
      <c r="H189" s="12">
        <v>618647.74</v>
      </c>
      <c r="I189" s="12">
        <v>43171.24</v>
      </c>
      <c r="J189" s="12">
        <v>2779.74</v>
      </c>
      <c r="K189" s="12">
        <v>66226.55</v>
      </c>
      <c r="L189" s="12">
        <v>100468.8</v>
      </c>
    </row>
    <row r="190" spans="1:12">
      <c r="A190" s="12" t="s">
        <v>232</v>
      </c>
      <c r="B190" s="12">
        <v>39025</v>
      </c>
      <c r="C190" s="12">
        <v>3280.78</v>
      </c>
      <c r="D190" s="12">
        <v>7294.84</v>
      </c>
      <c r="E190" s="12">
        <v>2211.2600000000002</v>
      </c>
      <c r="F190" s="12">
        <v>21.92</v>
      </c>
      <c r="G190" s="12">
        <v>2079.6999999999998</v>
      </c>
      <c r="H190" s="12">
        <v>598145.14</v>
      </c>
      <c r="I190" s="12">
        <v>41922.92</v>
      </c>
      <c r="J190" s="12">
        <v>2809.74</v>
      </c>
      <c r="K190" s="12">
        <v>66458.52</v>
      </c>
      <c r="L190" s="12">
        <v>107244.5</v>
      </c>
    </row>
    <row r="191" spans="1:12">
      <c r="A191" s="12" t="s">
        <v>233</v>
      </c>
      <c r="B191" s="12">
        <v>39038</v>
      </c>
      <c r="C191" s="12">
        <v>4597.1400000000003</v>
      </c>
      <c r="D191" s="12">
        <v>8113.89</v>
      </c>
      <c r="E191" s="12">
        <v>3100.23</v>
      </c>
      <c r="F191" s="12">
        <v>21.27</v>
      </c>
      <c r="G191" s="12">
        <v>3029.54</v>
      </c>
      <c r="H191" s="12">
        <v>619005.26</v>
      </c>
      <c r="I191" s="12">
        <v>41432.050000000003</v>
      </c>
      <c r="J191" s="12">
        <v>2930.19</v>
      </c>
      <c r="K191" s="12">
        <v>66347.490000000005</v>
      </c>
      <c r="L191" s="12">
        <v>107305.27</v>
      </c>
    </row>
    <row r="192" spans="1:12">
      <c r="A192" s="12" t="s">
        <v>234</v>
      </c>
      <c r="B192" s="12">
        <v>39876</v>
      </c>
      <c r="C192" s="12">
        <v>3973.48</v>
      </c>
      <c r="D192" s="12">
        <v>7032.82</v>
      </c>
      <c r="E192" s="12">
        <v>3124.03</v>
      </c>
      <c r="F192" s="12">
        <v>20.87</v>
      </c>
      <c r="G192" s="12">
        <v>3180.18</v>
      </c>
      <c r="H192" s="12">
        <v>628159.67000000004</v>
      </c>
      <c r="I192" s="12">
        <v>41148.69</v>
      </c>
      <c r="J192" s="12">
        <v>3080.3</v>
      </c>
      <c r="K192" s="12">
        <v>66748.399999999994</v>
      </c>
      <c r="L192" s="12">
        <v>104920.97</v>
      </c>
    </row>
    <row r="193" spans="1:12">
      <c r="A193" s="12" t="s">
        <v>235</v>
      </c>
      <c r="B193" s="12">
        <v>39326</v>
      </c>
      <c r="C193" s="12">
        <v>3784.13</v>
      </c>
      <c r="D193" s="12">
        <v>6806.8</v>
      </c>
      <c r="E193" s="12">
        <v>2810.05</v>
      </c>
      <c r="F193" s="12">
        <v>20.58</v>
      </c>
      <c r="G193" s="12">
        <v>2711.13</v>
      </c>
      <c r="H193" s="12">
        <v>621835.85</v>
      </c>
      <c r="I193" s="12">
        <v>40474.06</v>
      </c>
      <c r="J193" s="12">
        <v>3140.55</v>
      </c>
      <c r="K193" s="12">
        <v>68186.7</v>
      </c>
      <c r="L193" s="12">
        <v>107307.99</v>
      </c>
    </row>
    <row r="194" spans="1:12">
      <c r="A194" s="12" t="s">
        <v>236</v>
      </c>
      <c r="B194" s="12">
        <v>39652</v>
      </c>
      <c r="C194" s="12">
        <v>4307.88</v>
      </c>
      <c r="D194" s="12">
        <v>7134.81</v>
      </c>
      <c r="E194" s="12">
        <v>2684.95</v>
      </c>
      <c r="F194" s="12">
        <v>21.03</v>
      </c>
      <c r="G194" s="12">
        <v>2325</v>
      </c>
      <c r="H194" s="12">
        <v>622949.04</v>
      </c>
      <c r="I194" s="12">
        <v>40550.269999999997</v>
      </c>
      <c r="J194" s="12">
        <v>3090.84</v>
      </c>
      <c r="K194" s="12">
        <v>68591.520000000004</v>
      </c>
      <c r="L194" s="12">
        <v>103524.34</v>
      </c>
    </row>
    <row r="195" spans="1:12">
      <c r="A195" s="12" t="s">
        <v>237</v>
      </c>
      <c r="B195" s="12">
        <v>39701</v>
      </c>
      <c r="C195" s="12">
        <v>3061.34</v>
      </c>
      <c r="D195" s="12">
        <v>7442.29</v>
      </c>
      <c r="E195" s="12">
        <v>2952.03</v>
      </c>
      <c r="F195" s="12">
        <v>21.3</v>
      </c>
      <c r="G195" s="12">
        <v>3786.58</v>
      </c>
      <c r="H195" s="12">
        <v>610063.84</v>
      </c>
      <c r="I195" s="12">
        <v>41884.230000000003</v>
      </c>
      <c r="J195" s="12">
        <v>3066.3</v>
      </c>
      <c r="K195" s="12">
        <v>68596.38</v>
      </c>
      <c r="L195" s="12">
        <v>108584.36</v>
      </c>
    </row>
    <row r="196" spans="1:12">
      <c r="A196" s="12" t="s">
        <v>238</v>
      </c>
      <c r="B196" s="12">
        <v>39555</v>
      </c>
      <c r="C196" s="12">
        <v>4457.82</v>
      </c>
      <c r="D196" s="12">
        <v>6341.66</v>
      </c>
      <c r="E196" s="12">
        <v>3099.6</v>
      </c>
      <c r="F196" s="12">
        <v>21.12</v>
      </c>
      <c r="G196" s="12">
        <v>2637.54</v>
      </c>
      <c r="H196" s="12">
        <v>604555.16</v>
      </c>
      <c r="I196" s="12">
        <v>39718.83</v>
      </c>
      <c r="J196" s="12">
        <v>3102.01</v>
      </c>
      <c r="K196" s="12">
        <v>67886.44</v>
      </c>
      <c r="L196" s="12">
        <v>101943.18</v>
      </c>
    </row>
    <row r="197" spans="1:12">
      <c r="A197" s="12" t="s">
        <v>239</v>
      </c>
      <c r="B197" s="12">
        <v>39224</v>
      </c>
      <c r="C197" s="12">
        <v>4489.72</v>
      </c>
      <c r="D197" s="12">
        <v>7060.21</v>
      </c>
      <c r="E197" s="12">
        <v>2599.13</v>
      </c>
      <c r="F197" s="12">
        <v>20.149999999999999</v>
      </c>
      <c r="G197" s="12">
        <v>2044.3</v>
      </c>
      <c r="H197" s="12">
        <v>610114.11</v>
      </c>
      <c r="I197" s="12">
        <v>40042.050000000003</v>
      </c>
      <c r="J197" s="12">
        <v>3143.13</v>
      </c>
      <c r="K197" s="12">
        <v>68265.52</v>
      </c>
      <c r="L197" s="12">
        <v>95846.65</v>
      </c>
    </row>
    <row r="198" spans="1:12">
      <c r="A198" s="12" t="s">
        <v>240</v>
      </c>
      <c r="B198" s="12">
        <v>40836</v>
      </c>
      <c r="C198" s="12">
        <v>3929.89</v>
      </c>
      <c r="D198" s="12">
        <v>8996.0300000000007</v>
      </c>
      <c r="E198" s="12">
        <v>3430.19</v>
      </c>
      <c r="F198" s="12">
        <v>31.94</v>
      </c>
      <c r="G198" s="12">
        <v>1380.54</v>
      </c>
      <c r="H198" s="12">
        <v>629210.06000000006</v>
      </c>
      <c r="I198" s="12">
        <v>42646.97</v>
      </c>
      <c r="J198" s="12">
        <v>3165.3</v>
      </c>
      <c r="K198" s="12">
        <v>69016.009999999995</v>
      </c>
      <c r="L198" s="12">
        <v>93955.16</v>
      </c>
    </row>
    <row r="199" spans="1:12">
      <c r="A199" s="12" t="s">
        <v>241</v>
      </c>
      <c r="B199" s="12">
        <v>42350</v>
      </c>
      <c r="C199" s="12">
        <v>3347.84</v>
      </c>
      <c r="D199" s="12">
        <v>7424.28</v>
      </c>
      <c r="E199" s="12">
        <v>3398.16</v>
      </c>
      <c r="F199" s="12">
        <v>18.82</v>
      </c>
      <c r="G199" s="12">
        <v>1554.02</v>
      </c>
      <c r="H199" s="12">
        <v>587776.9</v>
      </c>
      <c r="I199" s="12">
        <v>38030.449999999997</v>
      </c>
      <c r="J199" s="12">
        <v>3132.5</v>
      </c>
      <c r="K199" s="12">
        <v>67855.81</v>
      </c>
      <c r="L199" s="12">
        <v>98796.32</v>
      </c>
    </row>
    <row r="200" spans="1:12">
      <c r="A200" s="12" t="s">
        <v>242</v>
      </c>
      <c r="B200" s="12">
        <v>41566</v>
      </c>
      <c r="C200" s="12">
        <v>3413.55</v>
      </c>
      <c r="D200" s="12">
        <v>8121.48</v>
      </c>
      <c r="E200" s="12">
        <v>3144.72</v>
      </c>
      <c r="F200" s="12">
        <v>19.12</v>
      </c>
      <c r="G200" s="12">
        <v>972.58</v>
      </c>
      <c r="H200" s="12">
        <v>597503.55000000005</v>
      </c>
      <c r="I200" s="12">
        <v>38609.449999999997</v>
      </c>
      <c r="J200" s="12">
        <v>2274.86</v>
      </c>
      <c r="K200" s="12">
        <v>68283.72</v>
      </c>
      <c r="L200" s="12">
        <v>93155.199999999997</v>
      </c>
    </row>
    <row r="201" spans="1:12">
      <c r="A201" s="12" t="s">
        <v>243</v>
      </c>
      <c r="B201" s="12">
        <v>41368</v>
      </c>
      <c r="C201" s="12">
        <v>3813.44</v>
      </c>
      <c r="D201" s="12">
        <v>7989.19</v>
      </c>
      <c r="E201" s="12">
        <v>3088.12</v>
      </c>
      <c r="F201" s="12">
        <v>19.239999999999998</v>
      </c>
      <c r="G201" s="12">
        <v>1895.84</v>
      </c>
      <c r="H201" s="12">
        <v>589789.18999999994</v>
      </c>
      <c r="I201" s="12">
        <v>42511.199999999997</v>
      </c>
      <c r="J201" s="12">
        <v>2261.67</v>
      </c>
      <c r="K201" s="12">
        <v>68632.639999999999</v>
      </c>
      <c r="L201" s="12">
        <v>98623.57</v>
      </c>
    </row>
    <row r="202" spans="1:12">
      <c r="A202" s="12" t="s">
        <v>244</v>
      </c>
      <c r="B202" s="12">
        <v>41234</v>
      </c>
      <c r="C202" s="12">
        <v>3079.79</v>
      </c>
      <c r="D202" s="12">
        <v>8175.25</v>
      </c>
      <c r="E202" s="12">
        <v>3107.4</v>
      </c>
      <c r="F202" s="12">
        <v>19.649999999999999</v>
      </c>
      <c r="G202" s="12">
        <v>1309.03</v>
      </c>
      <c r="H202" s="12">
        <v>570665.49</v>
      </c>
      <c r="I202" s="12">
        <v>41260.82</v>
      </c>
      <c r="J202" s="12">
        <v>2663.29</v>
      </c>
      <c r="K202" s="12">
        <v>68913.87</v>
      </c>
      <c r="L202" s="12">
        <v>97759.18</v>
      </c>
    </row>
    <row r="203" spans="1:12">
      <c r="A203" s="12" t="s">
        <v>245</v>
      </c>
      <c r="B203" s="12">
        <v>40881</v>
      </c>
      <c r="C203" s="12">
        <v>3460.08</v>
      </c>
      <c r="D203" s="12">
        <v>8320.77</v>
      </c>
      <c r="E203" s="12">
        <v>3069.7</v>
      </c>
      <c r="F203" s="12">
        <v>19.260000000000002</v>
      </c>
      <c r="G203" s="12">
        <v>870.82</v>
      </c>
      <c r="H203" s="12">
        <v>591361.47</v>
      </c>
      <c r="I203" s="12">
        <v>40713.32</v>
      </c>
      <c r="J203" s="12">
        <v>2634.19</v>
      </c>
      <c r="K203" s="12">
        <v>68433.55</v>
      </c>
      <c r="L203" s="12">
        <v>92447.48</v>
      </c>
    </row>
    <row r="204" spans="1:12">
      <c r="A204" s="12" t="s">
        <v>246</v>
      </c>
      <c r="B204" s="12">
        <v>41477</v>
      </c>
      <c r="C204" s="12">
        <v>3377.65</v>
      </c>
      <c r="D204" s="12">
        <v>7389.68</v>
      </c>
      <c r="E204" s="12">
        <v>3191.13</v>
      </c>
      <c r="F204" s="12">
        <v>18.72</v>
      </c>
      <c r="G204" s="12">
        <v>1440.4</v>
      </c>
      <c r="H204" s="12">
        <v>599757.93999999994</v>
      </c>
      <c r="I204" s="12">
        <v>40678.160000000003</v>
      </c>
      <c r="J204" s="12">
        <v>2591.04</v>
      </c>
      <c r="K204" s="12">
        <v>68320.67</v>
      </c>
      <c r="L204" s="12">
        <v>87099.74</v>
      </c>
    </row>
    <row r="205" spans="1:12">
      <c r="A205" s="12" t="s">
        <v>247</v>
      </c>
      <c r="B205" s="12">
        <v>43075</v>
      </c>
      <c r="C205" s="12">
        <v>3767.23</v>
      </c>
      <c r="D205" s="12">
        <v>6861.8</v>
      </c>
      <c r="E205" s="12">
        <v>3133.64</v>
      </c>
      <c r="F205" s="12">
        <v>17.89</v>
      </c>
      <c r="G205" s="12">
        <v>1820.8</v>
      </c>
      <c r="H205" s="12">
        <v>600571.80000000005</v>
      </c>
      <c r="I205" s="12">
        <v>39678.379999999997</v>
      </c>
      <c r="J205" s="12">
        <v>2523.5</v>
      </c>
      <c r="K205" s="12">
        <v>68577.210000000006</v>
      </c>
      <c r="L205" s="12">
        <v>85841.03</v>
      </c>
    </row>
    <row r="206" spans="1:12">
      <c r="A206" s="12" t="s">
        <v>248</v>
      </c>
      <c r="B206" s="12">
        <v>43523</v>
      </c>
      <c r="C206" s="12">
        <v>3645.16</v>
      </c>
      <c r="D206" s="12">
        <v>6223.48</v>
      </c>
      <c r="E206" s="12">
        <v>3131.66</v>
      </c>
      <c r="F206" s="12">
        <v>17.82</v>
      </c>
      <c r="G206" s="12">
        <v>2060.0100000000002</v>
      </c>
      <c r="H206" s="12">
        <v>598476.64</v>
      </c>
      <c r="I206" s="12">
        <v>40184.959999999999</v>
      </c>
      <c r="J206" s="12">
        <v>2444.4899999999998</v>
      </c>
      <c r="K206" s="12">
        <v>68632.05</v>
      </c>
      <c r="L206" s="12">
        <v>78614.77</v>
      </c>
    </row>
    <row r="207" spans="1:12">
      <c r="A207" s="12" t="s">
        <v>249</v>
      </c>
      <c r="B207" s="12">
        <v>45800</v>
      </c>
      <c r="C207" s="12">
        <v>3494.07</v>
      </c>
      <c r="D207" s="12">
        <v>6430.82</v>
      </c>
      <c r="E207" s="12">
        <v>3074.74</v>
      </c>
      <c r="F207" s="12">
        <v>17.93</v>
      </c>
      <c r="G207" s="12">
        <v>2695.24</v>
      </c>
      <c r="H207" s="12">
        <v>583208.41</v>
      </c>
      <c r="I207" s="12">
        <v>41059.699999999997</v>
      </c>
      <c r="J207" s="12">
        <v>2431.21</v>
      </c>
      <c r="K207" s="12">
        <v>68443.98</v>
      </c>
      <c r="L207" s="12">
        <v>77294.89</v>
      </c>
    </row>
    <row r="208" spans="1:12">
      <c r="A208" s="12" t="s">
        <v>250</v>
      </c>
      <c r="B208" s="12">
        <v>46151</v>
      </c>
      <c r="C208" s="12">
        <v>3731.62</v>
      </c>
      <c r="D208" s="12">
        <v>5284.23</v>
      </c>
      <c r="E208" s="12">
        <v>3047.89</v>
      </c>
      <c r="F208" s="12">
        <v>16.72</v>
      </c>
      <c r="G208" s="12">
        <v>2134.81</v>
      </c>
      <c r="H208" s="12">
        <v>576293.78</v>
      </c>
      <c r="I208" s="12">
        <v>39571.589999999997</v>
      </c>
      <c r="J208" s="12">
        <v>2413.59</v>
      </c>
      <c r="K208" s="12">
        <v>68565.070000000007</v>
      </c>
      <c r="L208" s="12">
        <v>76826.03</v>
      </c>
    </row>
    <row r="209" spans="1:12">
      <c r="A209" s="12" t="s">
        <v>251</v>
      </c>
      <c r="B209" s="12">
        <v>43955</v>
      </c>
      <c r="C209" s="12">
        <v>3705.81</v>
      </c>
      <c r="D209" s="12">
        <v>5418.92</v>
      </c>
      <c r="E209" s="12">
        <v>3012.13</v>
      </c>
      <c r="F209" s="12">
        <v>15.74</v>
      </c>
      <c r="G209" s="12">
        <v>2307.96</v>
      </c>
      <c r="H209" s="12">
        <v>579522.93000000005</v>
      </c>
      <c r="I209" s="12">
        <v>38695.86</v>
      </c>
      <c r="J209" s="12">
        <v>2488.7199999999998</v>
      </c>
      <c r="K209" s="12">
        <v>68869.23</v>
      </c>
      <c r="L209" s="12">
        <v>76472.11</v>
      </c>
    </row>
    <row r="210" spans="1:12">
      <c r="A210" s="12" t="s">
        <v>252</v>
      </c>
      <c r="B210" s="12">
        <v>45723</v>
      </c>
      <c r="C210" s="12">
        <v>3370.94</v>
      </c>
      <c r="D210" s="12">
        <v>6595.45</v>
      </c>
      <c r="E210" s="12">
        <v>2098.0700000000002</v>
      </c>
      <c r="F210" s="12">
        <v>14.43</v>
      </c>
      <c r="G210" s="12">
        <v>2200.19</v>
      </c>
      <c r="H210" s="12">
        <v>590516.55000000005</v>
      </c>
      <c r="I210" s="12">
        <v>40385.129999999997</v>
      </c>
      <c r="J210" s="12">
        <v>2497.8200000000002</v>
      </c>
      <c r="K210" s="12">
        <v>69595.69</v>
      </c>
      <c r="L210" s="12">
        <v>72989.929999999993</v>
      </c>
    </row>
    <row r="211" spans="1:12">
      <c r="A211" s="12" t="s">
        <v>253</v>
      </c>
      <c r="B211" s="12">
        <v>46727</v>
      </c>
      <c r="C211" s="12">
        <v>4036.65</v>
      </c>
      <c r="D211" s="12">
        <v>5412.28</v>
      </c>
      <c r="E211" s="12">
        <v>2134.89</v>
      </c>
      <c r="F211" s="12">
        <v>13.61</v>
      </c>
      <c r="G211" s="12">
        <v>1713.96</v>
      </c>
      <c r="H211" s="12">
        <v>558495.53</v>
      </c>
      <c r="I211" s="12">
        <v>37807.910000000003</v>
      </c>
      <c r="J211" s="12">
        <v>1992.06</v>
      </c>
      <c r="K211" s="12">
        <v>68251.66</v>
      </c>
      <c r="L211" s="12">
        <v>76847.69</v>
      </c>
    </row>
    <row r="212" spans="1:12">
      <c r="A212" s="12" t="s">
        <v>254</v>
      </c>
      <c r="B212" s="12">
        <v>45688</v>
      </c>
      <c r="C212" s="12">
        <v>6622.61</v>
      </c>
      <c r="D212" s="12">
        <v>5978.01</v>
      </c>
      <c r="E212" s="12">
        <v>2217.29</v>
      </c>
      <c r="F212" s="12">
        <v>13.24</v>
      </c>
      <c r="G212" s="12">
        <v>852.92</v>
      </c>
      <c r="H212" s="12">
        <v>567281.68000000005</v>
      </c>
      <c r="I212" s="12">
        <v>37591.42</v>
      </c>
      <c r="J212" s="12">
        <v>2065.89</v>
      </c>
      <c r="K212" s="12">
        <v>68547.78</v>
      </c>
      <c r="L212" s="12">
        <v>77083.22</v>
      </c>
    </row>
    <row r="213" spans="1:12">
      <c r="A213" s="12" t="s">
        <v>255</v>
      </c>
      <c r="B213" s="12">
        <v>45102</v>
      </c>
      <c r="C213" s="12">
        <v>3951.11</v>
      </c>
      <c r="D213" s="12">
        <v>6836.14</v>
      </c>
      <c r="E213" s="12">
        <v>2183.4</v>
      </c>
      <c r="F213" s="12">
        <v>12.08</v>
      </c>
      <c r="G213" s="12">
        <v>858.36</v>
      </c>
      <c r="H213" s="12">
        <v>558494.88</v>
      </c>
      <c r="I213" s="12">
        <v>37862.92</v>
      </c>
      <c r="J213" s="12">
        <v>2087.59</v>
      </c>
      <c r="K213" s="12">
        <v>69173.66</v>
      </c>
      <c r="L213" s="12">
        <v>72905.2</v>
      </c>
    </row>
    <row r="214" spans="1:12">
      <c r="A214" s="12" t="s">
        <v>256</v>
      </c>
      <c r="B214" s="12">
        <v>41872</v>
      </c>
      <c r="C214" s="12">
        <v>3635.27</v>
      </c>
      <c r="D214" s="12">
        <v>6341.5</v>
      </c>
      <c r="E214" s="12">
        <v>2132.62</v>
      </c>
      <c r="F214" s="12">
        <v>11.97</v>
      </c>
      <c r="G214" s="12">
        <v>1261.78</v>
      </c>
      <c r="H214" s="12">
        <v>545307.65</v>
      </c>
      <c r="I214" s="12">
        <v>38290.42</v>
      </c>
      <c r="J214" s="12">
        <v>2067.83</v>
      </c>
      <c r="K214" s="12">
        <v>69322.28</v>
      </c>
      <c r="L214" s="12">
        <v>78551.509999999995</v>
      </c>
    </row>
    <row r="215" spans="1:12">
      <c r="A215" s="12" t="s">
        <v>257</v>
      </c>
      <c r="B215" s="12">
        <v>42604</v>
      </c>
      <c r="C215" s="12">
        <v>3800.25</v>
      </c>
      <c r="D215" s="12">
        <v>6866.78</v>
      </c>
      <c r="E215" s="12">
        <v>2235.39</v>
      </c>
      <c r="F215" s="12">
        <v>12.39</v>
      </c>
      <c r="G215" s="12">
        <v>485.14</v>
      </c>
      <c r="H215" s="12">
        <v>563231.59</v>
      </c>
      <c r="I215" s="12">
        <v>38228.050000000003</v>
      </c>
      <c r="J215" s="12">
        <v>2104.08</v>
      </c>
      <c r="K215" s="12">
        <v>68730.25</v>
      </c>
      <c r="L215" s="12">
        <v>78079.7</v>
      </c>
    </row>
    <row r="216" spans="1:12">
      <c r="A216" s="12" t="s">
        <v>258</v>
      </c>
      <c r="B216" s="12">
        <v>43393</v>
      </c>
      <c r="C216" s="12">
        <v>3938.14</v>
      </c>
      <c r="D216" s="12">
        <v>6893.83</v>
      </c>
      <c r="E216" s="12">
        <v>2227.4899999999998</v>
      </c>
      <c r="F216" s="12">
        <v>12.65</v>
      </c>
      <c r="G216" s="12">
        <v>1355.79</v>
      </c>
      <c r="H216" s="12">
        <v>563895.13</v>
      </c>
      <c r="I216" s="12">
        <v>38383.449999999997</v>
      </c>
      <c r="J216" s="12">
        <v>2099.91</v>
      </c>
      <c r="K216" s="12">
        <v>68620.77</v>
      </c>
      <c r="L216" s="12">
        <v>71750.45</v>
      </c>
    </row>
    <row r="217" spans="1:12">
      <c r="A217" s="12" t="s">
        <v>259</v>
      </c>
      <c r="B217" s="12">
        <v>42232</v>
      </c>
      <c r="C217" s="12">
        <v>4798.1499999999996</v>
      </c>
      <c r="D217" s="12">
        <v>4880.54</v>
      </c>
      <c r="E217" s="12">
        <v>2228.4299999999998</v>
      </c>
      <c r="F217" s="12">
        <v>13.45</v>
      </c>
      <c r="G217" s="12">
        <v>568.73</v>
      </c>
      <c r="H217" s="12">
        <v>557689.59999999998</v>
      </c>
      <c r="I217" s="12">
        <v>37524.160000000003</v>
      </c>
      <c r="J217" s="12">
        <v>2117.0100000000002</v>
      </c>
      <c r="K217" s="12">
        <v>68456.289999999994</v>
      </c>
      <c r="L217" s="12">
        <v>70372.5</v>
      </c>
    </row>
    <row r="218" spans="1:12">
      <c r="A218" s="12" t="s">
        <v>260</v>
      </c>
      <c r="B218" s="12">
        <v>40185</v>
      </c>
      <c r="C218" s="12">
        <v>3450.91</v>
      </c>
      <c r="D218" s="12">
        <v>5245.5</v>
      </c>
      <c r="E218" s="12">
        <v>2277.41</v>
      </c>
      <c r="F218" s="12">
        <v>13.32</v>
      </c>
      <c r="G218" s="12">
        <v>1290.3399999999999</v>
      </c>
      <c r="H218" s="12">
        <v>557901.80000000005</v>
      </c>
      <c r="I218" s="12">
        <v>37837.43</v>
      </c>
      <c r="J218" s="12">
        <v>2124.69</v>
      </c>
      <c r="K218" s="12">
        <v>68370.33</v>
      </c>
      <c r="L218" s="12">
        <v>62834.74</v>
      </c>
    </row>
    <row r="219" spans="1:12">
      <c r="A219" s="12" t="s">
        <v>261</v>
      </c>
      <c r="B219" s="12">
        <v>38442</v>
      </c>
      <c r="C219" s="12">
        <v>3745.16</v>
      </c>
      <c r="D219" s="12">
        <v>6401.81</v>
      </c>
      <c r="E219" s="12">
        <v>1308.1400000000001</v>
      </c>
      <c r="F219" s="12">
        <v>13.79</v>
      </c>
      <c r="G219" s="12">
        <v>82.27</v>
      </c>
      <c r="H219" s="12">
        <v>539995.92000000004</v>
      </c>
      <c r="I219" s="12">
        <v>39095.550000000003</v>
      </c>
      <c r="J219" s="12">
        <v>2145.0100000000002</v>
      </c>
      <c r="K219" s="12">
        <v>68261.25</v>
      </c>
      <c r="L219" s="12">
        <v>66943.14</v>
      </c>
    </row>
    <row r="220" spans="1:12">
      <c r="A220" s="12" t="s">
        <v>262</v>
      </c>
      <c r="B220" s="12">
        <v>37300</v>
      </c>
      <c r="C220" s="12">
        <v>3618.38</v>
      </c>
      <c r="D220" s="12">
        <v>5268.34</v>
      </c>
      <c r="E220" s="12">
        <v>1554.75</v>
      </c>
      <c r="F220" s="12">
        <v>13.98</v>
      </c>
      <c r="G220" s="12">
        <v>908.84</v>
      </c>
      <c r="H220" s="12">
        <v>537125.05000000005</v>
      </c>
      <c r="I220" s="12">
        <v>37759.75</v>
      </c>
      <c r="J220" s="12">
        <v>2154.0700000000002</v>
      </c>
      <c r="K220" s="12">
        <v>67948.710000000006</v>
      </c>
      <c r="L220" s="12">
        <v>66474.02</v>
      </c>
    </row>
    <row r="221" spans="1:12">
      <c r="A221" s="12" t="s">
        <v>263</v>
      </c>
      <c r="B221" s="12">
        <v>38288</v>
      </c>
      <c r="C221" s="12">
        <v>3394.15</v>
      </c>
      <c r="D221" s="12">
        <v>5840.13</v>
      </c>
      <c r="E221" s="12">
        <v>1554.91</v>
      </c>
      <c r="F221" s="12">
        <v>13.76</v>
      </c>
      <c r="G221" s="12">
        <v>174.62</v>
      </c>
      <c r="H221" s="12">
        <v>542367.17000000004</v>
      </c>
      <c r="I221" s="12">
        <v>38416.74</v>
      </c>
      <c r="J221" s="12">
        <v>2159.83</v>
      </c>
      <c r="K221" s="12">
        <v>67600.14</v>
      </c>
      <c r="L221" s="12">
        <v>65677.83</v>
      </c>
    </row>
    <row r="222" spans="1:12">
      <c r="A222" s="12" t="s">
        <v>264</v>
      </c>
      <c r="B222" s="12">
        <v>37401</v>
      </c>
      <c r="C222" s="12">
        <v>3319.97</v>
      </c>
      <c r="D222" s="12">
        <v>6638.27</v>
      </c>
      <c r="E222" s="12">
        <v>1527.68</v>
      </c>
      <c r="F222" s="12">
        <v>13.81</v>
      </c>
      <c r="G222" s="12">
        <v>1714.52</v>
      </c>
      <c r="H222" s="12">
        <v>546142.43000000005</v>
      </c>
      <c r="I222" s="12">
        <v>39027.129999999997</v>
      </c>
      <c r="J222" s="12">
        <v>2185.4</v>
      </c>
      <c r="K222" s="12">
        <v>67888.91</v>
      </c>
      <c r="L222" s="12">
        <v>69604.399999999994</v>
      </c>
    </row>
    <row r="223" spans="1:12">
      <c r="A223" s="12" t="s">
        <v>265</v>
      </c>
      <c r="B223" s="12">
        <v>42934</v>
      </c>
      <c r="C223" s="12">
        <v>2830.12</v>
      </c>
      <c r="D223" s="12">
        <v>5299.82</v>
      </c>
      <c r="E223" s="12">
        <v>1515.08</v>
      </c>
      <c r="F223" s="12">
        <v>13.52</v>
      </c>
      <c r="G223" s="12">
        <v>1151.8499999999999</v>
      </c>
      <c r="H223" s="12">
        <v>521861.26</v>
      </c>
      <c r="I223" s="12">
        <v>37556.959999999999</v>
      </c>
      <c r="J223" s="12">
        <v>2146.69</v>
      </c>
      <c r="K223" s="12">
        <v>66533.25</v>
      </c>
      <c r="L223" s="12">
        <v>65392.85</v>
      </c>
    </row>
    <row r="224" spans="1:12">
      <c r="A224" s="12" t="s">
        <v>266</v>
      </c>
      <c r="B224" s="12">
        <v>39028</v>
      </c>
      <c r="C224" s="12">
        <v>3841.6</v>
      </c>
      <c r="D224" s="12">
        <v>5741.66</v>
      </c>
      <c r="E224" s="12">
        <v>1250.78</v>
      </c>
      <c r="F224" s="12">
        <v>13.59</v>
      </c>
      <c r="G224" s="12">
        <v>156.65</v>
      </c>
      <c r="H224" s="12">
        <v>531678.44999999995</v>
      </c>
      <c r="I224" s="12">
        <v>37847.86</v>
      </c>
      <c r="J224" s="12">
        <v>2187.73</v>
      </c>
      <c r="K224" s="12">
        <v>66370.61</v>
      </c>
      <c r="L224" s="12">
        <v>65458.52</v>
      </c>
    </row>
    <row r="225" spans="1:12">
      <c r="A225" s="12" t="s">
        <v>267</v>
      </c>
      <c r="B225" s="12">
        <v>39291</v>
      </c>
      <c r="C225" s="12">
        <v>3643.05</v>
      </c>
      <c r="D225" s="12">
        <v>7173.66</v>
      </c>
      <c r="E225" s="12">
        <v>1251.6500000000001</v>
      </c>
      <c r="F225" s="12">
        <v>13.74</v>
      </c>
      <c r="G225" s="12">
        <v>45.93</v>
      </c>
      <c r="H225" s="12">
        <v>522899.99</v>
      </c>
      <c r="I225" s="12">
        <v>38612.519999999997</v>
      </c>
      <c r="J225" s="12">
        <v>2213.35</v>
      </c>
      <c r="K225" s="12">
        <v>66581.47</v>
      </c>
      <c r="L225" s="12">
        <v>61505.21</v>
      </c>
    </row>
    <row r="226" spans="1:12">
      <c r="A226" s="12" t="s">
        <v>268</v>
      </c>
      <c r="B226" s="12">
        <v>40036</v>
      </c>
      <c r="C226" s="12">
        <v>2572.7399999999998</v>
      </c>
      <c r="D226" s="12">
        <v>7112.23</v>
      </c>
      <c r="E226" s="12">
        <v>1250.78</v>
      </c>
      <c r="F226" s="12">
        <v>13.99</v>
      </c>
      <c r="G226" s="12">
        <v>78.73</v>
      </c>
      <c r="H226" s="12">
        <v>510486.58</v>
      </c>
      <c r="I226" s="12">
        <v>38821.75</v>
      </c>
      <c r="J226" s="12">
        <v>2236.19</v>
      </c>
      <c r="K226" s="12">
        <v>66637.509999999995</v>
      </c>
      <c r="L226" s="12">
        <v>63944.09</v>
      </c>
    </row>
    <row r="227" spans="1:12">
      <c r="A227" s="12" t="s">
        <v>269</v>
      </c>
      <c r="B227" s="12">
        <v>38839</v>
      </c>
      <c r="C227" s="12">
        <v>2257.86</v>
      </c>
      <c r="D227" s="12">
        <v>6692.1</v>
      </c>
      <c r="E227" s="12">
        <v>1360.74</v>
      </c>
      <c r="F227" s="12">
        <v>14.43</v>
      </c>
      <c r="G227" s="12">
        <v>160.62</v>
      </c>
      <c r="H227" s="12">
        <v>527157.12</v>
      </c>
      <c r="I227" s="12">
        <v>38525.910000000003</v>
      </c>
      <c r="J227" s="12">
        <v>2256</v>
      </c>
      <c r="K227" s="12">
        <v>65734.7</v>
      </c>
      <c r="L227" s="12">
        <v>63148.34</v>
      </c>
    </row>
    <row r="228" spans="1:12">
      <c r="A228" s="12" t="s">
        <v>270</v>
      </c>
      <c r="B228" s="12">
        <v>39046</v>
      </c>
      <c r="C228" s="12">
        <v>2752.82</v>
      </c>
      <c r="D228" s="12">
        <v>6155.19</v>
      </c>
      <c r="E228" s="12">
        <v>1358.14</v>
      </c>
      <c r="F228" s="12">
        <v>47.55</v>
      </c>
      <c r="G228" s="12">
        <v>84.4</v>
      </c>
      <c r="H228" s="12">
        <v>527570.34</v>
      </c>
      <c r="I228" s="12">
        <v>39774.400000000001</v>
      </c>
      <c r="J228" s="12">
        <v>2322.0700000000002</v>
      </c>
      <c r="K228" s="12">
        <v>65522.41</v>
      </c>
      <c r="L228" s="12">
        <v>60680.23</v>
      </c>
    </row>
    <row r="229" spans="1:12">
      <c r="A229" s="12" t="s">
        <v>271</v>
      </c>
      <c r="B229" s="12">
        <v>40224</v>
      </c>
      <c r="C229" s="12">
        <v>2711.31</v>
      </c>
      <c r="D229" s="12">
        <v>7159.23</v>
      </c>
      <c r="E229" s="12">
        <v>1249</v>
      </c>
      <c r="F229" s="12">
        <v>47.9</v>
      </c>
      <c r="G229" s="12">
        <v>32.25</v>
      </c>
      <c r="H229" s="12">
        <v>519469.06</v>
      </c>
      <c r="I229" s="12">
        <v>38918.879999999997</v>
      </c>
      <c r="J229" s="12">
        <v>2387.58</v>
      </c>
      <c r="K229" s="12">
        <v>65500.39</v>
      </c>
      <c r="L229" s="12">
        <v>61744.79</v>
      </c>
    </row>
    <row r="230" spans="1:12">
      <c r="A230" s="12" t="s">
        <v>272</v>
      </c>
      <c r="B230" s="12">
        <v>41166</v>
      </c>
      <c r="C230" s="12">
        <v>3005.9</v>
      </c>
      <c r="D230" s="12">
        <v>6270.36</v>
      </c>
      <c r="E230" s="12">
        <v>1248.97</v>
      </c>
      <c r="F230" s="12">
        <v>42.49</v>
      </c>
      <c r="G230" s="12">
        <v>77.86</v>
      </c>
      <c r="H230" s="12">
        <v>518205.9</v>
      </c>
      <c r="I230" s="12">
        <v>39353.51</v>
      </c>
      <c r="J230" s="12">
        <v>2637.63</v>
      </c>
      <c r="K230" s="12">
        <v>65547.009999999995</v>
      </c>
      <c r="L230" s="12">
        <v>62777.08</v>
      </c>
    </row>
    <row r="231" spans="1:12">
      <c r="A231" s="12" t="s">
        <v>273</v>
      </c>
      <c r="B231" s="12">
        <v>39273</v>
      </c>
      <c r="C231" s="12">
        <v>3927.35</v>
      </c>
      <c r="D231" s="12">
        <v>6515.39</v>
      </c>
      <c r="E231" s="12">
        <v>1251.96</v>
      </c>
      <c r="F231" s="12">
        <v>43.2</v>
      </c>
      <c r="G231" s="12">
        <v>744.26</v>
      </c>
      <c r="H231" s="12">
        <v>510700.26</v>
      </c>
      <c r="I231" s="12">
        <v>39918.629999999997</v>
      </c>
      <c r="J231" s="12">
        <v>2661.98</v>
      </c>
      <c r="K231" s="12">
        <v>65521.35</v>
      </c>
      <c r="L231" s="12">
        <v>62484.39</v>
      </c>
    </row>
    <row r="232" spans="1:12">
      <c r="A232" s="12" t="s">
        <v>274</v>
      </c>
      <c r="B232" s="12">
        <v>37971</v>
      </c>
      <c r="C232" s="12">
        <v>3734.54</v>
      </c>
      <c r="D232" s="12">
        <v>5670.46</v>
      </c>
      <c r="E232" s="12">
        <v>1251.42</v>
      </c>
      <c r="F232" s="12">
        <v>40.08</v>
      </c>
      <c r="G232" s="12">
        <v>109.45</v>
      </c>
      <c r="H232" s="12">
        <v>502069.1</v>
      </c>
      <c r="I232" s="12">
        <v>40034.730000000003</v>
      </c>
      <c r="J232" s="12">
        <v>2978.95</v>
      </c>
      <c r="K232" s="12">
        <v>65008.58</v>
      </c>
      <c r="L232" s="12">
        <v>63500.49</v>
      </c>
    </row>
    <row r="233" spans="1:12">
      <c r="A233" s="12" t="s">
        <v>275</v>
      </c>
      <c r="B233" s="12">
        <v>37706</v>
      </c>
      <c r="C233" s="12">
        <v>3557.49</v>
      </c>
      <c r="D233" s="12">
        <v>6805.9</v>
      </c>
      <c r="E233" s="12">
        <v>1254.33</v>
      </c>
      <c r="F233" s="12">
        <v>40.01</v>
      </c>
      <c r="G233" s="12">
        <v>121.02</v>
      </c>
      <c r="H233" s="12">
        <v>508974.6</v>
      </c>
      <c r="I233" s="12">
        <v>40042.39</v>
      </c>
      <c r="J233" s="12">
        <v>3056.28</v>
      </c>
      <c r="K233" s="12">
        <v>64686.95</v>
      </c>
      <c r="L233" s="12">
        <v>62169.46</v>
      </c>
    </row>
    <row r="234" spans="1:12">
      <c r="A234" s="12" t="s">
        <v>276</v>
      </c>
      <c r="B234" s="12">
        <v>35519</v>
      </c>
      <c r="C234" s="12">
        <v>3969.78</v>
      </c>
      <c r="D234" s="12">
        <v>3718.43</v>
      </c>
      <c r="E234" s="12">
        <v>1255.3599999999999</v>
      </c>
      <c r="F234" s="12">
        <v>40.07</v>
      </c>
      <c r="G234" s="12">
        <v>284.86</v>
      </c>
      <c r="H234" s="12">
        <v>515622.12</v>
      </c>
      <c r="I234" s="12">
        <v>40237.11</v>
      </c>
      <c r="J234" s="12">
        <v>3064.18</v>
      </c>
      <c r="K234" s="12">
        <v>64852.88</v>
      </c>
      <c r="L234" s="12">
        <v>68183.850000000006</v>
      </c>
    </row>
    <row r="235" spans="1:12">
      <c r="A235" s="12" t="s">
        <v>277</v>
      </c>
      <c r="B235" s="12">
        <v>36296</v>
      </c>
      <c r="C235" s="12">
        <v>2807</v>
      </c>
      <c r="D235" s="12">
        <v>5462.28</v>
      </c>
      <c r="E235" s="12">
        <v>620.83000000000004</v>
      </c>
      <c r="F235" s="12">
        <v>41.56</v>
      </c>
      <c r="G235" s="12">
        <v>262.29000000000002</v>
      </c>
      <c r="H235" s="12">
        <v>495889.29</v>
      </c>
      <c r="I235" s="12">
        <v>41226.32</v>
      </c>
      <c r="J235" s="12">
        <v>3864.44</v>
      </c>
      <c r="K235" s="12">
        <v>63397.02</v>
      </c>
      <c r="L235" s="12">
        <v>72640.7</v>
      </c>
    </row>
    <row r="236" spans="1:12">
      <c r="A236" s="12" t="s">
        <v>278</v>
      </c>
      <c r="B236" s="12">
        <v>37368</v>
      </c>
      <c r="C236" s="12">
        <v>2752.45</v>
      </c>
      <c r="D236" s="12">
        <v>5552.13</v>
      </c>
      <c r="E236" s="12">
        <v>626.71</v>
      </c>
      <c r="F236" s="12">
        <v>44.22</v>
      </c>
      <c r="G236" s="12">
        <v>410.8</v>
      </c>
      <c r="H236" s="12">
        <v>496127.45</v>
      </c>
      <c r="I236" s="12">
        <v>42576.1</v>
      </c>
      <c r="J236" s="12">
        <v>3562.26</v>
      </c>
      <c r="K236" s="12">
        <v>63492.18</v>
      </c>
      <c r="L236" s="12">
        <v>72501.45</v>
      </c>
    </row>
    <row r="237" spans="1:12">
      <c r="A237" s="12" t="s">
        <v>279</v>
      </c>
      <c r="B237" s="12">
        <v>36239</v>
      </c>
      <c r="C237" s="12">
        <v>3460.11</v>
      </c>
      <c r="D237" s="12">
        <v>6781.93</v>
      </c>
      <c r="E237" s="12">
        <v>603.25</v>
      </c>
      <c r="F237" s="12">
        <v>39.840000000000003</v>
      </c>
      <c r="G237" s="12">
        <v>164.9</v>
      </c>
      <c r="H237" s="12">
        <v>492030.11</v>
      </c>
      <c r="I237" s="12">
        <v>42436.59</v>
      </c>
      <c r="J237" s="12">
        <v>3658.68</v>
      </c>
      <c r="K237" s="12">
        <v>63488.2</v>
      </c>
      <c r="L237" s="12">
        <v>70774.559999999998</v>
      </c>
    </row>
    <row r="238" spans="1:12">
      <c r="A238" s="12" t="s">
        <v>280</v>
      </c>
      <c r="B238" s="12">
        <v>36641</v>
      </c>
      <c r="C238" s="12">
        <v>2489.29</v>
      </c>
      <c r="D238" s="12">
        <v>7081.84</v>
      </c>
      <c r="E238" s="12">
        <v>588.98</v>
      </c>
      <c r="F238" s="12">
        <v>37.549999999999997</v>
      </c>
      <c r="G238" s="12">
        <v>220.91</v>
      </c>
      <c r="H238" s="12">
        <v>484616.05</v>
      </c>
      <c r="I238" s="12">
        <v>42343.73</v>
      </c>
      <c r="J238" s="12">
        <v>3670.11</v>
      </c>
      <c r="K238" s="12">
        <v>63411.91</v>
      </c>
      <c r="L238" s="12">
        <v>73920.98</v>
      </c>
    </row>
    <row r="239" spans="1:12">
      <c r="A239" s="12" t="s">
        <v>281</v>
      </c>
      <c r="B239" s="12">
        <v>37509</v>
      </c>
      <c r="C239" s="12">
        <v>2814</v>
      </c>
      <c r="D239" s="12">
        <v>5881.76</v>
      </c>
      <c r="E239" s="12">
        <v>585.82000000000005</v>
      </c>
      <c r="F239" s="12">
        <v>38.619999999999997</v>
      </c>
      <c r="G239" s="12">
        <v>151.16</v>
      </c>
      <c r="H239" s="12">
        <v>489302.78</v>
      </c>
      <c r="I239" s="12">
        <v>43144.47</v>
      </c>
      <c r="J239" s="12">
        <v>3722.89</v>
      </c>
      <c r="K239" s="12">
        <v>62596.86</v>
      </c>
      <c r="L239" s="12">
        <v>73792.759999999995</v>
      </c>
    </row>
    <row r="240" spans="1:12">
      <c r="A240" s="12" t="s">
        <v>282</v>
      </c>
      <c r="B240" s="12">
        <v>36780</v>
      </c>
      <c r="C240" s="12">
        <v>3915.59</v>
      </c>
      <c r="D240" s="12">
        <v>6210.11</v>
      </c>
      <c r="E240" s="12">
        <v>557.98</v>
      </c>
      <c r="F240" s="12">
        <v>45</v>
      </c>
      <c r="G240" s="12">
        <v>327.95</v>
      </c>
      <c r="H240" s="12">
        <v>496014.31</v>
      </c>
      <c r="I240" s="12">
        <v>43294.23</v>
      </c>
      <c r="J240" s="12">
        <v>3730.56</v>
      </c>
      <c r="K240" s="12">
        <v>62179.81</v>
      </c>
      <c r="L240" s="12">
        <v>71621.34</v>
      </c>
    </row>
    <row r="241" spans="1:12">
      <c r="A241" s="12" t="s">
        <v>283</v>
      </c>
      <c r="B241" s="12">
        <v>36092</v>
      </c>
      <c r="C241" s="12">
        <v>3200.97</v>
      </c>
      <c r="D241" s="12">
        <v>7651.13</v>
      </c>
      <c r="E241" s="12">
        <v>556.16999999999996</v>
      </c>
      <c r="F241" s="12">
        <v>50.03</v>
      </c>
      <c r="G241" s="12">
        <v>138.91</v>
      </c>
      <c r="H241" s="12">
        <v>487049.7</v>
      </c>
      <c r="I241" s="12">
        <v>43297.61</v>
      </c>
      <c r="J241" s="12">
        <v>3469.58</v>
      </c>
      <c r="K241" s="12">
        <v>62014.39</v>
      </c>
      <c r="L241" s="12">
        <v>79449.649999999994</v>
      </c>
    </row>
    <row r="242" spans="1:12">
      <c r="A242" s="12" t="s">
        <v>284</v>
      </c>
      <c r="B242" s="12">
        <v>36329</v>
      </c>
      <c r="C242" s="12">
        <v>2984.9</v>
      </c>
      <c r="D242" s="12">
        <v>8307.85</v>
      </c>
      <c r="E242" s="12">
        <v>553.28</v>
      </c>
      <c r="F242" s="12">
        <v>49.36</v>
      </c>
      <c r="G242" s="12">
        <v>141.12</v>
      </c>
      <c r="H242" s="12">
        <v>482553.41</v>
      </c>
      <c r="I242" s="12">
        <v>43882.48</v>
      </c>
      <c r="J242" s="12">
        <v>3564.96</v>
      </c>
      <c r="K242" s="12">
        <v>62308.56</v>
      </c>
      <c r="L242" s="12">
        <v>78827.87</v>
      </c>
    </row>
    <row r="243" spans="1:12">
      <c r="A243" s="12" t="s">
        <v>285</v>
      </c>
      <c r="B243" s="12">
        <v>37528</v>
      </c>
      <c r="C243" s="12">
        <v>4326.58</v>
      </c>
      <c r="D243" s="12">
        <v>7715.62</v>
      </c>
      <c r="E243" s="12">
        <v>550.74</v>
      </c>
      <c r="F243" s="12">
        <v>55.97</v>
      </c>
      <c r="G243" s="12">
        <v>173.32</v>
      </c>
      <c r="H243" s="12">
        <v>474726.85</v>
      </c>
      <c r="I243" s="12">
        <v>43998.35</v>
      </c>
      <c r="J243" s="12">
        <v>3288.4</v>
      </c>
      <c r="K243" s="12">
        <v>62052.08</v>
      </c>
      <c r="L243" s="12">
        <v>78341.58</v>
      </c>
    </row>
    <row r="244" spans="1:12">
      <c r="A244" s="12" t="s">
        <v>286</v>
      </c>
      <c r="B244" s="12">
        <v>34869</v>
      </c>
      <c r="C244" s="12">
        <v>4381.4799999999996</v>
      </c>
      <c r="D244" s="12">
        <v>8137.37</v>
      </c>
      <c r="E244" s="12">
        <v>552.19000000000005</v>
      </c>
      <c r="F244" s="12">
        <v>55.77</v>
      </c>
      <c r="G244" s="12">
        <v>310.02999999999997</v>
      </c>
      <c r="H244" s="12">
        <v>465366.92</v>
      </c>
      <c r="I244" s="12">
        <v>44757.54</v>
      </c>
      <c r="J244" s="12">
        <v>3352.47</v>
      </c>
      <c r="K244" s="12">
        <v>61684.67</v>
      </c>
      <c r="L244" s="12">
        <v>81142.91</v>
      </c>
    </row>
    <row r="245" spans="1:12">
      <c r="A245" s="12" t="s">
        <v>287</v>
      </c>
      <c r="B245" s="12">
        <v>35774</v>
      </c>
      <c r="C245" s="12">
        <v>4727.2700000000004</v>
      </c>
      <c r="D245" s="12">
        <v>6243.9</v>
      </c>
      <c r="E245" s="12">
        <v>544.92999999999995</v>
      </c>
      <c r="F245" s="12">
        <v>55.77</v>
      </c>
      <c r="G245" s="12">
        <v>117.51</v>
      </c>
      <c r="H245" s="12">
        <v>461724.93</v>
      </c>
      <c r="I245" s="12">
        <v>44859.87</v>
      </c>
      <c r="J245" s="12">
        <v>3376.59</v>
      </c>
      <c r="K245" s="12">
        <v>61296.63</v>
      </c>
      <c r="L245" s="12">
        <v>82488.09</v>
      </c>
    </row>
    <row r="246" spans="1:12">
      <c r="A246" s="12" t="s">
        <v>288</v>
      </c>
      <c r="B246" s="12">
        <v>35734</v>
      </c>
      <c r="C246" s="12">
        <v>4494.55</v>
      </c>
      <c r="D246" s="12">
        <v>4141.33</v>
      </c>
      <c r="E246" s="12">
        <v>548.41</v>
      </c>
      <c r="F246" s="12">
        <v>55.14</v>
      </c>
      <c r="G246" s="12">
        <v>39.880000000000003</v>
      </c>
      <c r="H246" s="12">
        <v>488027.45</v>
      </c>
      <c r="I246" s="12">
        <v>46527.13</v>
      </c>
      <c r="J246" s="12">
        <v>3518.78</v>
      </c>
      <c r="K246" s="12">
        <v>61725.67</v>
      </c>
      <c r="L246" s="12">
        <v>89269.04</v>
      </c>
    </row>
    <row r="247" spans="1:12">
      <c r="A247" s="12" t="s">
        <v>289</v>
      </c>
      <c r="B247" s="12">
        <v>32943</v>
      </c>
      <c r="C247" s="12">
        <v>3319.12</v>
      </c>
      <c r="D247" s="12">
        <v>5822.56</v>
      </c>
      <c r="E247" s="12">
        <v>553.11</v>
      </c>
      <c r="F247" s="12">
        <v>57.5</v>
      </c>
      <c r="G247" s="12">
        <v>83.88</v>
      </c>
      <c r="H247" s="12">
        <v>449468.04</v>
      </c>
      <c r="I247" s="12">
        <v>47051.61</v>
      </c>
      <c r="J247" s="12">
        <v>3453.27</v>
      </c>
      <c r="K247" s="12">
        <v>59981.91</v>
      </c>
      <c r="L247" s="12">
        <v>88625.07</v>
      </c>
    </row>
    <row r="248" spans="1:12">
      <c r="A248" s="12" t="s">
        <v>290</v>
      </c>
      <c r="B248" s="12">
        <v>33008</v>
      </c>
      <c r="C248" s="12">
        <v>3706.04</v>
      </c>
      <c r="D248" s="12">
        <v>6691.03</v>
      </c>
      <c r="E248" s="12">
        <v>536.35</v>
      </c>
      <c r="F248" s="12">
        <v>58.8</v>
      </c>
      <c r="G248" s="12">
        <v>113.04</v>
      </c>
      <c r="H248" s="12">
        <v>447287.07</v>
      </c>
      <c r="I248" s="12">
        <v>47636.22</v>
      </c>
      <c r="J248" s="12">
        <v>3499.57</v>
      </c>
      <c r="K248" s="12">
        <v>60014.79</v>
      </c>
      <c r="L248" s="12">
        <v>88966.66</v>
      </c>
    </row>
    <row r="249" spans="1:12">
      <c r="A249" s="12" t="s">
        <v>291</v>
      </c>
      <c r="B249" s="12">
        <v>33608</v>
      </c>
      <c r="C249" s="12">
        <v>3310.25</v>
      </c>
      <c r="D249" s="12">
        <v>5894.52</v>
      </c>
      <c r="E249" s="12">
        <v>547.17999999999995</v>
      </c>
      <c r="F249" s="12">
        <v>63.73</v>
      </c>
      <c r="G249" s="12">
        <v>109.39</v>
      </c>
      <c r="H249" s="12">
        <v>445287.87</v>
      </c>
      <c r="I249" s="12">
        <v>48304.92</v>
      </c>
      <c r="J249" s="12">
        <v>3533.43</v>
      </c>
      <c r="K249" s="12">
        <v>59914.58</v>
      </c>
      <c r="L249" s="12">
        <v>87030.14</v>
      </c>
    </row>
    <row r="250" spans="1:12">
      <c r="A250" s="12" t="s">
        <v>292</v>
      </c>
      <c r="B250" s="12">
        <v>31703</v>
      </c>
      <c r="C250" s="12">
        <v>3371.44</v>
      </c>
      <c r="D250" s="12">
        <v>6337.97</v>
      </c>
      <c r="E250" s="12">
        <v>536.75</v>
      </c>
      <c r="F250" s="12">
        <v>63.99</v>
      </c>
      <c r="G250" s="12">
        <v>107.46</v>
      </c>
      <c r="H250" s="12">
        <v>433607.73</v>
      </c>
      <c r="I250" s="12">
        <v>49044.3</v>
      </c>
      <c r="J250" s="12">
        <v>3666.07</v>
      </c>
      <c r="K250" s="12">
        <v>59744.42</v>
      </c>
      <c r="L250" s="12">
        <v>91297.9</v>
      </c>
    </row>
    <row r="251" spans="1:12">
      <c r="A251" s="12" t="s">
        <v>293</v>
      </c>
      <c r="B251" s="12">
        <v>30074</v>
      </c>
      <c r="C251" s="12">
        <v>2997.09</v>
      </c>
      <c r="D251" s="12">
        <v>6035.43</v>
      </c>
      <c r="E251" s="12">
        <v>527.1</v>
      </c>
      <c r="F251" s="12">
        <v>52.67</v>
      </c>
      <c r="G251" s="12">
        <v>215.08</v>
      </c>
      <c r="H251" s="12">
        <v>443694.52</v>
      </c>
      <c r="I251" s="12">
        <v>49241.9</v>
      </c>
      <c r="J251" s="12">
        <v>3530.42</v>
      </c>
      <c r="K251" s="12">
        <v>59287.93</v>
      </c>
      <c r="L251" s="12">
        <v>90740.19</v>
      </c>
    </row>
    <row r="252" spans="1:12">
      <c r="A252" s="12" t="s">
        <v>294</v>
      </c>
      <c r="B252" s="12">
        <v>31813</v>
      </c>
      <c r="C252" s="12">
        <v>3982.06</v>
      </c>
      <c r="D252" s="12">
        <v>7812.79</v>
      </c>
      <c r="E252" s="12">
        <v>527.70000000000005</v>
      </c>
      <c r="F252" s="12">
        <v>53.02</v>
      </c>
      <c r="G252" s="12">
        <v>325.49</v>
      </c>
      <c r="H252" s="12">
        <v>449180.45</v>
      </c>
      <c r="I252" s="12">
        <v>48660.43</v>
      </c>
      <c r="J252" s="12">
        <v>3326.32</v>
      </c>
      <c r="K252" s="12">
        <v>59041.4</v>
      </c>
      <c r="L252" s="12">
        <v>86931.9</v>
      </c>
    </row>
    <row r="253" spans="1:12">
      <c r="A253" s="12" t="s">
        <v>295</v>
      </c>
      <c r="B253" s="12">
        <v>30813</v>
      </c>
      <c r="C253" s="12">
        <v>4220.75</v>
      </c>
      <c r="D253" s="12">
        <v>6216.47</v>
      </c>
      <c r="E253" s="12">
        <v>520.46</v>
      </c>
      <c r="F253" s="12">
        <v>14.77</v>
      </c>
      <c r="G253" s="12">
        <v>101.8</v>
      </c>
      <c r="H253" s="12">
        <v>445101.98</v>
      </c>
      <c r="I253" s="12">
        <v>49704.45</v>
      </c>
      <c r="J253" s="12">
        <v>3541.29</v>
      </c>
      <c r="K253" s="12">
        <v>58700.61</v>
      </c>
      <c r="L253" s="12">
        <v>89677.56</v>
      </c>
    </row>
    <row r="254" spans="1:12">
      <c r="A254" s="12" t="s">
        <v>296</v>
      </c>
      <c r="B254" s="12">
        <v>31761</v>
      </c>
      <c r="C254" s="12">
        <v>3674.74</v>
      </c>
      <c r="D254" s="12">
        <v>7427.22</v>
      </c>
      <c r="E254" s="12">
        <v>521.85</v>
      </c>
      <c r="F254" s="12">
        <v>14.84</v>
      </c>
      <c r="G254" s="12">
        <v>85.88</v>
      </c>
      <c r="H254" s="12">
        <v>441766.87</v>
      </c>
      <c r="I254" s="12">
        <v>50296.07</v>
      </c>
      <c r="J254" s="12">
        <v>3460.4</v>
      </c>
      <c r="K254" s="12">
        <v>58665.56</v>
      </c>
      <c r="L254" s="12">
        <v>85231.76</v>
      </c>
    </row>
    <row r="255" spans="1:12">
      <c r="A255" s="12" t="s">
        <v>297</v>
      </c>
      <c r="B255" s="12">
        <v>32696</v>
      </c>
      <c r="C255" s="12">
        <v>3770.15</v>
      </c>
      <c r="D255" s="12">
        <v>5510.88</v>
      </c>
      <c r="E255" s="12">
        <v>519.85</v>
      </c>
      <c r="F255" s="12">
        <v>14.99</v>
      </c>
      <c r="G255" s="12">
        <v>56.81</v>
      </c>
      <c r="H255" s="12">
        <v>435171.39</v>
      </c>
      <c r="I255" s="12">
        <v>51176.71</v>
      </c>
      <c r="J255" s="12">
        <v>3514.31</v>
      </c>
      <c r="K255" s="12">
        <v>58561.07</v>
      </c>
      <c r="L255" s="12">
        <v>88377.86</v>
      </c>
    </row>
    <row r="256" spans="1:12">
      <c r="A256" s="12" t="s">
        <v>298</v>
      </c>
      <c r="B256" s="12">
        <v>31220</v>
      </c>
      <c r="C256" s="12">
        <v>3930.76</v>
      </c>
      <c r="D256" s="12">
        <v>4955.7299999999996</v>
      </c>
      <c r="E256" s="12">
        <v>507.49</v>
      </c>
      <c r="F256" s="12">
        <v>14.99</v>
      </c>
      <c r="G256" s="12">
        <v>54.1</v>
      </c>
      <c r="H256" s="12">
        <v>433540.32</v>
      </c>
      <c r="I256" s="12">
        <v>51265.81</v>
      </c>
      <c r="J256" s="12">
        <v>3598.07</v>
      </c>
      <c r="K256" s="12">
        <v>59028</v>
      </c>
      <c r="L256" s="12">
        <v>82168.05</v>
      </c>
    </row>
    <row r="257" spans="1:12">
      <c r="A257" s="12" t="s">
        <v>299</v>
      </c>
      <c r="B257" s="12">
        <v>30908</v>
      </c>
      <c r="C257" s="12">
        <v>3259.73</v>
      </c>
      <c r="D257" s="12">
        <v>5138.13</v>
      </c>
      <c r="E257" s="12">
        <v>501.52</v>
      </c>
      <c r="F257" s="12">
        <v>15.24</v>
      </c>
      <c r="G257" s="12">
        <v>63.25</v>
      </c>
      <c r="H257" s="12">
        <v>428558.01</v>
      </c>
      <c r="I257" s="12">
        <v>50978.239999999998</v>
      </c>
      <c r="J257" s="12">
        <v>3653.71</v>
      </c>
      <c r="K257" s="12">
        <v>58737.58</v>
      </c>
      <c r="L257" s="12">
        <v>77484.09</v>
      </c>
    </row>
    <row r="258" spans="1:12">
      <c r="A258" s="12" t="s">
        <v>300</v>
      </c>
      <c r="B258" s="12">
        <v>31564</v>
      </c>
      <c r="C258" s="12">
        <v>3631.39</v>
      </c>
      <c r="D258" s="12">
        <v>1287.3499999999999</v>
      </c>
      <c r="E258" s="12">
        <v>541.16</v>
      </c>
      <c r="F258" s="12">
        <v>15.34</v>
      </c>
      <c r="G258" s="12">
        <v>49.4</v>
      </c>
      <c r="H258" s="12">
        <v>446113.99</v>
      </c>
      <c r="I258" s="12">
        <v>51335.79</v>
      </c>
      <c r="J258" s="12">
        <v>5866.21</v>
      </c>
      <c r="K258" s="12">
        <v>57175.8</v>
      </c>
      <c r="L258" s="12">
        <v>76164.399999999994</v>
      </c>
    </row>
    <row r="259" spans="1:12">
      <c r="A259" s="12" t="s">
        <v>301</v>
      </c>
      <c r="B259" s="12">
        <v>30896</v>
      </c>
      <c r="C259" s="12">
        <v>3302.96</v>
      </c>
      <c r="D259" s="12">
        <v>2118.2600000000002</v>
      </c>
      <c r="E259" s="12">
        <v>304.94</v>
      </c>
      <c r="F259" s="12">
        <v>13.8</v>
      </c>
      <c r="G259" s="12">
        <v>53.91</v>
      </c>
      <c r="H259" s="12">
        <v>407544.16</v>
      </c>
      <c r="I259" s="12">
        <v>51200.67</v>
      </c>
      <c r="J259" s="12">
        <v>5192.42</v>
      </c>
      <c r="K259" s="12">
        <v>54824.51</v>
      </c>
      <c r="L259" s="12">
        <v>82685.960000000006</v>
      </c>
    </row>
    <row r="260" spans="1:12">
      <c r="A260" s="12" t="s">
        <v>302</v>
      </c>
      <c r="B260" s="12">
        <v>33161</v>
      </c>
      <c r="C260" s="12">
        <v>5029.58</v>
      </c>
      <c r="D260" s="12">
        <v>1810.76</v>
      </c>
      <c r="E260" s="12">
        <v>405.64</v>
      </c>
      <c r="F260" s="12">
        <v>13.3</v>
      </c>
      <c r="G260" s="12">
        <v>43.2</v>
      </c>
      <c r="H260" s="12">
        <v>412881.14</v>
      </c>
      <c r="I260" s="12">
        <v>51769.43</v>
      </c>
      <c r="J260" s="12">
        <v>5230.8</v>
      </c>
      <c r="K260" s="12">
        <v>54825.09</v>
      </c>
      <c r="L260" s="12">
        <v>83648.61</v>
      </c>
    </row>
    <row r="261" spans="1:12">
      <c r="A261" s="12" t="s">
        <v>303</v>
      </c>
      <c r="B261" s="12">
        <v>32940</v>
      </c>
      <c r="C261" s="12">
        <v>4599.7700000000004</v>
      </c>
      <c r="D261" s="12">
        <v>4093.69</v>
      </c>
      <c r="E261" s="12">
        <v>418.14</v>
      </c>
      <c r="F261" s="12">
        <v>13.49</v>
      </c>
      <c r="G261" s="12">
        <v>68.209999999999994</v>
      </c>
      <c r="H261" s="12">
        <v>408765.1</v>
      </c>
      <c r="I261" s="12">
        <v>51232.14</v>
      </c>
      <c r="J261" s="12">
        <v>5391.13</v>
      </c>
      <c r="K261" s="12">
        <v>54773.23</v>
      </c>
      <c r="L261" s="12">
        <v>81959.08</v>
      </c>
    </row>
    <row r="262" spans="1:12">
      <c r="A262" s="12" t="s">
        <v>304</v>
      </c>
      <c r="B262" s="12">
        <v>31252</v>
      </c>
      <c r="C262" s="12">
        <v>2914.65</v>
      </c>
      <c r="D262" s="12">
        <v>3247.35</v>
      </c>
      <c r="E262" s="12">
        <v>413.63</v>
      </c>
      <c r="F262" s="12">
        <v>13.7</v>
      </c>
      <c r="G262" s="12">
        <v>130.6</v>
      </c>
      <c r="H262" s="12">
        <v>388717.2</v>
      </c>
      <c r="I262" s="12">
        <v>52120.25</v>
      </c>
      <c r="J262" s="12">
        <v>5434.64</v>
      </c>
      <c r="K262" s="12">
        <v>54326.3</v>
      </c>
      <c r="L262" s="12">
        <v>90705.79</v>
      </c>
    </row>
    <row r="263" spans="1:12">
      <c r="A263" s="12" t="s">
        <v>305</v>
      </c>
      <c r="B263" s="12">
        <v>34001</v>
      </c>
      <c r="C263" s="12">
        <v>3052.69</v>
      </c>
      <c r="D263" s="12">
        <v>3349.22</v>
      </c>
      <c r="E263" s="12">
        <v>399.16</v>
      </c>
      <c r="F263" s="12">
        <v>14.01</v>
      </c>
      <c r="G263" s="12">
        <v>125.43</v>
      </c>
      <c r="H263" s="12">
        <v>399018.06</v>
      </c>
      <c r="I263" s="12">
        <v>51532.01</v>
      </c>
      <c r="J263" s="12">
        <v>6362.96</v>
      </c>
      <c r="K263" s="12">
        <v>54190.22</v>
      </c>
      <c r="L263" s="12">
        <v>84775.039999999994</v>
      </c>
    </row>
    <row r="264" spans="1:12">
      <c r="A264" s="12" t="s">
        <v>306</v>
      </c>
      <c r="B264" s="12">
        <v>33655</v>
      </c>
      <c r="C264" s="12">
        <v>2860.44</v>
      </c>
      <c r="D264" s="12">
        <v>4098.4799999999996</v>
      </c>
      <c r="E264" s="12">
        <v>429.78</v>
      </c>
      <c r="F264" s="12">
        <v>14.67</v>
      </c>
      <c r="G264" s="12">
        <v>112.09</v>
      </c>
      <c r="H264" s="12">
        <v>402238.38</v>
      </c>
      <c r="I264" s="12">
        <v>52755.8</v>
      </c>
      <c r="J264" s="12">
        <v>6874.17</v>
      </c>
      <c r="K264" s="12">
        <v>54018.76</v>
      </c>
      <c r="L264" s="12">
        <v>82455.600000000006</v>
      </c>
    </row>
    <row r="265" spans="1:12">
      <c r="A265" s="12" t="s">
        <v>307</v>
      </c>
      <c r="B265" s="12">
        <v>31976</v>
      </c>
      <c r="C265" s="12">
        <v>3028.27</v>
      </c>
      <c r="D265" s="12">
        <v>3189.41</v>
      </c>
      <c r="E265" s="12">
        <v>435.9</v>
      </c>
      <c r="F265" s="12">
        <v>14.13</v>
      </c>
      <c r="G265" s="12">
        <v>79.62</v>
      </c>
      <c r="H265" s="12">
        <v>399470.06</v>
      </c>
      <c r="I265" s="12">
        <v>53085.41</v>
      </c>
      <c r="J265" s="12">
        <v>7214.67</v>
      </c>
      <c r="K265" s="12">
        <v>53983.3</v>
      </c>
      <c r="L265" s="12">
        <v>87263.44</v>
      </c>
    </row>
    <row r="266" spans="1:12">
      <c r="A266" s="12" t="s">
        <v>308</v>
      </c>
      <c r="B266" s="12">
        <v>34159</v>
      </c>
      <c r="C266" s="12">
        <v>3039.79</v>
      </c>
      <c r="D266" s="12">
        <v>2373.8200000000002</v>
      </c>
      <c r="E266" s="12">
        <v>443.49</v>
      </c>
      <c r="F266" s="12">
        <v>14.28</v>
      </c>
      <c r="G266" s="12">
        <v>34.369999999999997</v>
      </c>
      <c r="H266" s="12">
        <v>393162.6</v>
      </c>
      <c r="I266" s="12">
        <v>52228.07</v>
      </c>
      <c r="J266" s="12">
        <v>8022.99</v>
      </c>
      <c r="K266" s="12">
        <v>54455.87</v>
      </c>
      <c r="L266" s="12">
        <v>79898.03</v>
      </c>
    </row>
    <row r="267" spans="1:12">
      <c r="A267" s="12" t="s">
        <v>309</v>
      </c>
      <c r="B267" s="12">
        <v>32646</v>
      </c>
      <c r="C267" s="12">
        <v>4223.99</v>
      </c>
      <c r="D267" s="12">
        <v>4286.83</v>
      </c>
      <c r="E267" s="12">
        <v>460.88</v>
      </c>
      <c r="F267" s="12">
        <v>14.96</v>
      </c>
      <c r="G267" s="12">
        <v>36.950000000000003</v>
      </c>
      <c r="H267" s="12">
        <v>386650.19</v>
      </c>
      <c r="I267" s="12">
        <v>52476.23</v>
      </c>
      <c r="J267" s="12">
        <v>8584.74</v>
      </c>
      <c r="K267" s="12">
        <v>54458.44</v>
      </c>
      <c r="L267" s="12">
        <v>81585.47</v>
      </c>
    </row>
    <row r="268" spans="1:12">
      <c r="A268" s="12" t="s">
        <v>310</v>
      </c>
      <c r="B268" s="12">
        <v>30630</v>
      </c>
      <c r="C268" s="12">
        <v>3171.35</v>
      </c>
      <c r="D268" s="12">
        <v>3107.81</v>
      </c>
      <c r="E268" s="12">
        <v>452.47</v>
      </c>
      <c r="F268" s="12">
        <v>14.14</v>
      </c>
      <c r="G268" s="12">
        <v>41.81</v>
      </c>
      <c r="H268" s="12">
        <v>381031.98</v>
      </c>
      <c r="I268" s="12">
        <v>53133.36</v>
      </c>
      <c r="J268" s="12">
        <v>9480.8700000000008</v>
      </c>
      <c r="K268" s="12">
        <v>54904.63</v>
      </c>
      <c r="L268" s="12">
        <v>77363.039999999994</v>
      </c>
    </row>
    <row r="269" spans="1:12">
      <c r="A269" s="12" t="s">
        <v>311</v>
      </c>
      <c r="B269" s="12">
        <v>29780</v>
      </c>
      <c r="C269" s="12">
        <v>2595.08</v>
      </c>
      <c r="D269" s="12">
        <v>3979.07</v>
      </c>
      <c r="E269" s="12">
        <v>402.91</v>
      </c>
      <c r="F269" s="12">
        <v>14.83</v>
      </c>
      <c r="G269" s="12">
        <v>42.77</v>
      </c>
      <c r="H269" s="12">
        <v>384805.98</v>
      </c>
      <c r="I269" s="12">
        <v>52911.19</v>
      </c>
      <c r="J269" s="12">
        <v>10073.32</v>
      </c>
      <c r="K269" s="12">
        <v>55644.65</v>
      </c>
      <c r="L269" s="12">
        <v>75159.149999999994</v>
      </c>
    </row>
    <row r="270" spans="1:12">
      <c r="A270" s="12" t="s">
        <v>312</v>
      </c>
      <c r="B270" s="12">
        <v>31476</v>
      </c>
      <c r="C270" s="12">
        <v>2742.87</v>
      </c>
      <c r="D270" s="12">
        <v>3830.96</v>
      </c>
      <c r="E270" s="12">
        <v>406.08</v>
      </c>
      <c r="F270" s="12">
        <v>13.44</v>
      </c>
      <c r="G270" s="12">
        <v>38.4</v>
      </c>
      <c r="H270" s="12">
        <v>407908.76</v>
      </c>
      <c r="I270" s="12">
        <v>53778.7</v>
      </c>
      <c r="J270" s="12">
        <v>11086.32</v>
      </c>
      <c r="K270" s="12">
        <v>57131.48</v>
      </c>
      <c r="L270" s="12">
        <v>68265.06</v>
      </c>
    </row>
    <row r="271" spans="1:12">
      <c r="A271" s="12" t="s">
        <v>313</v>
      </c>
      <c r="B271" s="12">
        <v>30401</v>
      </c>
      <c r="C271" s="12">
        <v>2604.98</v>
      </c>
      <c r="D271" s="12">
        <v>3430.67</v>
      </c>
      <c r="E271" s="12">
        <v>451.97</v>
      </c>
      <c r="F271" s="12">
        <v>13.43</v>
      </c>
      <c r="G271" s="12">
        <v>37.74</v>
      </c>
      <c r="H271" s="12">
        <v>372746.26</v>
      </c>
      <c r="I271" s="12">
        <v>55296.17</v>
      </c>
      <c r="J271" s="12">
        <v>11514.26</v>
      </c>
      <c r="K271" s="12">
        <v>55644.24</v>
      </c>
      <c r="L271" s="12">
        <v>71226.570000000007</v>
      </c>
    </row>
    <row r="272" spans="1:12">
      <c r="A272" s="12" t="s">
        <v>314</v>
      </c>
      <c r="B272" s="12">
        <v>31203</v>
      </c>
      <c r="C272" s="12">
        <v>3001.28</v>
      </c>
      <c r="D272" s="12">
        <v>3665.84</v>
      </c>
      <c r="E272" s="12">
        <v>446.53</v>
      </c>
      <c r="F272" s="12">
        <v>12.75</v>
      </c>
      <c r="G272" s="12">
        <v>113.64</v>
      </c>
      <c r="H272" s="12">
        <v>386138.34</v>
      </c>
      <c r="I272" s="12">
        <v>56840.81</v>
      </c>
      <c r="J272" s="12">
        <v>11876.22</v>
      </c>
      <c r="K272" s="12">
        <v>56186.879999999997</v>
      </c>
      <c r="L272" s="12">
        <v>69295</v>
      </c>
    </row>
    <row r="273" spans="1:12">
      <c r="A273" s="12" t="s">
        <v>315</v>
      </c>
      <c r="B273" s="12">
        <v>29847</v>
      </c>
      <c r="C273" s="12">
        <v>2705.19</v>
      </c>
      <c r="D273" s="12">
        <v>3461.63</v>
      </c>
      <c r="E273" s="12">
        <v>450.54</v>
      </c>
      <c r="F273" s="12">
        <v>13.19</v>
      </c>
      <c r="G273" s="12">
        <v>737.12</v>
      </c>
      <c r="H273" s="12">
        <v>384336.22</v>
      </c>
      <c r="I273" s="12">
        <v>56886.23</v>
      </c>
      <c r="J273" s="12">
        <v>12354.45</v>
      </c>
      <c r="K273" s="12">
        <v>56834.3</v>
      </c>
      <c r="L273" s="12">
        <v>64637.82</v>
      </c>
    </row>
    <row r="274" spans="1:12">
      <c r="A274" s="12" t="s">
        <v>316</v>
      </c>
      <c r="B274" s="12">
        <v>28396</v>
      </c>
      <c r="C274" s="12">
        <v>3484.21</v>
      </c>
      <c r="D274" s="12">
        <v>2189.9899999999998</v>
      </c>
      <c r="E274" s="12">
        <v>345.64</v>
      </c>
      <c r="F274" s="12">
        <v>12.91</v>
      </c>
      <c r="G274" s="12">
        <v>737.03</v>
      </c>
      <c r="H274" s="12">
        <v>378950.48</v>
      </c>
      <c r="I274" s="12">
        <v>58232.25</v>
      </c>
      <c r="J274" s="12">
        <v>12952.22</v>
      </c>
      <c r="K274" s="12">
        <v>57377.64</v>
      </c>
      <c r="L274" s="12">
        <v>67507.13</v>
      </c>
    </row>
    <row r="275" spans="1:12">
      <c r="A275" s="12" t="s">
        <v>317</v>
      </c>
      <c r="B275" s="12">
        <v>27800</v>
      </c>
      <c r="C275" s="12">
        <v>2818.52</v>
      </c>
      <c r="D275" s="12">
        <v>2865.33</v>
      </c>
      <c r="E275" s="12">
        <v>342.97</v>
      </c>
      <c r="F275" s="12">
        <v>13.03</v>
      </c>
      <c r="G275" s="12">
        <v>149.84</v>
      </c>
      <c r="H275" s="12">
        <v>386833.36</v>
      </c>
      <c r="I275" s="12">
        <v>59641.15</v>
      </c>
      <c r="J275" s="12">
        <v>13570.62</v>
      </c>
      <c r="K275" s="12">
        <v>57440.92</v>
      </c>
      <c r="L275" s="12">
        <v>67601.27</v>
      </c>
    </row>
    <row r="276" spans="1:12">
      <c r="A276" s="12" t="s">
        <v>318</v>
      </c>
      <c r="B276" s="12">
        <v>29147</v>
      </c>
      <c r="C276" s="12">
        <v>2491.4699999999998</v>
      </c>
      <c r="D276" s="12">
        <v>2658.04</v>
      </c>
      <c r="E276" s="12">
        <v>354.55</v>
      </c>
      <c r="F276" s="12">
        <v>12.88</v>
      </c>
      <c r="G276" s="12">
        <v>112.64</v>
      </c>
      <c r="H276" s="12">
        <v>389493.67</v>
      </c>
      <c r="I276" s="12">
        <v>59557.75</v>
      </c>
      <c r="J276" s="12">
        <v>14071.3</v>
      </c>
      <c r="K276" s="12">
        <v>57511.72</v>
      </c>
      <c r="L276" s="12">
        <v>63549.07</v>
      </c>
    </row>
    <row r="277" spans="1:12">
      <c r="A277" s="12" t="s">
        <v>319</v>
      </c>
      <c r="B277" s="12">
        <v>30350</v>
      </c>
      <c r="C277" s="12">
        <v>2659.96</v>
      </c>
      <c r="D277" s="12">
        <v>2482.66</v>
      </c>
      <c r="E277" s="12">
        <v>353.39</v>
      </c>
      <c r="F277" s="12">
        <v>13.01</v>
      </c>
      <c r="G277" s="12">
        <v>181.84</v>
      </c>
      <c r="H277" s="12">
        <v>392110.79</v>
      </c>
      <c r="I277" s="12">
        <v>60151.16</v>
      </c>
      <c r="J277" s="12">
        <v>14318.47</v>
      </c>
      <c r="K277" s="12">
        <v>57903.92</v>
      </c>
      <c r="L277" s="12">
        <v>63828.639999999999</v>
      </c>
    </row>
    <row r="278" spans="1:12">
      <c r="A278" s="12" t="s">
        <v>320</v>
      </c>
      <c r="B278" s="12">
        <v>29592</v>
      </c>
      <c r="C278" s="12">
        <v>2693.66</v>
      </c>
      <c r="D278" s="12">
        <v>1432.6</v>
      </c>
      <c r="E278" s="12">
        <v>359.08</v>
      </c>
      <c r="F278" s="12">
        <v>12.91</v>
      </c>
      <c r="G278" s="12">
        <v>87.77</v>
      </c>
      <c r="H278" s="12">
        <v>394128.38</v>
      </c>
      <c r="I278" s="12">
        <v>61180.55</v>
      </c>
      <c r="J278" s="12">
        <v>14570.58</v>
      </c>
      <c r="K278" s="12">
        <v>58370.26</v>
      </c>
      <c r="L278" s="12">
        <v>58921.760000000002</v>
      </c>
    </row>
    <row r="279" spans="1:12">
      <c r="A279" s="12" t="s">
        <v>321</v>
      </c>
      <c r="B279" s="12">
        <v>28032</v>
      </c>
      <c r="C279" s="12">
        <v>3023.64</v>
      </c>
      <c r="D279" s="12">
        <v>2937.86</v>
      </c>
      <c r="E279" s="12">
        <v>339.04</v>
      </c>
      <c r="F279" s="12">
        <v>13.14</v>
      </c>
      <c r="G279" s="12">
        <v>245.49</v>
      </c>
      <c r="H279" s="12">
        <v>383371.97</v>
      </c>
      <c r="I279" s="12">
        <v>60871.26</v>
      </c>
      <c r="J279" s="12">
        <v>15211.79</v>
      </c>
      <c r="K279" s="12">
        <v>58635.63</v>
      </c>
      <c r="L279" s="12">
        <v>57197.64</v>
      </c>
    </row>
    <row r="280" spans="1:12">
      <c r="A280" s="12" t="s">
        <v>322</v>
      </c>
      <c r="B280" s="12">
        <v>26801</v>
      </c>
      <c r="C280" s="12">
        <v>2734.61</v>
      </c>
      <c r="D280" s="12">
        <v>3586.47</v>
      </c>
      <c r="E280" s="12">
        <v>340.2</v>
      </c>
      <c r="F280" s="12">
        <v>13.48</v>
      </c>
      <c r="G280" s="12">
        <v>101.56</v>
      </c>
      <c r="H280" s="12">
        <v>379614.08</v>
      </c>
      <c r="I280" s="12">
        <v>60740.07</v>
      </c>
      <c r="J280" s="12">
        <v>15271.17</v>
      </c>
      <c r="K280" s="12">
        <v>59571.839999999997</v>
      </c>
      <c r="L280" s="12">
        <v>58323.43</v>
      </c>
    </row>
    <row r="281" spans="1:12">
      <c r="A281" s="12" t="s">
        <v>323</v>
      </c>
      <c r="B281" s="12">
        <v>28255</v>
      </c>
      <c r="C281" s="12">
        <v>3007.13</v>
      </c>
      <c r="D281" s="12">
        <v>2136.64</v>
      </c>
      <c r="E281" s="12">
        <v>340.5</v>
      </c>
      <c r="F281" s="12">
        <v>13.55</v>
      </c>
      <c r="G281" s="12">
        <v>336.64</v>
      </c>
      <c r="H281" s="12">
        <v>384685.65</v>
      </c>
      <c r="I281" s="12">
        <v>61541.55</v>
      </c>
      <c r="J281" s="12">
        <v>15984.36</v>
      </c>
      <c r="K281" s="12">
        <v>60683.39</v>
      </c>
      <c r="L281" s="12">
        <v>54194.64</v>
      </c>
    </row>
    <row r="282" spans="1:12">
      <c r="A282" s="12" t="s">
        <v>324</v>
      </c>
      <c r="B282" s="12">
        <v>27861</v>
      </c>
      <c r="C282" s="12">
        <v>2031.32</v>
      </c>
      <c r="D282" s="12">
        <v>3274.31</v>
      </c>
      <c r="E282" s="12">
        <v>353.67</v>
      </c>
      <c r="F282" s="12">
        <v>14.01</v>
      </c>
      <c r="G282" s="12">
        <v>460.17</v>
      </c>
      <c r="H282" s="12">
        <v>384913.01</v>
      </c>
      <c r="I282" s="12">
        <v>62471.15</v>
      </c>
      <c r="J282" s="12">
        <v>16651.66</v>
      </c>
      <c r="K282" s="12">
        <v>61189</v>
      </c>
      <c r="L282" s="12">
        <v>50294.2</v>
      </c>
    </row>
    <row r="283" spans="1:12">
      <c r="A283" s="12" t="s">
        <v>325</v>
      </c>
      <c r="B283" s="12">
        <v>29851</v>
      </c>
      <c r="C283" s="12">
        <v>2183.6799999999998</v>
      </c>
      <c r="D283" s="12">
        <v>2456.7199999999998</v>
      </c>
      <c r="E283" s="12">
        <v>342.21</v>
      </c>
      <c r="F283" s="12">
        <v>14.62</v>
      </c>
      <c r="G283" s="12">
        <v>510.54</v>
      </c>
      <c r="H283" s="12">
        <v>351811.35</v>
      </c>
      <c r="I283" s="12">
        <v>62784.03</v>
      </c>
      <c r="J283" s="12">
        <v>17172.009999999998</v>
      </c>
      <c r="K283" s="12">
        <v>60050.79</v>
      </c>
      <c r="L283" s="12">
        <v>56504.3</v>
      </c>
    </row>
    <row r="284" spans="1:12">
      <c r="A284" s="12" t="s">
        <v>326</v>
      </c>
      <c r="B284" s="12">
        <v>30517</v>
      </c>
      <c r="C284" s="12">
        <v>1838.53</v>
      </c>
      <c r="D284" s="12">
        <v>1927.9</v>
      </c>
      <c r="E284" s="12">
        <v>337.28</v>
      </c>
      <c r="F284" s="12">
        <v>13.3</v>
      </c>
      <c r="G284" s="12">
        <v>331.39</v>
      </c>
      <c r="H284" s="12">
        <v>360480.19</v>
      </c>
      <c r="I284" s="12">
        <v>64065.56</v>
      </c>
      <c r="J284" s="12">
        <v>17699.04</v>
      </c>
      <c r="K284" s="12">
        <v>60517.42</v>
      </c>
      <c r="L284" s="12">
        <v>54883.32</v>
      </c>
    </row>
    <row r="285" spans="1:12">
      <c r="A285" s="12" t="s">
        <v>327</v>
      </c>
      <c r="B285" s="12">
        <v>30149</v>
      </c>
      <c r="C285" s="12">
        <v>2165.64</v>
      </c>
      <c r="D285" s="12">
        <v>2215.06</v>
      </c>
      <c r="E285" s="12">
        <v>334.66</v>
      </c>
      <c r="F285" s="12">
        <v>13.23</v>
      </c>
      <c r="G285" s="12">
        <v>251.79</v>
      </c>
      <c r="H285" s="12">
        <v>353690.04</v>
      </c>
      <c r="I285" s="12">
        <v>64711.63</v>
      </c>
      <c r="J285" s="12">
        <v>18086.52</v>
      </c>
      <c r="K285" s="12">
        <v>60031.5</v>
      </c>
      <c r="L285" s="12">
        <v>55029.94</v>
      </c>
    </row>
    <row r="286" spans="1:12">
      <c r="A286" s="12" t="s">
        <v>328</v>
      </c>
      <c r="B286" s="12">
        <v>31789</v>
      </c>
      <c r="C286" s="12">
        <v>2424.4499999999998</v>
      </c>
      <c r="D286" s="12">
        <v>2168.7199999999998</v>
      </c>
      <c r="E286" s="12">
        <v>314.85000000000002</v>
      </c>
      <c r="F286" s="12">
        <v>14.34</v>
      </c>
      <c r="G286" s="12">
        <v>295.64999999999998</v>
      </c>
      <c r="H286" s="12">
        <v>345230.27</v>
      </c>
      <c r="I286" s="12">
        <v>65615.47</v>
      </c>
      <c r="J286" s="12">
        <v>18332.650000000001</v>
      </c>
      <c r="K286" s="12">
        <v>59864.45</v>
      </c>
      <c r="L286" s="12">
        <v>58127.7</v>
      </c>
    </row>
    <row r="287" spans="1:12">
      <c r="A287" s="12" t="s">
        <v>329</v>
      </c>
      <c r="B287" s="12">
        <v>31246</v>
      </c>
      <c r="C287" s="12">
        <v>3468.17</v>
      </c>
      <c r="D287" s="12">
        <v>2226.23</v>
      </c>
      <c r="E287" s="12">
        <v>313.31</v>
      </c>
      <c r="F287" s="12">
        <v>15.08</v>
      </c>
      <c r="G287" s="12">
        <v>451.86</v>
      </c>
      <c r="H287" s="12">
        <v>357325.08</v>
      </c>
      <c r="I287" s="12">
        <v>65738.03</v>
      </c>
      <c r="J287" s="12">
        <v>18685.64</v>
      </c>
      <c r="K287" s="12">
        <v>59561.04</v>
      </c>
      <c r="L287" s="12">
        <v>57052.38</v>
      </c>
    </row>
    <row r="288" spans="1:12">
      <c r="A288" s="12" t="s">
        <v>330</v>
      </c>
      <c r="B288" s="12">
        <v>32738</v>
      </c>
      <c r="C288" s="12">
        <v>2697.43</v>
      </c>
      <c r="D288" s="12">
        <v>3171.53</v>
      </c>
      <c r="E288" s="12">
        <v>301.51</v>
      </c>
      <c r="F288" s="12">
        <v>14.17</v>
      </c>
      <c r="G288" s="12">
        <v>477.39</v>
      </c>
      <c r="H288" s="12">
        <v>364384.07</v>
      </c>
      <c r="I288" s="12">
        <v>67546.539999999994</v>
      </c>
      <c r="J288" s="12">
        <v>18966.95</v>
      </c>
      <c r="K288" s="12">
        <v>59186.32</v>
      </c>
      <c r="L288" s="12">
        <v>54511.93</v>
      </c>
    </row>
    <row r="289" spans="1:12">
      <c r="A289" s="12" t="s">
        <v>331</v>
      </c>
      <c r="B289" s="12">
        <v>32412</v>
      </c>
      <c r="C289" s="12">
        <v>2137.58</v>
      </c>
      <c r="D289" s="12">
        <v>3426.97</v>
      </c>
      <c r="E289" s="12">
        <v>304.25</v>
      </c>
      <c r="F289" s="12">
        <v>14.54</v>
      </c>
      <c r="G289" s="12">
        <v>615.87</v>
      </c>
      <c r="H289" s="12">
        <v>352596.42</v>
      </c>
      <c r="I289" s="12">
        <v>68926.559999999998</v>
      </c>
      <c r="J289" s="12">
        <v>18984.98</v>
      </c>
      <c r="K289" s="12">
        <v>59262.239999999998</v>
      </c>
      <c r="L289" s="12">
        <v>58717.63</v>
      </c>
    </row>
    <row r="290" spans="1:12">
      <c r="A290" s="12" t="s">
        <v>332</v>
      </c>
      <c r="B290" s="12">
        <v>29618</v>
      </c>
      <c r="C290" s="12">
        <v>2296.7399999999998</v>
      </c>
      <c r="D290" s="12">
        <v>3514.41</v>
      </c>
      <c r="E290" s="12">
        <v>308.37</v>
      </c>
      <c r="F290" s="12">
        <v>14.33</v>
      </c>
      <c r="G290" s="12">
        <v>445.39</v>
      </c>
      <c r="H290" s="12">
        <v>351635.74</v>
      </c>
      <c r="I290" s="12">
        <v>70154.59</v>
      </c>
      <c r="J290" s="12">
        <v>20186.849999999999</v>
      </c>
      <c r="K290" s="12">
        <v>59389.32</v>
      </c>
      <c r="L290" s="12">
        <v>60713.13</v>
      </c>
    </row>
    <row r="291" spans="1:12">
      <c r="A291" s="12" t="s">
        <v>333</v>
      </c>
      <c r="B291" s="12">
        <v>26753</v>
      </c>
      <c r="C291" s="12">
        <v>1855.41</v>
      </c>
      <c r="D291" s="12">
        <v>5582.78</v>
      </c>
      <c r="E291" s="12">
        <v>308.31</v>
      </c>
      <c r="F291" s="12">
        <v>15.5</v>
      </c>
      <c r="G291" s="12">
        <v>321.04000000000002</v>
      </c>
      <c r="H291" s="12">
        <v>342198.72</v>
      </c>
      <c r="I291" s="12">
        <v>71772.98</v>
      </c>
      <c r="J291" s="12">
        <v>20988.71</v>
      </c>
      <c r="K291" s="12">
        <v>59337.19</v>
      </c>
      <c r="L291" s="12">
        <v>64479.13</v>
      </c>
    </row>
    <row r="292" spans="1:12">
      <c r="A292" s="12" t="s">
        <v>334</v>
      </c>
      <c r="B292" s="12">
        <v>26535</v>
      </c>
      <c r="C292" s="12">
        <v>1416.61</v>
      </c>
      <c r="D292" s="12">
        <v>5854.89</v>
      </c>
      <c r="E292" s="12">
        <v>308.08</v>
      </c>
      <c r="F292" s="12">
        <v>15.53</v>
      </c>
      <c r="G292" s="12">
        <v>295.49</v>
      </c>
      <c r="H292" s="12">
        <v>338433.02</v>
      </c>
      <c r="I292" s="12">
        <v>73352.91</v>
      </c>
      <c r="J292" s="12">
        <v>21550.38</v>
      </c>
      <c r="K292" s="12">
        <v>59908.76</v>
      </c>
      <c r="L292" s="12">
        <v>69037.16</v>
      </c>
    </row>
    <row r="293" spans="1:12">
      <c r="A293" s="12" t="s">
        <v>335</v>
      </c>
      <c r="B293" s="12">
        <v>24813</v>
      </c>
      <c r="C293" s="12">
        <v>1402.36</v>
      </c>
      <c r="D293" s="12">
        <v>6037.98</v>
      </c>
      <c r="E293" s="12">
        <v>299.52</v>
      </c>
      <c r="F293" s="12">
        <v>14.92</v>
      </c>
      <c r="G293" s="12">
        <v>275.8</v>
      </c>
      <c r="H293" s="12">
        <v>349442.35</v>
      </c>
      <c r="I293" s="12">
        <v>75705.81</v>
      </c>
      <c r="J293" s="12">
        <v>22544.47</v>
      </c>
      <c r="K293" s="12">
        <v>60832.05</v>
      </c>
      <c r="L293" s="12">
        <v>61320.41</v>
      </c>
    </row>
    <row r="294" spans="1:12">
      <c r="A294" s="16" t="s">
        <v>336</v>
      </c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</row>
    <row r="295" spans="1:12">
      <c r="A295" s="17" t="s">
        <v>337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  <row r="296" spans="1:12">
      <c r="A296" s="18" t="s">
        <v>338</v>
      </c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</row>
    <row r="297" spans="1:12">
      <c r="A297" s="17" t="s">
        <v>339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</row>
    <row r="298" spans="1:12">
      <c r="A298" s="18" t="s">
        <v>340</v>
      </c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</row>
    <row r="299" spans="1:12">
      <c r="A299" s="17" t="s">
        <v>341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</row>
    <row r="300" spans="1:12">
      <c r="A300" s="18" t="s">
        <v>342</v>
      </c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</row>
    <row r="301" spans="1:12">
      <c r="A301" s="17" t="s">
        <v>343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</row>
    <row r="302" spans="1:12">
      <c r="A302" s="18" t="s">
        <v>344</v>
      </c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</row>
    <row r="303" spans="1:12">
      <c r="A303" s="17" t="s">
        <v>345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</row>
    <row r="304" spans="1:12">
      <c r="A304" s="18" t="s">
        <v>346</v>
      </c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</row>
    <row r="305" spans="1:12">
      <c r="A305" s="17" t="s">
        <v>347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</row>
    <row r="306" spans="1:12">
      <c r="A306" s="18" t="s">
        <v>348</v>
      </c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</row>
    <row r="307" spans="1:12">
      <c r="A307" s="17" t="s">
        <v>349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</row>
    <row r="308" spans="1:12">
      <c r="A308" s="18" t="s">
        <v>350</v>
      </c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</row>
    <row r="309" spans="1:12">
      <c r="A309" s="17" t="s">
        <v>351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</row>
    <row r="310" spans="1:12">
      <c r="A310" s="18" t="s">
        <v>352</v>
      </c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</row>
    <row r="311" spans="1:12">
      <c r="A311" s="17" t="s">
        <v>353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</row>
    <row r="312" spans="1:12">
      <c r="A312" s="18" t="s">
        <v>354</v>
      </c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</row>
    <row r="313" spans="1:12">
      <c r="A313" s="17" t="s">
        <v>355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</row>
    <row r="314" spans="1:12">
      <c r="A314" s="18" t="s">
        <v>356</v>
      </c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</row>
    <row r="315" spans="1:12">
      <c r="A315" s="17" t="s">
        <v>357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</row>
    <row r="316" spans="1:12">
      <c r="A316" s="18" t="s">
        <v>358</v>
      </c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</row>
    <row r="317" spans="1:12">
      <c r="A317" s="17" t="s">
        <v>359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</row>
    <row r="318" spans="1:12">
      <c r="A318" s="18" t="s">
        <v>360</v>
      </c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</row>
    <row r="319" spans="1:12">
      <c r="A319" s="17" t="s">
        <v>361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</row>
    <row r="320" spans="1:12">
      <c r="A320" s="18" t="s">
        <v>362</v>
      </c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</row>
    <row r="321" spans="1:12">
      <c r="A321" s="17" t="s">
        <v>363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</row>
    <row r="322" spans="1:12">
      <c r="A322" s="18" t="s">
        <v>364</v>
      </c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</row>
    <row r="323" spans="1:12">
      <c r="A323" s="17" t="s">
        <v>365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</row>
    <row r="324" spans="1:12">
      <c r="A324" s="18" t="s">
        <v>366</v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</row>
    <row r="325" spans="1:12">
      <c r="A325" s="17" t="s">
        <v>367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</row>
    <row r="326" spans="1:12">
      <c r="A326" s="18" t="s">
        <v>368</v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</row>
    <row r="327" spans="1:12">
      <c r="A327" s="17" t="s">
        <v>369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</row>
    <row r="328" spans="1:12">
      <c r="A328" s="18" t="s">
        <v>370</v>
      </c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</row>
    <row r="329" spans="1:12">
      <c r="A329" s="17" t="s">
        <v>371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</row>
    <row r="330" spans="1:12">
      <c r="A330" s="18" t="s">
        <v>372</v>
      </c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</row>
  </sheetData>
  <mergeCells count="2">
    <mergeCell ref="B1:G1"/>
    <mergeCell ref="H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806D-F306-0248-BC4F-9E4B573F4E36}">
  <dimension ref="A1:F330"/>
  <sheetViews>
    <sheetView zoomScale="283" workbookViewId="0">
      <selection activeCell="G2" sqref="G1:G1048576"/>
    </sheetView>
  </sheetViews>
  <sheetFormatPr baseColWidth="10" defaultRowHeight="15"/>
  <sheetData>
    <row r="1" spans="1:6">
      <c r="B1" s="22" t="s">
        <v>37</v>
      </c>
      <c r="C1" s="22"/>
      <c r="D1" s="22"/>
      <c r="E1" s="22" t="s">
        <v>38</v>
      </c>
      <c r="F1" s="22"/>
    </row>
    <row r="2" spans="1:6" ht="28">
      <c r="A2" s="5" t="s">
        <v>22</v>
      </c>
      <c r="B2" s="1" t="s">
        <v>39</v>
      </c>
      <c r="C2" s="1" t="s">
        <v>40</v>
      </c>
      <c r="D2" s="1" t="s">
        <v>373</v>
      </c>
      <c r="E2" s="1" t="s">
        <v>40</v>
      </c>
      <c r="F2" s="1" t="s">
        <v>373</v>
      </c>
    </row>
    <row r="3" spans="1:6">
      <c r="A3" s="3">
        <v>45016</v>
      </c>
      <c r="B3" s="12">
        <v>35989.79</v>
      </c>
      <c r="C3" s="12">
        <v>11037.21</v>
      </c>
      <c r="D3" s="12">
        <f>Depositi!D3+Depositi!E3+Depositi!F3</f>
        <v>17902.3</v>
      </c>
      <c r="E3" s="12">
        <v>1368647.97</v>
      </c>
      <c r="F3" s="12">
        <f>Depositi!I3+Depositi!J3+Depositi!K3</f>
        <v>535815.21</v>
      </c>
    </row>
    <row r="4" spans="1:6">
      <c r="A4" s="3">
        <v>44985</v>
      </c>
      <c r="B4" s="12">
        <v>38129.120000000003</v>
      </c>
      <c r="C4" s="12">
        <v>11049.74</v>
      </c>
      <c r="D4" s="12">
        <f>Depositi!D4+Depositi!E4+Depositi!F4</f>
        <v>17191.72</v>
      </c>
      <c r="E4" s="12">
        <v>1384106.76</v>
      </c>
      <c r="F4" s="12">
        <f>Depositi!I4+Depositi!J4+Depositi!K4</f>
        <v>528342.05000000005</v>
      </c>
    </row>
    <row r="5" spans="1:6">
      <c r="A5" s="3">
        <v>44954</v>
      </c>
      <c r="B5" s="12">
        <v>38879.93</v>
      </c>
      <c r="C5" s="12">
        <v>11342.6</v>
      </c>
      <c r="D5" s="12">
        <f>Depositi!D5+Depositi!E5+Depositi!F5</f>
        <v>17154.59</v>
      </c>
      <c r="E5" s="12">
        <v>1402724.74</v>
      </c>
      <c r="F5" s="12">
        <f>Depositi!I5+Depositi!J5+Depositi!K5</f>
        <v>521351.69999999995</v>
      </c>
    </row>
    <row r="6" spans="1:6">
      <c r="A6" s="3">
        <v>44923</v>
      </c>
      <c r="B6" s="12">
        <v>35834.57</v>
      </c>
      <c r="C6" s="12">
        <v>10166.48</v>
      </c>
      <c r="D6" s="12">
        <f>Depositi!D6+Depositi!E6+Depositi!F6</f>
        <v>16907.439999999999</v>
      </c>
      <c r="E6" s="12">
        <v>1458154.97</v>
      </c>
      <c r="F6" s="12">
        <f>Depositi!I6+Depositi!J6+Depositi!K6</f>
        <v>518927.29</v>
      </c>
    </row>
    <row r="7" spans="1:6">
      <c r="A7" s="3">
        <v>44893</v>
      </c>
      <c r="B7" s="12">
        <v>38217.19</v>
      </c>
      <c r="C7" s="12">
        <v>10027.31</v>
      </c>
      <c r="D7" s="12">
        <f>Depositi!D7+Depositi!E7+Depositi!F7</f>
        <v>16108.6</v>
      </c>
      <c r="E7" s="12">
        <v>1424559.66</v>
      </c>
      <c r="F7" s="12">
        <f>Depositi!I7+Depositi!J7+Depositi!K7</f>
        <v>498904.30000000005</v>
      </c>
    </row>
    <row r="8" spans="1:6">
      <c r="A8" s="3">
        <v>44862</v>
      </c>
      <c r="B8" s="12">
        <v>37538.660000000003</v>
      </c>
      <c r="C8" s="12">
        <v>11757.18</v>
      </c>
      <c r="D8" s="12">
        <f>Depositi!D8+Depositi!E8+Depositi!F8</f>
        <v>15755.939999999999</v>
      </c>
      <c r="E8" s="12">
        <v>1452489.54</v>
      </c>
      <c r="F8" s="12">
        <f>Depositi!I8+Depositi!J8+Depositi!K8</f>
        <v>494176.67000000004</v>
      </c>
    </row>
    <row r="9" spans="1:6">
      <c r="A9" s="3">
        <v>44832</v>
      </c>
      <c r="B9" s="12">
        <v>38011</v>
      </c>
      <c r="C9" s="12">
        <v>13162.5</v>
      </c>
      <c r="D9" s="12">
        <f>Depositi!D9+Depositi!E9+Depositi!F9</f>
        <v>15710.789999999999</v>
      </c>
      <c r="E9" s="12">
        <v>1461204.21</v>
      </c>
      <c r="F9" s="12">
        <f>Depositi!I9+Depositi!J9+Depositi!K9</f>
        <v>493585.58</v>
      </c>
    </row>
    <row r="10" spans="1:6">
      <c r="A10" s="3">
        <v>44801</v>
      </c>
      <c r="B10" s="12">
        <v>37571</v>
      </c>
      <c r="C10" s="12">
        <v>10607.8</v>
      </c>
      <c r="D10" s="12">
        <f>Depositi!D10+Depositi!E10+Depositi!F10</f>
        <v>15176.660000000002</v>
      </c>
      <c r="E10" s="12">
        <v>1474819.13</v>
      </c>
      <c r="F10" s="12">
        <f>Depositi!I10+Depositi!J10+Depositi!K10</f>
        <v>492814.76</v>
      </c>
    </row>
    <row r="11" spans="1:6">
      <c r="A11" s="3">
        <v>44770</v>
      </c>
      <c r="B11" s="12">
        <v>37178</v>
      </c>
      <c r="C11" s="12">
        <v>12120.46</v>
      </c>
      <c r="D11" s="12">
        <f>Depositi!D11+Depositi!E11+Depositi!F11</f>
        <v>14806.6</v>
      </c>
      <c r="E11" s="12">
        <v>1496775.14</v>
      </c>
      <c r="F11" s="12">
        <f>Depositi!I11+Depositi!J11+Depositi!K11</f>
        <v>494195.36</v>
      </c>
    </row>
    <row r="12" spans="1:6">
      <c r="A12" s="3">
        <v>44740</v>
      </c>
      <c r="B12" s="12">
        <v>37217</v>
      </c>
      <c r="C12" s="12">
        <v>11158.46</v>
      </c>
      <c r="D12" s="12">
        <f>Depositi!D12+Depositi!E12+Depositi!F12</f>
        <v>14755.21</v>
      </c>
      <c r="E12" s="12">
        <v>1465173.71</v>
      </c>
      <c r="F12" s="12">
        <f>Depositi!I12+Depositi!J12+Depositi!K12</f>
        <v>495045.9</v>
      </c>
    </row>
    <row r="13" spans="1:6">
      <c r="A13" s="3">
        <v>44709</v>
      </c>
      <c r="B13" s="12">
        <v>38696</v>
      </c>
      <c r="C13" s="12">
        <v>11192.62</v>
      </c>
      <c r="D13" s="12">
        <f>Depositi!D13+Depositi!E13+Depositi!F13</f>
        <v>14327.33</v>
      </c>
      <c r="E13" s="12">
        <v>1481261.46</v>
      </c>
      <c r="F13" s="12">
        <f>Depositi!I13+Depositi!J13+Depositi!K13</f>
        <v>497522.63</v>
      </c>
    </row>
    <row r="14" spans="1:6">
      <c r="A14" s="3">
        <v>44679</v>
      </c>
      <c r="B14" s="12">
        <v>37850</v>
      </c>
      <c r="C14" s="12">
        <v>12027.46</v>
      </c>
      <c r="D14" s="12">
        <f>Depositi!D14+Depositi!E14+Depositi!F14</f>
        <v>14504.339999999998</v>
      </c>
      <c r="E14" s="12">
        <v>1485920.94</v>
      </c>
      <c r="F14" s="12">
        <f>Depositi!I14+Depositi!J14+Depositi!K14</f>
        <v>498541.96</v>
      </c>
    </row>
    <row r="15" spans="1:6">
      <c r="A15" s="3">
        <v>44648</v>
      </c>
      <c r="B15" s="12">
        <v>38237</v>
      </c>
      <c r="C15" s="12">
        <v>12142.01</v>
      </c>
      <c r="D15" s="12">
        <f>Depositi!D15+Depositi!E15+Depositi!F15</f>
        <v>14464.929999999998</v>
      </c>
      <c r="E15" s="12">
        <v>1456926.51</v>
      </c>
      <c r="F15" s="12">
        <f>Depositi!I15+Depositi!J15+Depositi!K15</f>
        <v>498401.3</v>
      </c>
    </row>
    <row r="16" spans="1:6">
      <c r="A16" s="3">
        <v>44620</v>
      </c>
      <c r="B16" s="12">
        <v>33306</v>
      </c>
      <c r="C16" s="12">
        <v>12401.93</v>
      </c>
      <c r="D16" s="12">
        <f>Depositi!D16+Depositi!E16+Depositi!F16</f>
        <v>14310.5</v>
      </c>
      <c r="E16" s="12">
        <v>1445984.97</v>
      </c>
      <c r="F16" s="12">
        <f>Depositi!I16+Depositi!J16+Depositi!K16</f>
        <v>501072.72000000003</v>
      </c>
    </row>
    <row r="17" spans="1:6">
      <c r="A17" s="3">
        <v>44589</v>
      </c>
      <c r="B17" s="12">
        <v>33499.46</v>
      </c>
      <c r="C17" s="12">
        <v>13088.05</v>
      </c>
      <c r="D17" s="12">
        <f>Depositi!D17+Depositi!E17+Depositi!F17</f>
        <v>14071.890000000001</v>
      </c>
      <c r="E17" s="12">
        <v>1447532.64</v>
      </c>
      <c r="F17" s="12">
        <f>Depositi!I17+Depositi!J17+Depositi!K17</f>
        <v>503204.19999999995</v>
      </c>
    </row>
    <row r="18" spans="1:6">
      <c r="A18" s="3">
        <v>44558</v>
      </c>
      <c r="B18" s="12">
        <v>32321.66</v>
      </c>
      <c r="C18" s="12">
        <v>13701.56</v>
      </c>
      <c r="D18" s="12">
        <f>Depositi!D18+Depositi!E18+Depositi!F18</f>
        <v>14149.82</v>
      </c>
      <c r="E18" s="12">
        <v>1480121.47</v>
      </c>
      <c r="F18" s="12">
        <f>Depositi!I18+Depositi!J18+Depositi!K18</f>
        <v>504288.64</v>
      </c>
    </row>
    <row r="19" spans="1:6">
      <c r="A19" s="3">
        <v>44528</v>
      </c>
      <c r="B19" s="12">
        <v>32620.03</v>
      </c>
      <c r="C19" s="12">
        <v>14584.64</v>
      </c>
      <c r="D19" s="12">
        <f>Depositi!D19+Depositi!E19+Depositi!F19</f>
        <v>12854.359999999999</v>
      </c>
      <c r="E19" s="12">
        <v>1430509.19</v>
      </c>
      <c r="F19" s="12">
        <f>Depositi!I19+Depositi!J19+Depositi!K19</f>
        <v>500603.79</v>
      </c>
    </row>
    <row r="20" spans="1:6">
      <c r="A20" s="3">
        <v>44497</v>
      </c>
      <c r="B20" s="12">
        <v>33100.080000000002</v>
      </c>
      <c r="C20" s="12">
        <v>14322.32</v>
      </c>
      <c r="D20" s="12">
        <f>Depositi!D20+Depositi!E20+Depositi!F20</f>
        <v>12758.37</v>
      </c>
      <c r="E20" s="12">
        <v>1449358.26</v>
      </c>
      <c r="F20" s="12">
        <f>Depositi!I20+Depositi!J20+Depositi!K20</f>
        <v>502664.87</v>
      </c>
    </row>
    <row r="21" spans="1:6">
      <c r="A21" s="3">
        <v>44467</v>
      </c>
      <c r="B21" s="12">
        <v>32137.06</v>
      </c>
      <c r="C21" s="12">
        <v>13934.93</v>
      </c>
      <c r="D21" s="12">
        <f>Depositi!D21+Depositi!E21+Depositi!F21</f>
        <v>12754.93</v>
      </c>
      <c r="E21" s="12">
        <v>1412565.93</v>
      </c>
      <c r="F21" s="12">
        <f>Depositi!I21+Depositi!J21+Depositi!K21</f>
        <v>505313.03</v>
      </c>
    </row>
    <row r="22" spans="1:6">
      <c r="A22" s="3">
        <v>44436</v>
      </c>
      <c r="B22" s="12">
        <v>33127.410000000003</v>
      </c>
      <c r="C22" s="12">
        <v>12707.89</v>
      </c>
      <c r="D22" s="12">
        <f>Depositi!D22+Depositi!E22+Depositi!F22</f>
        <v>13229.49</v>
      </c>
      <c r="E22" s="12">
        <v>1413014.28</v>
      </c>
      <c r="F22" s="12">
        <f>Depositi!I22+Depositi!J22+Depositi!K22</f>
        <v>506217.55</v>
      </c>
    </row>
    <row r="23" spans="1:6">
      <c r="A23" s="3">
        <v>44405</v>
      </c>
      <c r="B23" s="12">
        <v>31410.91</v>
      </c>
      <c r="C23" s="12">
        <v>14582.37</v>
      </c>
      <c r="D23" s="12">
        <f>Depositi!D23+Depositi!E23+Depositi!F23</f>
        <v>13217.759999999998</v>
      </c>
      <c r="E23" s="12">
        <v>1417835.19</v>
      </c>
      <c r="F23" s="12">
        <f>Depositi!I23+Depositi!J23+Depositi!K23</f>
        <v>507851.05</v>
      </c>
    </row>
    <row r="24" spans="1:6">
      <c r="A24" s="3">
        <v>44375</v>
      </c>
      <c r="B24" s="12">
        <v>32456.46</v>
      </c>
      <c r="C24" s="12">
        <v>13299.98</v>
      </c>
      <c r="D24" s="12">
        <f>Depositi!D24+Depositi!E24+Depositi!F24</f>
        <v>13172.300000000001</v>
      </c>
      <c r="E24" s="12">
        <v>1394273.54</v>
      </c>
      <c r="F24" s="12">
        <f>Depositi!I24+Depositi!J24+Depositi!K24</f>
        <v>508220.97000000003</v>
      </c>
    </row>
    <row r="25" spans="1:6">
      <c r="A25" s="3">
        <v>44344</v>
      </c>
      <c r="B25" s="12">
        <v>31313.89</v>
      </c>
      <c r="C25" s="12">
        <v>14162.65</v>
      </c>
      <c r="D25" s="12">
        <f>Depositi!D25+Depositi!E25+Depositi!F25</f>
        <v>14418.960000000001</v>
      </c>
      <c r="E25" s="12">
        <v>1384364.4</v>
      </c>
      <c r="F25" s="12">
        <f>Depositi!I25+Depositi!J25+Depositi!K25</f>
        <v>514475.82999999996</v>
      </c>
    </row>
    <row r="26" spans="1:6">
      <c r="A26" s="3">
        <v>44314</v>
      </c>
      <c r="B26" s="12">
        <v>32034.37</v>
      </c>
      <c r="C26" s="12">
        <v>15064.81</v>
      </c>
      <c r="D26" s="12">
        <f>Depositi!D26+Depositi!E26+Depositi!F26</f>
        <v>14550.889999999998</v>
      </c>
      <c r="E26" s="12">
        <v>1374346.29</v>
      </c>
      <c r="F26" s="12">
        <f>Depositi!I26+Depositi!J26+Depositi!K26</f>
        <v>518489.57999999996</v>
      </c>
    </row>
    <row r="27" spans="1:6">
      <c r="A27" s="3">
        <v>44283</v>
      </c>
      <c r="B27" s="12">
        <v>31446.42</v>
      </c>
      <c r="C27" s="12">
        <v>14761.92</v>
      </c>
      <c r="D27" s="12">
        <f>Depositi!D27+Depositi!E27+Depositi!F27</f>
        <v>14073.519999999999</v>
      </c>
      <c r="E27" s="12">
        <v>1356622.55</v>
      </c>
      <c r="F27" s="12">
        <f>Depositi!I27+Depositi!J27+Depositi!K27</f>
        <v>516428.15</v>
      </c>
    </row>
    <row r="28" spans="1:6">
      <c r="A28" s="3">
        <v>44255</v>
      </c>
      <c r="B28" s="12">
        <v>32434.400000000001</v>
      </c>
      <c r="C28" s="12">
        <v>14234.23</v>
      </c>
      <c r="D28" s="12">
        <f>Depositi!D28+Depositi!E28+Depositi!F28</f>
        <v>14257.09</v>
      </c>
      <c r="E28" s="12">
        <v>1357508.94</v>
      </c>
      <c r="F28" s="12">
        <f>Depositi!I28+Depositi!J28+Depositi!K28</f>
        <v>517952.23</v>
      </c>
    </row>
    <row r="29" spans="1:6">
      <c r="A29" s="3">
        <v>44224</v>
      </c>
      <c r="B29" s="12">
        <v>31733.759999999998</v>
      </c>
      <c r="C29" s="12">
        <v>15294.53</v>
      </c>
      <c r="D29" s="12">
        <f>Depositi!D29+Depositi!E29+Depositi!F29</f>
        <v>14378.740000000002</v>
      </c>
      <c r="E29" s="12">
        <v>1350108.7</v>
      </c>
      <c r="F29" s="12">
        <f>Depositi!I29+Depositi!J29+Depositi!K29</f>
        <v>520321.27</v>
      </c>
    </row>
    <row r="30" spans="1:6">
      <c r="A30" s="3">
        <v>44193</v>
      </c>
      <c r="B30" s="12">
        <v>31340.11</v>
      </c>
      <c r="C30" s="12">
        <v>13155.97</v>
      </c>
      <c r="D30" s="12">
        <f>Depositi!D30+Depositi!E30+Depositi!F30</f>
        <v>14060.380000000001</v>
      </c>
      <c r="E30" s="12">
        <v>1348719.4</v>
      </c>
      <c r="F30" s="12">
        <f>Depositi!I30+Depositi!J30+Depositi!K30</f>
        <v>520122.49000000005</v>
      </c>
    </row>
    <row r="31" spans="1:6">
      <c r="A31" s="3">
        <v>44163</v>
      </c>
      <c r="B31" s="12">
        <v>32167.16</v>
      </c>
      <c r="C31" s="12">
        <v>13017.82</v>
      </c>
      <c r="D31" s="12">
        <f>Depositi!D31+Depositi!E31+Depositi!F31</f>
        <v>13948.06</v>
      </c>
      <c r="E31" s="12">
        <v>1316611.22</v>
      </c>
      <c r="F31" s="12">
        <f>Depositi!I31+Depositi!J31+Depositi!K31</f>
        <v>529043.59</v>
      </c>
    </row>
    <row r="32" spans="1:6">
      <c r="A32" s="3">
        <v>44132</v>
      </c>
      <c r="B32" s="12">
        <v>31611.22</v>
      </c>
      <c r="C32" s="12">
        <v>13409.34</v>
      </c>
      <c r="D32" s="12">
        <f>Depositi!D32+Depositi!E32+Depositi!F32</f>
        <v>13676.350000000002</v>
      </c>
      <c r="E32" s="12">
        <v>1321061.1499999999</v>
      </c>
      <c r="F32" s="12">
        <f>Depositi!I32+Depositi!J32+Depositi!K32</f>
        <v>526607.47</v>
      </c>
    </row>
    <row r="33" spans="1:6">
      <c r="A33" s="3">
        <v>44102</v>
      </c>
      <c r="B33" s="12">
        <v>33043.410000000003</v>
      </c>
      <c r="C33" s="12">
        <v>13714.58</v>
      </c>
      <c r="D33" s="12">
        <f>Depositi!D33+Depositi!E33+Depositi!F33</f>
        <v>13086.34</v>
      </c>
      <c r="E33" s="12">
        <v>1279884.48</v>
      </c>
      <c r="F33" s="12">
        <f>Depositi!I33+Depositi!J33+Depositi!K33</f>
        <v>525868.74</v>
      </c>
    </row>
    <row r="34" spans="1:6">
      <c r="A34" s="3">
        <v>44071</v>
      </c>
      <c r="B34" s="12">
        <v>31622.6</v>
      </c>
      <c r="C34" s="12">
        <v>13005.03</v>
      </c>
      <c r="D34" s="12">
        <f>Depositi!D34+Depositi!E34+Depositi!F34</f>
        <v>13030.15</v>
      </c>
      <c r="E34" s="12">
        <v>1267848.6299999999</v>
      </c>
      <c r="F34" s="12">
        <f>Depositi!I34+Depositi!J34+Depositi!K34</f>
        <v>528912.89</v>
      </c>
    </row>
    <row r="35" spans="1:6">
      <c r="A35" s="3">
        <v>44040</v>
      </c>
      <c r="B35" s="12">
        <v>37570.089999999997</v>
      </c>
      <c r="C35" s="12">
        <v>12891.54</v>
      </c>
      <c r="D35" s="12">
        <f>Depositi!D35+Depositi!E35+Depositi!F35</f>
        <v>12955.490000000002</v>
      </c>
      <c r="E35" s="12">
        <v>1256180.83</v>
      </c>
      <c r="F35" s="12">
        <f>Depositi!I35+Depositi!J35+Depositi!K35</f>
        <v>531072.97</v>
      </c>
    </row>
    <row r="36" spans="1:6">
      <c r="A36" s="3">
        <v>44010</v>
      </c>
      <c r="B36" s="12">
        <v>33686.31</v>
      </c>
      <c r="C36" s="12">
        <v>12536.46</v>
      </c>
      <c r="D36" s="12">
        <f>Depositi!D36+Depositi!E36+Depositi!F36</f>
        <v>11666.890000000001</v>
      </c>
      <c r="E36" s="12">
        <v>1231317.6100000001</v>
      </c>
      <c r="F36" s="12">
        <f>Depositi!I36+Depositi!J36+Depositi!K36</f>
        <v>532190.26</v>
      </c>
    </row>
    <row r="37" spans="1:6">
      <c r="A37" s="3">
        <v>43979</v>
      </c>
      <c r="B37" s="12">
        <v>32553.43</v>
      </c>
      <c r="C37" s="12">
        <v>12640.8</v>
      </c>
      <c r="D37" s="12">
        <f>Depositi!D37+Depositi!E37+Depositi!F37</f>
        <v>11025.170000000002</v>
      </c>
      <c r="E37" s="12">
        <v>1236492.56</v>
      </c>
      <c r="F37" s="12">
        <f>Depositi!I37+Depositi!J37+Depositi!K37</f>
        <v>522935.5</v>
      </c>
    </row>
    <row r="38" spans="1:6">
      <c r="A38" s="3">
        <v>43949</v>
      </c>
      <c r="B38" s="12">
        <v>32625.78</v>
      </c>
      <c r="C38" s="12">
        <v>11679.05</v>
      </c>
      <c r="D38" s="12">
        <f>Depositi!D38+Depositi!E38+Depositi!F38</f>
        <v>11081.73</v>
      </c>
      <c r="E38" s="12">
        <v>1220255.48</v>
      </c>
      <c r="F38" s="12">
        <f>Depositi!I38+Depositi!J38+Depositi!K38</f>
        <v>522609.82999999996</v>
      </c>
    </row>
    <row r="39" spans="1:6">
      <c r="A39" s="3">
        <v>43918</v>
      </c>
      <c r="B39" s="12">
        <v>32688.9</v>
      </c>
      <c r="C39" s="12">
        <v>10853.87</v>
      </c>
      <c r="D39" s="12">
        <f>Depositi!D39+Depositi!E39+Depositi!F39</f>
        <v>11168.26</v>
      </c>
      <c r="E39" s="12">
        <v>1204101.8600000001</v>
      </c>
      <c r="F39" s="12">
        <f>Depositi!I39+Depositi!J39+Depositi!K39</f>
        <v>522857.44999999995</v>
      </c>
    </row>
    <row r="40" spans="1:6">
      <c r="A40" s="3">
        <v>43889</v>
      </c>
      <c r="B40" s="12">
        <v>32207.1</v>
      </c>
      <c r="C40" s="12">
        <v>13069.36</v>
      </c>
      <c r="D40" s="12">
        <f>Depositi!D40+Depositi!E40+Depositi!F40</f>
        <v>11398.34</v>
      </c>
      <c r="E40" s="12">
        <v>1187514.1499999999</v>
      </c>
      <c r="F40" s="12">
        <f>Depositi!I40+Depositi!J40+Depositi!K40</f>
        <v>522634.3</v>
      </c>
    </row>
    <row r="41" spans="1:6">
      <c r="A41" s="3">
        <v>43858</v>
      </c>
      <c r="B41" s="12">
        <v>31625.58</v>
      </c>
      <c r="C41" s="12">
        <v>14473.68</v>
      </c>
      <c r="D41" s="12">
        <f>Depositi!D41+Depositi!E41+Depositi!F41</f>
        <v>11647.910000000002</v>
      </c>
      <c r="E41" s="12">
        <v>1166757.07</v>
      </c>
      <c r="F41" s="12">
        <f>Depositi!I41+Depositi!J41+Depositi!K41</f>
        <v>523499</v>
      </c>
    </row>
    <row r="42" spans="1:6">
      <c r="A42" s="3">
        <v>43827</v>
      </c>
      <c r="B42" s="12">
        <v>31616.080000000002</v>
      </c>
      <c r="C42" s="12">
        <v>13952.22</v>
      </c>
      <c r="D42" s="12">
        <f>Depositi!D42+Depositi!E42+Depositi!F42</f>
        <v>11386.41</v>
      </c>
      <c r="E42" s="12">
        <v>1182391.3</v>
      </c>
      <c r="F42" s="12">
        <f>Depositi!I42+Depositi!J42+Depositi!K42</f>
        <v>521794.85</v>
      </c>
    </row>
    <row r="43" spans="1:6">
      <c r="A43" s="3">
        <v>43797</v>
      </c>
      <c r="B43" s="12">
        <v>31501.9</v>
      </c>
      <c r="C43" s="12">
        <v>13714</v>
      </c>
      <c r="D43" s="12">
        <f>Depositi!D43+Depositi!E43+Depositi!F43</f>
        <v>9802.7200000000012</v>
      </c>
      <c r="E43" s="12">
        <v>1189858.05</v>
      </c>
      <c r="F43" s="12">
        <f>Depositi!I43+Depositi!J43+Depositi!K43</f>
        <v>521951.6</v>
      </c>
    </row>
    <row r="44" spans="1:6">
      <c r="A44" s="3">
        <v>43766</v>
      </c>
      <c r="B44" s="12">
        <v>30608.39</v>
      </c>
      <c r="C44" s="12">
        <v>14264.95</v>
      </c>
      <c r="D44" s="12">
        <f>Depositi!D44+Depositi!E44+Depositi!F44</f>
        <v>9723.2800000000007</v>
      </c>
      <c r="E44" s="12">
        <v>1171934.48</v>
      </c>
      <c r="F44" s="12">
        <f>Depositi!I44+Depositi!J44+Depositi!K44</f>
        <v>504585.52</v>
      </c>
    </row>
    <row r="45" spans="1:6">
      <c r="A45" s="3">
        <v>43736</v>
      </c>
      <c r="B45" s="12">
        <v>31993.35</v>
      </c>
      <c r="C45" s="12">
        <v>13919.08</v>
      </c>
      <c r="D45" s="12">
        <f>Depositi!D45+Depositi!E45+Depositi!F45</f>
        <v>9497.8599999999988</v>
      </c>
      <c r="E45" s="12">
        <v>1163638.6299999999</v>
      </c>
      <c r="F45" s="12">
        <f>Depositi!I45+Depositi!J45+Depositi!K45</f>
        <v>504148.96</v>
      </c>
    </row>
    <row r="46" spans="1:6">
      <c r="A46" s="3">
        <v>43705</v>
      </c>
      <c r="B46" s="12">
        <v>31453.94</v>
      </c>
      <c r="C46" s="12">
        <v>12199.3</v>
      </c>
      <c r="D46" s="12">
        <f>Depositi!D46+Depositi!E46+Depositi!F46</f>
        <v>9373.2900000000009</v>
      </c>
      <c r="E46" s="12">
        <v>1167968.8</v>
      </c>
      <c r="F46" s="12">
        <f>Depositi!I46+Depositi!J46+Depositi!K46</f>
        <v>505495.42000000004</v>
      </c>
    </row>
    <row r="47" spans="1:6">
      <c r="A47" s="3">
        <v>43674</v>
      </c>
      <c r="B47" s="12">
        <v>30287.32</v>
      </c>
      <c r="C47" s="12">
        <v>13625.5</v>
      </c>
      <c r="D47" s="12">
        <f>Depositi!D47+Depositi!E47+Depositi!F47</f>
        <v>9138.06</v>
      </c>
      <c r="E47" s="12">
        <v>1147671.28</v>
      </c>
      <c r="F47" s="12">
        <f>Depositi!I47+Depositi!J47+Depositi!K47</f>
        <v>505615.13</v>
      </c>
    </row>
    <row r="48" spans="1:6">
      <c r="A48" s="3">
        <v>43644</v>
      </c>
      <c r="B48" s="12">
        <v>30420.74</v>
      </c>
      <c r="C48" s="12">
        <v>13315.93</v>
      </c>
      <c r="D48" s="12">
        <f>Depositi!D48+Depositi!E48+Depositi!F48</f>
        <v>9144.42</v>
      </c>
      <c r="E48" s="12">
        <v>1149706.31</v>
      </c>
      <c r="F48" s="12">
        <f>Depositi!I48+Depositi!J48+Depositi!K48</f>
        <v>506044.77999999997</v>
      </c>
    </row>
    <row r="49" spans="1:6">
      <c r="A49" s="3">
        <v>43613</v>
      </c>
      <c r="B49" s="12">
        <v>31487.59</v>
      </c>
      <c r="C49" s="12">
        <v>12564.35</v>
      </c>
      <c r="D49" s="12">
        <f>Depositi!D49+Depositi!E49+Depositi!F49</f>
        <v>9272.2999999999993</v>
      </c>
      <c r="E49" s="12">
        <v>1130932.4099999999</v>
      </c>
      <c r="F49" s="12">
        <f>Depositi!I49+Depositi!J49+Depositi!K49</f>
        <v>505484.38</v>
      </c>
    </row>
    <row r="50" spans="1:6">
      <c r="A50" s="3">
        <v>43583</v>
      </c>
      <c r="B50" s="12">
        <v>31248.880000000001</v>
      </c>
      <c r="C50" s="12">
        <v>11710.01</v>
      </c>
      <c r="D50" s="12">
        <f>Depositi!D50+Depositi!E50+Depositi!F50</f>
        <v>9081.35</v>
      </c>
      <c r="E50" s="12">
        <v>1124246.03</v>
      </c>
      <c r="F50" s="12">
        <f>Depositi!I50+Depositi!J50+Depositi!K50</f>
        <v>504829.52999999997</v>
      </c>
    </row>
    <row r="51" spans="1:6">
      <c r="A51" s="3">
        <v>43552</v>
      </c>
      <c r="B51" s="12">
        <v>33271.339999999997</v>
      </c>
      <c r="C51" s="12">
        <v>12254.31</v>
      </c>
      <c r="D51" s="12">
        <f>Depositi!D51+Depositi!E51+Depositi!F51</f>
        <v>8923.43</v>
      </c>
      <c r="E51" s="12">
        <v>1122396.02</v>
      </c>
      <c r="F51" s="12">
        <f>Depositi!I51+Depositi!J51+Depositi!K51</f>
        <v>507925.45</v>
      </c>
    </row>
    <row r="52" spans="1:6">
      <c r="A52" s="3">
        <v>43524</v>
      </c>
      <c r="B52" s="12">
        <v>32796.199999999997</v>
      </c>
      <c r="C52" s="12">
        <v>10905.74</v>
      </c>
      <c r="D52" s="12">
        <f>Depositi!D52+Depositi!E52+Depositi!F52</f>
        <v>8887.7199999999993</v>
      </c>
      <c r="E52" s="12">
        <v>1097618.03</v>
      </c>
      <c r="F52" s="12">
        <f>Depositi!I52+Depositi!J52+Depositi!K52</f>
        <v>508368.39</v>
      </c>
    </row>
    <row r="53" spans="1:6">
      <c r="A53" s="3">
        <v>43493</v>
      </c>
      <c r="B53" s="12">
        <v>36993.51</v>
      </c>
      <c r="C53" s="12">
        <v>11737.63</v>
      </c>
      <c r="D53" s="12">
        <f>Depositi!D53+Depositi!E53+Depositi!F53</f>
        <v>8743.11</v>
      </c>
      <c r="E53" s="12">
        <v>1092557.6399999999</v>
      </c>
      <c r="F53" s="12">
        <f>Depositi!I53+Depositi!J53+Depositi!K53</f>
        <v>506343.18</v>
      </c>
    </row>
    <row r="54" spans="1:6">
      <c r="A54" s="3">
        <v>43462</v>
      </c>
      <c r="B54" s="12">
        <v>34499.480000000003</v>
      </c>
      <c r="C54" s="12">
        <v>11523.73</v>
      </c>
      <c r="D54" s="12">
        <f>Depositi!D54+Depositi!E54+Depositi!F54</f>
        <v>8738.57</v>
      </c>
      <c r="E54" s="12">
        <v>1109801.9099999999</v>
      </c>
      <c r="F54" s="12">
        <f>Depositi!I54+Depositi!J54+Depositi!K54</f>
        <v>495864.20999999996</v>
      </c>
    </row>
    <row r="55" spans="1:6">
      <c r="A55" s="3">
        <v>43432</v>
      </c>
      <c r="B55" s="12">
        <v>34692.839999999997</v>
      </c>
      <c r="C55" s="12">
        <v>11543.15</v>
      </c>
      <c r="D55" s="12">
        <f>Depositi!D55+Depositi!E55+Depositi!F55</f>
        <v>8305.8700000000008</v>
      </c>
      <c r="E55" s="12">
        <v>1083814.53</v>
      </c>
      <c r="F55" s="12">
        <f>Depositi!I55+Depositi!J55+Depositi!K55</f>
        <v>493148.68</v>
      </c>
    </row>
    <row r="56" spans="1:6">
      <c r="A56" s="3">
        <v>43401</v>
      </c>
      <c r="B56" s="12">
        <v>37536.589999999997</v>
      </c>
      <c r="C56" s="12">
        <v>10831.75</v>
      </c>
      <c r="D56" s="12">
        <f>Depositi!D56+Depositi!E56+Depositi!F56</f>
        <v>8480.880000000001</v>
      </c>
      <c r="E56" s="12">
        <v>1093802.17</v>
      </c>
      <c r="F56" s="12">
        <f>Depositi!I56+Depositi!J56+Depositi!K56</f>
        <v>492967.74</v>
      </c>
    </row>
    <row r="57" spans="1:6">
      <c r="A57" s="3">
        <v>43371</v>
      </c>
      <c r="B57" s="12">
        <v>41237.03</v>
      </c>
      <c r="C57" s="12">
        <v>11988.68</v>
      </c>
      <c r="D57" s="12">
        <f>Depositi!D57+Depositi!E57+Depositi!F57</f>
        <v>8499.94</v>
      </c>
      <c r="E57" s="12">
        <v>1106156.8600000001</v>
      </c>
      <c r="F57" s="12">
        <f>Depositi!I57+Depositi!J57+Depositi!K57</f>
        <v>497124.63</v>
      </c>
    </row>
    <row r="58" spans="1:6">
      <c r="A58" s="3">
        <v>43340</v>
      </c>
      <c r="B58" s="12">
        <v>41712.32</v>
      </c>
      <c r="C58" s="12">
        <v>10932.56</v>
      </c>
      <c r="D58" s="12">
        <f>Depositi!D58+Depositi!E58+Depositi!F58</f>
        <v>8906.2699999999986</v>
      </c>
      <c r="E58" s="12">
        <v>1079978.58</v>
      </c>
      <c r="F58" s="12">
        <f>Depositi!I58+Depositi!J58+Depositi!K58</f>
        <v>500271.65</v>
      </c>
    </row>
    <row r="59" spans="1:6">
      <c r="A59" s="3">
        <v>43309</v>
      </c>
      <c r="B59" s="12">
        <v>39827.57</v>
      </c>
      <c r="C59" s="12">
        <v>11615.61</v>
      </c>
      <c r="D59" s="12">
        <f>Depositi!D59+Depositi!E59+Depositi!F59</f>
        <v>8616.02</v>
      </c>
      <c r="E59" s="12">
        <v>1077309.19</v>
      </c>
      <c r="F59" s="12">
        <f>Depositi!I59+Depositi!J59+Depositi!K59</f>
        <v>502602.5</v>
      </c>
    </row>
    <row r="60" spans="1:6">
      <c r="A60" s="3">
        <v>43279</v>
      </c>
      <c r="B60" s="12">
        <v>39642.199999999997</v>
      </c>
      <c r="C60" s="12">
        <v>12461.23</v>
      </c>
      <c r="D60" s="12">
        <f>Depositi!D60+Depositi!E60+Depositi!F60</f>
        <v>13373.29</v>
      </c>
      <c r="E60" s="12">
        <v>1101350.95</v>
      </c>
      <c r="F60" s="12">
        <f>Depositi!I60+Depositi!J60+Depositi!K60</f>
        <v>495634.47</v>
      </c>
    </row>
    <row r="61" spans="1:6">
      <c r="A61" s="3">
        <v>43248</v>
      </c>
      <c r="B61" s="12">
        <v>43198.26</v>
      </c>
      <c r="C61" s="12">
        <v>11110.89</v>
      </c>
      <c r="D61" s="12">
        <f>Depositi!D61+Depositi!E61+Depositi!F61</f>
        <v>13887.09</v>
      </c>
      <c r="E61" s="12">
        <v>1083938.29</v>
      </c>
      <c r="F61" s="12">
        <f>Depositi!I61+Depositi!J61+Depositi!K61</f>
        <v>499974.79</v>
      </c>
    </row>
    <row r="62" spans="1:6">
      <c r="A62" s="3">
        <v>43218</v>
      </c>
      <c r="B62" s="12">
        <v>41754.06</v>
      </c>
      <c r="C62" s="12">
        <v>10849.52</v>
      </c>
      <c r="D62" s="12">
        <f>Depositi!D62+Depositi!E62+Depositi!F62</f>
        <v>13871.26</v>
      </c>
      <c r="E62" s="12">
        <v>1073576.17</v>
      </c>
      <c r="F62" s="12">
        <f>Depositi!I62+Depositi!J62+Depositi!K62</f>
        <v>507567.91</v>
      </c>
    </row>
    <row r="63" spans="1:6">
      <c r="A63" s="3">
        <v>43187</v>
      </c>
      <c r="B63" s="12">
        <v>39132.589999999997</v>
      </c>
      <c r="C63" s="12">
        <v>10925.88</v>
      </c>
      <c r="D63" s="12">
        <f>Depositi!D63+Depositi!E63+Depositi!F63</f>
        <v>13922.26</v>
      </c>
      <c r="E63" s="12">
        <v>1071086.4099999999</v>
      </c>
      <c r="F63" s="12">
        <f>Depositi!I63+Depositi!J63+Depositi!K63</f>
        <v>507551.10000000003</v>
      </c>
    </row>
    <row r="64" spans="1:6">
      <c r="A64" s="3">
        <v>43159</v>
      </c>
      <c r="B64" s="12">
        <v>40659.25</v>
      </c>
      <c r="C64" s="12">
        <v>10401.66</v>
      </c>
      <c r="D64" s="12">
        <f>Depositi!D64+Depositi!E64+Depositi!F64</f>
        <v>14160.88</v>
      </c>
      <c r="E64" s="12">
        <v>1050189.93</v>
      </c>
      <c r="F64" s="12">
        <f>Depositi!I64+Depositi!J64+Depositi!K64</f>
        <v>511279.91</v>
      </c>
    </row>
    <row r="65" spans="1:6">
      <c r="A65" s="3">
        <v>43128</v>
      </c>
      <c r="B65" s="12">
        <v>38353.97</v>
      </c>
      <c r="C65" s="12">
        <v>10688.56</v>
      </c>
      <c r="D65" s="12">
        <f>Depositi!D65+Depositi!E65+Depositi!F65</f>
        <v>13945.81</v>
      </c>
      <c r="E65" s="12">
        <v>1048444.87</v>
      </c>
      <c r="F65" s="12">
        <f>Depositi!I65+Depositi!J65+Depositi!K65</f>
        <v>513351.84</v>
      </c>
    </row>
    <row r="66" spans="1:6">
      <c r="A66" s="3">
        <v>43097</v>
      </c>
      <c r="B66" s="12">
        <v>39840.49</v>
      </c>
      <c r="C66" s="12">
        <v>10823.61</v>
      </c>
      <c r="D66" s="12">
        <f>Depositi!D66+Depositi!E66+Depositi!F66</f>
        <v>9029.83</v>
      </c>
      <c r="E66" s="12">
        <v>1059756.22</v>
      </c>
      <c r="F66" s="12">
        <f>Depositi!I66+Depositi!J66+Depositi!K66</f>
        <v>514400.35</v>
      </c>
    </row>
    <row r="67" spans="1:6">
      <c r="A67" s="3">
        <v>43067</v>
      </c>
      <c r="B67" s="12">
        <v>42535.42</v>
      </c>
      <c r="C67" s="12">
        <v>9819.52</v>
      </c>
      <c r="D67" s="12">
        <f>Depositi!D67+Depositi!E67+Depositi!F67</f>
        <v>8924.8700000000008</v>
      </c>
      <c r="E67" s="12">
        <v>1022948.85</v>
      </c>
      <c r="F67" s="12">
        <f>Depositi!I67+Depositi!J67+Depositi!K67</f>
        <v>502221.14</v>
      </c>
    </row>
    <row r="68" spans="1:6">
      <c r="A68" s="3">
        <v>43036</v>
      </c>
      <c r="B68" s="12">
        <v>40810.82</v>
      </c>
      <c r="C68" s="12">
        <v>9903.9599999999991</v>
      </c>
      <c r="D68" s="12">
        <f>Depositi!D68+Depositi!E68+Depositi!F68</f>
        <v>8857.89</v>
      </c>
      <c r="E68" s="12">
        <v>1028099.02</v>
      </c>
      <c r="F68" s="12">
        <f>Depositi!I68+Depositi!J68+Depositi!K68</f>
        <v>498952.78</v>
      </c>
    </row>
    <row r="69" spans="1:6">
      <c r="A69" s="3">
        <v>43006</v>
      </c>
      <c r="B69" s="12">
        <v>41036.410000000003</v>
      </c>
      <c r="C69" s="12">
        <v>9560.23</v>
      </c>
      <c r="D69" s="12">
        <f>Depositi!D69+Depositi!E69+Depositi!F69</f>
        <v>8839.44</v>
      </c>
      <c r="E69" s="12">
        <v>1027084.46</v>
      </c>
      <c r="F69" s="12">
        <f>Depositi!I69+Depositi!J69+Depositi!K69</f>
        <v>503971.13</v>
      </c>
    </row>
    <row r="70" spans="1:6">
      <c r="A70" s="3">
        <v>42975</v>
      </c>
      <c r="B70" s="12">
        <v>42023.72</v>
      </c>
      <c r="C70" s="12">
        <v>8626.4599999999991</v>
      </c>
      <c r="D70" s="12">
        <f>Depositi!D70+Depositi!E70+Depositi!F70</f>
        <v>8930.41</v>
      </c>
      <c r="E70" s="12">
        <v>1005023.84</v>
      </c>
      <c r="F70" s="12">
        <f>Depositi!I70+Depositi!J70+Depositi!K70</f>
        <v>506645.88</v>
      </c>
    </row>
    <row r="71" spans="1:6">
      <c r="A71" s="3">
        <v>42944</v>
      </c>
      <c r="B71" s="12">
        <v>39926.54</v>
      </c>
      <c r="C71" s="12">
        <v>9040.26</v>
      </c>
      <c r="D71" s="12">
        <f>Depositi!D71+Depositi!E71+Depositi!F71</f>
        <v>8764.74</v>
      </c>
      <c r="E71" s="12">
        <v>999028.64</v>
      </c>
      <c r="F71" s="12">
        <f>Depositi!I71+Depositi!J71+Depositi!K71</f>
        <v>506932.22</v>
      </c>
    </row>
    <row r="72" spans="1:6">
      <c r="A72" s="3">
        <v>42914</v>
      </c>
      <c r="B72" s="12">
        <v>40513.379999999997</v>
      </c>
      <c r="C72" s="12">
        <v>8963.1299999999992</v>
      </c>
      <c r="D72" s="12">
        <f>Depositi!D72+Depositi!E72+Depositi!F72</f>
        <v>8670.6699999999983</v>
      </c>
      <c r="E72" s="12">
        <v>996383.82</v>
      </c>
      <c r="F72" s="12">
        <f>Depositi!I72+Depositi!J72+Depositi!K72</f>
        <v>506189.19999999995</v>
      </c>
    </row>
    <row r="73" spans="1:6">
      <c r="A73" s="3">
        <v>42883</v>
      </c>
      <c r="B73" s="12">
        <v>41875.760000000002</v>
      </c>
      <c r="C73" s="12">
        <v>10512.21</v>
      </c>
      <c r="D73" s="12">
        <f>Depositi!D73+Depositi!E73+Depositi!F73</f>
        <v>7176.99</v>
      </c>
      <c r="E73" s="12">
        <v>993518.39</v>
      </c>
      <c r="F73" s="12">
        <f>Depositi!I73+Depositi!J73+Depositi!K73</f>
        <v>512506.02999999997</v>
      </c>
    </row>
    <row r="74" spans="1:6">
      <c r="A74" s="3">
        <v>42853</v>
      </c>
      <c r="B74" s="12">
        <v>41338.36</v>
      </c>
      <c r="C74" s="12">
        <v>8232.56</v>
      </c>
      <c r="D74" s="12">
        <f>Depositi!D74+Depositi!E74+Depositi!F74</f>
        <v>6583.63</v>
      </c>
      <c r="E74" s="12">
        <v>1004033.14</v>
      </c>
      <c r="F74" s="12">
        <f>Depositi!I74+Depositi!J74+Depositi!K74</f>
        <v>514907.57</v>
      </c>
    </row>
    <row r="75" spans="1:6">
      <c r="A75" s="3">
        <v>42822</v>
      </c>
      <c r="B75" s="12">
        <v>41571.51</v>
      </c>
      <c r="C75" s="12">
        <v>8339.2000000000007</v>
      </c>
      <c r="D75" s="12">
        <f>Depositi!D75+Depositi!E75+Depositi!F75</f>
        <v>6575.9400000000005</v>
      </c>
      <c r="E75" s="12">
        <v>979575.64</v>
      </c>
      <c r="F75" s="12">
        <f>Depositi!I75+Depositi!J75+Depositi!K75</f>
        <v>520826.02</v>
      </c>
    </row>
    <row r="76" spans="1:6">
      <c r="A76" s="3">
        <v>42794</v>
      </c>
      <c r="B76" s="12">
        <v>41437.49</v>
      </c>
      <c r="C76" s="12">
        <v>8902.73</v>
      </c>
      <c r="D76" s="12">
        <f>Depositi!D76+Depositi!E76+Depositi!F76</f>
        <v>6511.5300000000007</v>
      </c>
      <c r="E76" s="12">
        <v>965979.69</v>
      </c>
      <c r="F76" s="12">
        <f>Depositi!I76+Depositi!J76+Depositi!K76</f>
        <v>521632.02999999997</v>
      </c>
    </row>
    <row r="77" spans="1:6">
      <c r="A77" s="3">
        <v>42763</v>
      </c>
      <c r="B77" s="12">
        <v>41060.61</v>
      </c>
      <c r="C77" s="12">
        <v>9043.19</v>
      </c>
      <c r="D77" s="12">
        <f>Depositi!D77+Depositi!E77+Depositi!F77</f>
        <v>6366.2999999999993</v>
      </c>
      <c r="E77" s="12">
        <v>961393.74</v>
      </c>
      <c r="F77" s="12">
        <f>Depositi!I77+Depositi!J77+Depositi!K77</f>
        <v>522490.67</v>
      </c>
    </row>
    <row r="78" spans="1:6">
      <c r="A78" s="3">
        <v>42732</v>
      </c>
      <c r="B78" s="12">
        <v>44594.14</v>
      </c>
      <c r="C78" s="12">
        <v>7451.46</v>
      </c>
      <c r="D78" s="12">
        <f>Depositi!D78+Depositi!E78+Depositi!F78</f>
        <v>13863.82</v>
      </c>
      <c r="E78" s="12">
        <v>987864.47</v>
      </c>
      <c r="F78" s="12">
        <f>Depositi!I78+Depositi!J78+Depositi!K78</f>
        <v>522597.15</v>
      </c>
    </row>
    <row r="79" spans="1:6">
      <c r="A79" s="3">
        <v>42702</v>
      </c>
      <c r="B79" s="12">
        <v>45478.84</v>
      </c>
      <c r="C79" s="12">
        <v>7534.13</v>
      </c>
      <c r="D79" s="12">
        <f>Depositi!D79+Depositi!E79+Depositi!F79</f>
        <v>13661.630000000001</v>
      </c>
      <c r="E79" s="12">
        <v>949673.06</v>
      </c>
      <c r="F79" s="12">
        <f>Depositi!I79+Depositi!J79+Depositi!K79</f>
        <v>523634.14</v>
      </c>
    </row>
    <row r="80" spans="1:6">
      <c r="A80" s="3">
        <v>42671</v>
      </c>
      <c r="B80" s="12">
        <v>44309.85</v>
      </c>
      <c r="C80" s="12">
        <v>8441.43</v>
      </c>
      <c r="D80" s="12">
        <f>Depositi!D80+Depositi!E80+Depositi!F80</f>
        <v>14128.750000000002</v>
      </c>
      <c r="E80" s="12">
        <v>949774.67</v>
      </c>
      <c r="F80" s="12">
        <f>Depositi!I80+Depositi!J80+Depositi!K80</f>
        <v>524702.78</v>
      </c>
    </row>
    <row r="81" spans="1:6">
      <c r="A81" s="3">
        <v>42641</v>
      </c>
      <c r="B81" s="12">
        <v>45298</v>
      </c>
      <c r="C81" s="12">
        <v>8197.7099999999991</v>
      </c>
      <c r="D81" s="12">
        <f>Depositi!D81+Depositi!E81+Depositi!F81</f>
        <v>14033.060000000001</v>
      </c>
      <c r="E81" s="12">
        <v>933743.88</v>
      </c>
      <c r="F81" s="12">
        <f>Depositi!I81+Depositi!J81+Depositi!K81</f>
        <v>525694.87</v>
      </c>
    </row>
    <row r="82" spans="1:6">
      <c r="A82" s="3">
        <v>42610</v>
      </c>
      <c r="B82" s="12">
        <v>44709</v>
      </c>
      <c r="C82" s="12">
        <v>7833.35</v>
      </c>
      <c r="D82" s="12">
        <f>Depositi!D82+Depositi!E82+Depositi!F82</f>
        <v>14505.380000000001</v>
      </c>
      <c r="E82" s="12">
        <v>928405.94</v>
      </c>
      <c r="F82" s="12">
        <f>Depositi!I82+Depositi!J82+Depositi!K82</f>
        <v>530436.75</v>
      </c>
    </row>
    <row r="83" spans="1:6">
      <c r="A83" s="3">
        <v>42579</v>
      </c>
      <c r="B83" s="12">
        <v>42654</v>
      </c>
      <c r="C83" s="12">
        <v>10049.24</v>
      </c>
      <c r="D83" s="12">
        <f>Depositi!D83+Depositi!E83+Depositi!F83</f>
        <v>14312.51</v>
      </c>
      <c r="E83" s="12">
        <v>936911.45</v>
      </c>
      <c r="F83" s="12">
        <f>Depositi!I83+Depositi!J83+Depositi!K83</f>
        <v>527302.68999999994</v>
      </c>
    </row>
    <row r="84" spans="1:6">
      <c r="A84" s="3">
        <v>42549</v>
      </c>
      <c r="B84" s="12">
        <v>48147</v>
      </c>
      <c r="C84" s="12">
        <v>9473.69</v>
      </c>
      <c r="D84" s="12">
        <f>Depositi!D84+Depositi!E84+Depositi!F84</f>
        <v>14341.630000000001</v>
      </c>
      <c r="E84" s="12">
        <v>917140.68</v>
      </c>
      <c r="F84" s="12">
        <f>Depositi!I84+Depositi!J84+Depositi!K84</f>
        <v>531374.84</v>
      </c>
    </row>
    <row r="85" spans="1:6">
      <c r="A85" s="3">
        <v>42518</v>
      </c>
      <c r="B85" s="12">
        <v>44611</v>
      </c>
      <c r="C85" s="12">
        <v>8229.83</v>
      </c>
      <c r="D85" s="12">
        <f>Depositi!D85+Depositi!E85+Depositi!F85</f>
        <v>13888.15</v>
      </c>
      <c r="E85" s="12">
        <v>915128.89</v>
      </c>
      <c r="F85" s="12">
        <f>Depositi!I85+Depositi!J85+Depositi!K85</f>
        <v>540818.43999999994</v>
      </c>
    </row>
    <row r="86" spans="1:6">
      <c r="A86" s="3">
        <v>42488</v>
      </c>
      <c r="B86" s="12">
        <v>43084</v>
      </c>
      <c r="C86" s="12">
        <v>7682.28</v>
      </c>
      <c r="D86" s="12">
        <f>Depositi!D86+Depositi!E86+Depositi!F86</f>
        <v>13797.390000000001</v>
      </c>
      <c r="E86" s="12">
        <v>925470.64</v>
      </c>
      <c r="F86" s="12">
        <f>Depositi!I86+Depositi!J86+Depositi!K86</f>
        <v>545396.17000000004</v>
      </c>
    </row>
    <row r="87" spans="1:6">
      <c r="A87" s="3">
        <v>42457</v>
      </c>
      <c r="B87" s="12">
        <v>47451</v>
      </c>
      <c r="C87" s="12">
        <v>8010.36</v>
      </c>
      <c r="D87" s="12">
        <f>Depositi!D87+Depositi!E87+Depositi!F87</f>
        <v>13628.94</v>
      </c>
      <c r="E87" s="12">
        <v>898747.72</v>
      </c>
      <c r="F87" s="12">
        <f>Depositi!I87+Depositi!J87+Depositi!K87</f>
        <v>546358.99</v>
      </c>
    </row>
    <row r="88" spans="1:6">
      <c r="A88" s="3">
        <v>42428</v>
      </c>
      <c r="B88" s="12">
        <v>45507</v>
      </c>
      <c r="C88" s="12">
        <v>7007.05</v>
      </c>
      <c r="D88" s="12">
        <f>Depositi!D88+Depositi!E88+Depositi!F88</f>
        <v>13385.359999999999</v>
      </c>
      <c r="E88" s="12">
        <v>888765.31</v>
      </c>
      <c r="F88" s="12">
        <f>Depositi!I88+Depositi!J88+Depositi!K88</f>
        <v>547939.39</v>
      </c>
    </row>
    <row r="89" spans="1:6">
      <c r="A89" s="3">
        <v>42397</v>
      </c>
      <c r="B89" s="12">
        <v>48004</v>
      </c>
      <c r="C89" s="12">
        <v>9301.6299999999992</v>
      </c>
      <c r="D89" s="12">
        <f>Depositi!D89+Depositi!E89+Depositi!F89</f>
        <v>13363.86</v>
      </c>
      <c r="E89" s="12">
        <v>889131.43</v>
      </c>
      <c r="F89" s="12">
        <f>Depositi!I89+Depositi!J89+Depositi!K89</f>
        <v>553330.35</v>
      </c>
    </row>
    <row r="90" spans="1:6">
      <c r="A90" s="3">
        <v>42366</v>
      </c>
      <c r="B90" s="12">
        <v>46166</v>
      </c>
      <c r="C90" s="12">
        <v>7225.34</v>
      </c>
      <c r="D90" s="12">
        <f>Depositi!D90+Depositi!E90+Depositi!F90</f>
        <v>13156.36</v>
      </c>
      <c r="E90" s="12">
        <v>891702.34</v>
      </c>
      <c r="F90" s="12">
        <f>Depositi!I90+Depositi!J90+Depositi!K90</f>
        <v>557236.22</v>
      </c>
    </row>
    <row r="91" spans="1:6">
      <c r="A91" s="3">
        <v>42336</v>
      </c>
      <c r="B91" s="12">
        <v>47704</v>
      </c>
      <c r="C91" s="12">
        <v>7602.56</v>
      </c>
      <c r="D91" s="12">
        <f>Depositi!D91+Depositi!E91+Depositi!F91</f>
        <v>11910.92</v>
      </c>
      <c r="E91" s="12">
        <v>865201.62</v>
      </c>
      <c r="F91" s="12">
        <f>Depositi!I91+Depositi!J91+Depositi!K91</f>
        <v>557847.04000000004</v>
      </c>
    </row>
    <row r="92" spans="1:6">
      <c r="A92" s="3">
        <v>42305</v>
      </c>
      <c r="B92" s="12">
        <v>46019</v>
      </c>
      <c r="C92" s="12">
        <v>9012.3799999999992</v>
      </c>
      <c r="D92" s="12">
        <f>Depositi!D92+Depositi!E92+Depositi!F92</f>
        <v>11929.28</v>
      </c>
      <c r="E92" s="12">
        <v>879560.62</v>
      </c>
      <c r="F92" s="12">
        <f>Depositi!I92+Depositi!J92+Depositi!K92</f>
        <v>561876.25</v>
      </c>
    </row>
    <row r="93" spans="1:6">
      <c r="A93" s="3">
        <v>42275</v>
      </c>
      <c r="B93" s="12">
        <v>42514</v>
      </c>
      <c r="C93" s="12">
        <v>8037.86</v>
      </c>
      <c r="D93" s="12">
        <f>Depositi!D93+Depositi!E93+Depositi!F93</f>
        <v>11686.58</v>
      </c>
      <c r="E93" s="12">
        <v>856984.61</v>
      </c>
      <c r="F93" s="12">
        <f>Depositi!I93+Depositi!J93+Depositi!K93</f>
        <v>564808.33000000007</v>
      </c>
    </row>
    <row r="94" spans="1:6">
      <c r="A94" s="3">
        <v>42244</v>
      </c>
      <c r="B94" s="12">
        <v>46066</v>
      </c>
      <c r="C94" s="12">
        <v>8781.17</v>
      </c>
      <c r="D94" s="12">
        <f>Depositi!D94+Depositi!E94+Depositi!F94</f>
        <v>11759.45</v>
      </c>
      <c r="E94" s="12">
        <v>846183.77</v>
      </c>
      <c r="F94" s="12">
        <f>Depositi!I94+Depositi!J94+Depositi!K94</f>
        <v>568033.49</v>
      </c>
    </row>
    <row r="95" spans="1:6">
      <c r="A95" s="3">
        <v>42213</v>
      </c>
      <c r="B95" s="12">
        <v>55557</v>
      </c>
      <c r="C95" s="12">
        <v>9380.36</v>
      </c>
      <c r="D95" s="12">
        <f>Depositi!D95+Depositi!E95+Depositi!F95</f>
        <v>11814.910000000002</v>
      </c>
      <c r="E95" s="12">
        <v>846021.92</v>
      </c>
      <c r="F95" s="12">
        <f>Depositi!I95+Depositi!J95+Depositi!K95</f>
        <v>563523.54</v>
      </c>
    </row>
    <row r="96" spans="1:6">
      <c r="A96" s="3">
        <v>42183</v>
      </c>
      <c r="B96" s="12">
        <v>50860</v>
      </c>
      <c r="C96" s="12">
        <v>7286.72</v>
      </c>
      <c r="D96" s="12">
        <f>Depositi!D96+Depositi!E96+Depositi!F96</f>
        <v>11426.56</v>
      </c>
      <c r="E96" s="12">
        <v>846995.51</v>
      </c>
      <c r="F96" s="12">
        <f>Depositi!I96+Depositi!J96+Depositi!K96</f>
        <v>565590.75</v>
      </c>
    </row>
    <row r="97" spans="1:6">
      <c r="A97" s="3">
        <v>42152</v>
      </c>
      <c r="B97" s="12">
        <v>54566</v>
      </c>
      <c r="C97" s="12">
        <v>8416.3799999999992</v>
      </c>
      <c r="D97" s="12">
        <f>Depositi!D97+Depositi!E97+Depositi!F97</f>
        <v>11432.79</v>
      </c>
      <c r="E97" s="12">
        <v>849407.31</v>
      </c>
      <c r="F97" s="12">
        <f>Depositi!I97+Depositi!J97+Depositi!K97</f>
        <v>569609.77</v>
      </c>
    </row>
    <row r="98" spans="1:6">
      <c r="A98" s="3">
        <v>42122</v>
      </c>
      <c r="B98" s="12">
        <v>57627</v>
      </c>
      <c r="C98" s="12">
        <v>8364.15</v>
      </c>
      <c r="D98" s="12">
        <f>Depositi!D98+Depositi!E98+Depositi!F98</f>
        <v>11134.64</v>
      </c>
      <c r="E98" s="12">
        <v>834729.14</v>
      </c>
      <c r="F98" s="12">
        <f>Depositi!I98+Depositi!J98+Depositi!K98</f>
        <v>572659.14</v>
      </c>
    </row>
    <row r="99" spans="1:6">
      <c r="A99" s="3">
        <v>42091</v>
      </c>
      <c r="B99" s="12">
        <v>49759</v>
      </c>
      <c r="C99" s="12">
        <v>7525.37</v>
      </c>
      <c r="D99" s="12">
        <f>Depositi!D99+Depositi!E99+Depositi!F99</f>
        <v>11090.630000000001</v>
      </c>
      <c r="E99" s="12">
        <v>828503.45</v>
      </c>
      <c r="F99" s="12">
        <f>Depositi!I99+Depositi!J99+Depositi!K99</f>
        <v>577004.27</v>
      </c>
    </row>
    <row r="100" spans="1:6">
      <c r="A100" s="3">
        <v>42063</v>
      </c>
      <c r="B100" s="12">
        <v>49135</v>
      </c>
      <c r="C100" s="12">
        <v>8344.69</v>
      </c>
      <c r="D100" s="12">
        <f>Depositi!D100+Depositi!E100+Depositi!F100</f>
        <v>11492.57</v>
      </c>
      <c r="E100" s="12">
        <v>821333.67</v>
      </c>
      <c r="F100" s="12">
        <f>Depositi!I100+Depositi!J100+Depositi!K100</f>
        <v>581216.07999999996</v>
      </c>
    </row>
    <row r="101" spans="1:6">
      <c r="A101" s="3">
        <v>42032</v>
      </c>
      <c r="B101" s="12">
        <v>45126</v>
      </c>
      <c r="C101" s="12">
        <v>8136.75</v>
      </c>
      <c r="D101" s="12">
        <f>Depositi!D101+Depositi!E101+Depositi!F101</f>
        <v>11268.470000000001</v>
      </c>
      <c r="E101" s="12">
        <v>825727.98</v>
      </c>
      <c r="F101" s="12">
        <f>Depositi!I101+Depositi!J101+Depositi!K101</f>
        <v>580862.86</v>
      </c>
    </row>
    <row r="102" spans="1:6">
      <c r="A102" s="3">
        <v>42001</v>
      </c>
      <c r="B102" s="12">
        <v>45102</v>
      </c>
      <c r="C102" s="12">
        <v>7399.21</v>
      </c>
      <c r="D102" s="12">
        <f>Depositi!D102+Depositi!E102+Depositi!F102</f>
        <v>8214.3599999999988</v>
      </c>
      <c r="E102" s="12">
        <v>821435.3</v>
      </c>
      <c r="F102" s="12">
        <f>Depositi!I102+Depositi!J102+Depositi!K102</f>
        <v>585289.22</v>
      </c>
    </row>
    <row r="103" spans="1:6">
      <c r="A103" s="3">
        <v>41971</v>
      </c>
      <c r="B103" s="12">
        <v>47989</v>
      </c>
      <c r="C103" s="12">
        <v>7624.3</v>
      </c>
      <c r="D103" s="12">
        <f>Depositi!D103+Depositi!E103+Depositi!F103</f>
        <v>8335.58</v>
      </c>
      <c r="E103" s="12">
        <v>812622.23</v>
      </c>
      <c r="F103" s="12">
        <f>Depositi!I103+Depositi!J103+Depositi!K103</f>
        <v>586599.42999999993</v>
      </c>
    </row>
    <row r="104" spans="1:6">
      <c r="A104" s="3">
        <v>41940</v>
      </c>
      <c r="B104" s="12">
        <v>45701</v>
      </c>
      <c r="C104" s="12">
        <v>6641.26</v>
      </c>
      <c r="D104" s="12">
        <f>Depositi!D104+Depositi!E104+Depositi!F104</f>
        <v>8553.57</v>
      </c>
      <c r="E104" s="12">
        <v>790387.65</v>
      </c>
      <c r="F104" s="12">
        <f>Depositi!I104+Depositi!J104+Depositi!K104</f>
        <v>592560.44999999995</v>
      </c>
    </row>
    <row r="105" spans="1:6">
      <c r="A105" s="3">
        <v>41910</v>
      </c>
      <c r="B105" s="12">
        <v>46106</v>
      </c>
      <c r="C105" s="12">
        <v>6923.8</v>
      </c>
      <c r="D105" s="12">
        <f>Depositi!D105+Depositi!E105+Depositi!F105</f>
        <v>9292.510000000002</v>
      </c>
      <c r="E105" s="12">
        <v>791542.31</v>
      </c>
      <c r="F105" s="12">
        <f>Depositi!I105+Depositi!J105+Depositi!K105</f>
        <v>598124.71</v>
      </c>
    </row>
    <row r="106" spans="1:6">
      <c r="A106" s="3">
        <v>41879</v>
      </c>
      <c r="B106" s="12">
        <v>42657</v>
      </c>
      <c r="C106" s="12">
        <v>5781.13</v>
      </c>
      <c r="D106" s="12">
        <f>Depositi!D106+Depositi!E106+Depositi!F106</f>
        <v>9546.9799999999977</v>
      </c>
      <c r="E106" s="12">
        <v>787312.79</v>
      </c>
      <c r="F106" s="12">
        <f>Depositi!I106+Depositi!J106+Depositi!K106</f>
        <v>600309.46</v>
      </c>
    </row>
    <row r="107" spans="1:6">
      <c r="A107" s="3">
        <v>41848</v>
      </c>
      <c r="B107" s="12">
        <v>44112</v>
      </c>
      <c r="C107" s="12">
        <v>6383.38</v>
      </c>
      <c r="D107" s="12">
        <f>Depositi!D107+Depositi!E107+Depositi!F107</f>
        <v>9011.43</v>
      </c>
      <c r="E107" s="12">
        <v>774346.59</v>
      </c>
      <c r="F107" s="12">
        <f>Depositi!I107+Depositi!J107+Depositi!K107</f>
        <v>601162.13</v>
      </c>
    </row>
    <row r="108" spans="1:6">
      <c r="A108" s="3">
        <v>41818</v>
      </c>
      <c r="B108" s="12">
        <v>42213</v>
      </c>
      <c r="C108" s="12">
        <v>7882.05</v>
      </c>
      <c r="D108" s="12">
        <f>Depositi!D108+Depositi!E108+Depositi!F108</f>
        <v>8804.2000000000007</v>
      </c>
      <c r="E108" s="12">
        <v>772653.7</v>
      </c>
      <c r="F108" s="12">
        <f>Depositi!I108+Depositi!J108+Depositi!K108</f>
        <v>606043.61</v>
      </c>
    </row>
    <row r="109" spans="1:6">
      <c r="A109" s="3">
        <v>41787</v>
      </c>
      <c r="B109" s="12">
        <v>39969</v>
      </c>
      <c r="C109" s="12">
        <v>8449.61</v>
      </c>
      <c r="D109" s="12">
        <f>Depositi!D109+Depositi!E109+Depositi!F109</f>
        <v>8737.8000000000011</v>
      </c>
      <c r="E109" s="12">
        <v>776997.36</v>
      </c>
      <c r="F109" s="12">
        <f>Depositi!I109+Depositi!J109+Depositi!K109</f>
        <v>603298.56000000006</v>
      </c>
    </row>
    <row r="110" spans="1:6">
      <c r="A110" s="3">
        <v>41757</v>
      </c>
      <c r="B110" s="12">
        <v>40765</v>
      </c>
      <c r="C110" s="12">
        <v>6687.74</v>
      </c>
      <c r="D110" s="12">
        <f>Depositi!D110+Depositi!E110+Depositi!F110</f>
        <v>9157.31</v>
      </c>
      <c r="E110" s="12">
        <v>763995.59</v>
      </c>
      <c r="F110" s="12">
        <f>Depositi!I110+Depositi!J110+Depositi!K110</f>
        <v>609826.94999999995</v>
      </c>
    </row>
    <row r="111" spans="1:6">
      <c r="A111" s="3">
        <v>41726</v>
      </c>
      <c r="B111" s="12">
        <v>45751</v>
      </c>
      <c r="C111" s="12">
        <v>7752.71</v>
      </c>
      <c r="D111" s="12">
        <f>Depositi!D111+Depositi!E111+Depositi!F111</f>
        <v>9296.31</v>
      </c>
      <c r="E111" s="12">
        <v>759259.77</v>
      </c>
      <c r="F111" s="12">
        <f>Depositi!I111+Depositi!J111+Depositi!K111</f>
        <v>614478.24</v>
      </c>
    </row>
    <row r="112" spans="1:6">
      <c r="A112" s="3">
        <v>41698</v>
      </c>
      <c r="B112" s="12">
        <v>44297</v>
      </c>
      <c r="C112" s="12">
        <v>6957.04</v>
      </c>
      <c r="D112" s="12">
        <f>Depositi!D112+Depositi!E112+Depositi!F112</f>
        <v>8955.7800000000007</v>
      </c>
      <c r="E112" s="12">
        <v>745934.32</v>
      </c>
      <c r="F112" s="12">
        <f>Depositi!I112+Depositi!J112+Depositi!K112</f>
        <v>616858.73</v>
      </c>
    </row>
    <row r="113" spans="1:6">
      <c r="A113" s="3">
        <v>41667</v>
      </c>
      <c r="B113" s="12">
        <v>45230</v>
      </c>
      <c r="C113" s="12">
        <v>6620.49</v>
      </c>
      <c r="D113" s="12">
        <f>Depositi!D113+Depositi!E113+Depositi!F113</f>
        <v>19396.130000000005</v>
      </c>
      <c r="E113" s="12">
        <v>743359.25</v>
      </c>
      <c r="F113" s="12">
        <f>Depositi!I113+Depositi!J113+Depositi!K113</f>
        <v>616169.43999999994</v>
      </c>
    </row>
    <row r="114" spans="1:6">
      <c r="A114" s="3">
        <v>41636</v>
      </c>
      <c r="B114" s="12">
        <v>41129</v>
      </c>
      <c r="C114" s="12">
        <v>6123.73</v>
      </c>
      <c r="D114" s="12">
        <f>Depositi!D114+Depositi!E114+Depositi!F114</f>
        <v>19559.560000000001</v>
      </c>
      <c r="E114" s="12">
        <v>753282.96</v>
      </c>
      <c r="F114" s="12">
        <f>Depositi!I114+Depositi!J114+Depositi!K114</f>
        <v>615584.26</v>
      </c>
    </row>
    <row r="115" spans="1:6">
      <c r="A115" s="3">
        <v>41606</v>
      </c>
      <c r="B115" s="12">
        <v>41906</v>
      </c>
      <c r="C115" s="12">
        <v>6487.02</v>
      </c>
      <c r="D115" s="12">
        <f>Depositi!D115+Depositi!E115+Depositi!F115</f>
        <v>19379.84</v>
      </c>
      <c r="E115" s="12">
        <v>752547.21</v>
      </c>
      <c r="F115" s="12">
        <f>Depositi!I115+Depositi!J115+Depositi!K115</f>
        <v>618210.68000000005</v>
      </c>
    </row>
    <row r="116" spans="1:6">
      <c r="A116" s="3">
        <v>41575</v>
      </c>
      <c r="B116" s="12">
        <v>42412</v>
      </c>
      <c r="C116" s="12">
        <v>6088.3</v>
      </c>
      <c r="D116" s="12">
        <f>Depositi!D116+Depositi!E116+Depositi!F116</f>
        <v>17407.159999999996</v>
      </c>
      <c r="E116" s="12">
        <v>749766.69</v>
      </c>
      <c r="F116" s="12">
        <f>Depositi!I116+Depositi!J116+Depositi!K116</f>
        <v>617279.02</v>
      </c>
    </row>
    <row r="117" spans="1:6">
      <c r="A117" s="3">
        <v>41545</v>
      </c>
      <c r="B117" s="12">
        <v>43453</v>
      </c>
      <c r="C117" s="12">
        <v>5869.89</v>
      </c>
      <c r="D117" s="12">
        <f>Depositi!D117+Depositi!E117+Depositi!F117</f>
        <v>17034.109999999997</v>
      </c>
      <c r="E117" s="12">
        <v>736966.35</v>
      </c>
      <c r="F117" s="12">
        <f>Depositi!I117+Depositi!J117+Depositi!K117</f>
        <v>622720.77</v>
      </c>
    </row>
    <row r="118" spans="1:6">
      <c r="A118" s="3">
        <v>41514</v>
      </c>
      <c r="B118" s="12">
        <v>40981</v>
      </c>
      <c r="C118" s="12">
        <v>4918.6899999999996</v>
      </c>
      <c r="D118" s="12">
        <f>Depositi!D118+Depositi!E118+Depositi!F118</f>
        <v>17203.43</v>
      </c>
      <c r="E118" s="12">
        <v>739516.53</v>
      </c>
      <c r="F118" s="12">
        <f>Depositi!I118+Depositi!J118+Depositi!K118</f>
        <v>624874.94999999995</v>
      </c>
    </row>
    <row r="119" spans="1:6">
      <c r="A119" s="3">
        <v>41483</v>
      </c>
      <c r="B119" s="12">
        <v>44967</v>
      </c>
      <c r="C119" s="12">
        <v>5611.28</v>
      </c>
      <c r="D119" s="12">
        <f>Depositi!D119+Depositi!E119+Depositi!F119</f>
        <v>17846.13</v>
      </c>
      <c r="E119" s="12">
        <v>731170.41</v>
      </c>
      <c r="F119" s="12">
        <f>Depositi!I119+Depositi!J119+Depositi!K119</f>
        <v>622718.04</v>
      </c>
    </row>
    <row r="120" spans="1:6">
      <c r="A120" s="3">
        <v>41453</v>
      </c>
      <c r="B120" s="12">
        <v>43094</v>
      </c>
      <c r="C120" s="12">
        <v>5834.76</v>
      </c>
      <c r="D120" s="12">
        <f>Depositi!D120+Depositi!E120+Depositi!F120</f>
        <v>17711.039999999997</v>
      </c>
      <c r="E120" s="12">
        <v>737724.85</v>
      </c>
      <c r="F120" s="12">
        <f>Depositi!I120+Depositi!J120+Depositi!K120</f>
        <v>622328.67999999993</v>
      </c>
    </row>
    <row r="121" spans="1:6">
      <c r="A121" s="3">
        <v>41422</v>
      </c>
      <c r="B121" s="12">
        <v>40294</v>
      </c>
      <c r="C121" s="12">
        <v>6381.28</v>
      </c>
      <c r="D121" s="12">
        <f>Depositi!D121+Depositi!E121+Depositi!F121</f>
        <v>17575.57</v>
      </c>
      <c r="E121" s="12">
        <v>735689.46</v>
      </c>
      <c r="F121" s="12">
        <f>Depositi!I121+Depositi!J121+Depositi!K121</f>
        <v>624809.81999999995</v>
      </c>
    </row>
    <row r="122" spans="1:6">
      <c r="A122" s="3">
        <v>41392</v>
      </c>
      <c r="B122" s="12">
        <v>41523</v>
      </c>
      <c r="C122" s="12">
        <v>5994.62</v>
      </c>
      <c r="D122" s="12">
        <f>Depositi!D122+Depositi!E122+Depositi!F122</f>
        <v>17634.329999999998</v>
      </c>
      <c r="E122" s="12">
        <v>742904.24</v>
      </c>
      <c r="F122" s="12">
        <f>Depositi!I122+Depositi!J122+Depositi!K122</f>
        <v>620626.56999999995</v>
      </c>
    </row>
    <row r="123" spans="1:6">
      <c r="A123" s="3">
        <v>41361</v>
      </c>
      <c r="B123" s="12">
        <v>38582</v>
      </c>
      <c r="C123" s="12">
        <v>7163.38</v>
      </c>
      <c r="D123" s="12">
        <f>Depositi!D123+Depositi!E123+Depositi!F123</f>
        <v>17610.309999999998</v>
      </c>
      <c r="E123" s="12">
        <v>737679.89</v>
      </c>
      <c r="F123" s="12">
        <f>Depositi!I123+Depositi!J123+Depositi!K123</f>
        <v>627298.53</v>
      </c>
    </row>
    <row r="124" spans="1:6">
      <c r="A124" s="3">
        <v>41333</v>
      </c>
      <c r="B124" s="12">
        <v>39194</v>
      </c>
      <c r="C124" s="12">
        <v>5681.92</v>
      </c>
      <c r="D124" s="12">
        <f>Depositi!D124+Depositi!E124+Depositi!F124</f>
        <v>17560.689999999999</v>
      </c>
      <c r="E124" s="12">
        <v>727018.34</v>
      </c>
      <c r="F124" s="12">
        <f>Depositi!I124+Depositi!J124+Depositi!K124</f>
        <v>615700.56999999995</v>
      </c>
    </row>
    <row r="125" spans="1:6">
      <c r="A125" s="3">
        <v>41302</v>
      </c>
      <c r="B125" s="12">
        <v>39281</v>
      </c>
      <c r="C125" s="12">
        <v>5867.41</v>
      </c>
      <c r="D125" s="12">
        <f>Depositi!D125+Depositi!E125+Depositi!F125</f>
        <v>17733.329999999998</v>
      </c>
      <c r="E125" s="12">
        <v>713425.36</v>
      </c>
      <c r="F125" s="12">
        <f>Depositi!I125+Depositi!J125+Depositi!K125</f>
        <v>614027.93999999994</v>
      </c>
    </row>
    <row r="126" spans="1:6">
      <c r="A126" s="3">
        <v>41271</v>
      </c>
      <c r="B126" s="12">
        <v>38723</v>
      </c>
      <c r="C126" s="12">
        <v>5942.68</v>
      </c>
      <c r="D126" s="12">
        <f>Depositi!D126+Depositi!E126+Depositi!F126</f>
        <v>17696.559999999998</v>
      </c>
      <c r="E126" s="12">
        <v>731945.39</v>
      </c>
      <c r="F126" s="12">
        <f>Depositi!I126+Depositi!J126+Depositi!K126</f>
        <v>613615.97</v>
      </c>
    </row>
    <row r="127" spans="1:6">
      <c r="A127" s="3">
        <v>41241</v>
      </c>
      <c r="B127" s="12">
        <v>38544</v>
      </c>
      <c r="C127" s="12">
        <v>5551.66</v>
      </c>
      <c r="D127" s="12">
        <f>Depositi!D127+Depositi!E127+Depositi!F127</f>
        <v>18000.27</v>
      </c>
      <c r="E127" s="12">
        <v>696104.21</v>
      </c>
      <c r="F127" s="12">
        <f>Depositi!I127+Depositi!J127+Depositi!K127</f>
        <v>599615.34000000008</v>
      </c>
    </row>
    <row r="128" spans="1:6">
      <c r="A128" s="3">
        <v>41210</v>
      </c>
      <c r="B128" s="12">
        <v>35788</v>
      </c>
      <c r="C128" s="12">
        <v>5405.04</v>
      </c>
      <c r="D128" s="12">
        <f>Depositi!D128+Depositi!E128+Depositi!F128</f>
        <v>17868.789999999997</v>
      </c>
      <c r="E128" s="12">
        <v>702331.42</v>
      </c>
      <c r="F128" s="12">
        <f>Depositi!I128+Depositi!J128+Depositi!K128</f>
        <v>596158.65999999992</v>
      </c>
    </row>
    <row r="129" spans="1:6">
      <c r="A129" s="3">
        <v>41180</v>
      </c>
      <c r="B129" s="12">
        <v>38626</v>
      </c>
      <c r="C129" s="12">
        <v>6870.38</v>
      </c>
      <c r="D129" s="12">
        <f>Depositi!D129+Depositi!E129+Depositi!F129</f>
        <v>17775.18</v>
      </c>
      <c r="E129" s="12">
        <v>716364.21</v>
      </c>
      <c r="F129" s="12">
        <f>Depositi!I129+Depositi!J129+Depositi!K129</f>
        <v>585661.71</v>
      </c>
    </row>
    <row r="130" spans="1:6">
      <c r="A130" s="3">
        <v>41149</v>
      </c>
      <c r="B130" s="12">
        <v>37096</v>
      </c>
      <c r="C130" s="12">
        <v>5675.03</v>
      </c>
      <c r="D130" s="12">
        <f>Depositi!D130+Depositi!E130+Depositi!F130</f>
        <v>17924.870000000003</v>
      </c>
      <c r="E130" s="12">
        <v>699985.33</v>
      </c>
      <c r="F130" s="12">
        <f>Depositi!I130+Depositi!J130+Depositi!K130</f>
        <v>580257.59000000008</v>
      </c>
    </row>
    <row r="131" spans="1:6">
      <c r="A131" s="3">
        <v>41118</v>
      </c>
      <c r="B131" s="12">
        <v>41105</v>
      </c>
      <c r="C131" s="12">
        <v>5816.59</v>
      </c>
      <c r="D131" s="12">
        <f>Depositi!D131+Depositi!E131+Depositi!F131</f>
        <v>16521.099999999999</v>
      </c>
      <c r="E131" s="12">
        <v>700864.39</v>
      </c>
      <c r="F131" s="12">
        <f>Depositi!I131+Depositi!J131+Depositi!K131</f>
        <v>571328.82999999996</v>
      </c>
    </row>
    <row r="132" spans="1:6">
      <c r="A132" s="3">
        <v>41088</v>
      </c>
      <c r="B132" s="12">
        <v>41867</v>
      </c>
      <c r="C132" s="12">
        <v>6541.18</v>
      </c>
      <c r="D132" s="12">
        <f>Depositi!D132+Depositi!E132+Depositi!F132</f>
        <v>16191.22</v>
      </c>
      <c r="E132" s="12">
        <v>709449.85</v>
      </c>
      <c r="F132" s="12">
        <f>Depositi!I132+Depositi!J132+Depositi!K132</f>
        <v>571692.28</v>
      </c>
    </row>
    <row r="133" spans="1:6">
      <c r="A133" s="3">
        <v>41057</v>
      </c>
      <c r="B133" s="12">
        <v>42106</v>
      </c>
      <c r="C133" s="12">
        <v>6283.04</v>
      </c>
      <c r="D133" s="12">
        <f>Depositi!D133+Depositi!E133+Depositi!F133</f>
        <v>16452.48</v>
      </c>
      <c r="E133" s="12">
        <v>700862.85</v>
      </c>
      <c r="F133" s="12">
        <f>Depositi!I133+Depositi!J133+Depositi!K133</f>
        <v>564986.87</v>
      </c>
    </row>
    <row r="134" spans="1:6">
      <c r="A134" s="3">
        <v>41027</v>
      </c>
      <c r="B134" s="12">
        <v>42367</v>
      </c>
      <c r="C134" s="12">
        <v>6025.46</v>
      </c>
      <c r="D134" s="12">
        <f>Depositi!D134+Depositi!E134+Depositi!F134</f>
        <v>16703.22</v>
      </c>
      <c r="E134" s="12">
        <v>707430.1</v>
      </c>
      <c r="F134" s="12">
        <f>Depositi!I134+Depositi!J134+Depositi!K134</f>
        <v>573311.14</v>
      </c>
    </row>
    <row r="135" spans="1:6">
      <c r="A135" s="3">
        <v>40996</v>
      </c>
      <c r="B135" s="12">
        <v>41013</v>
      </c>
      <c r="C135" s="12">
        <v>6073.36</v>
      </c>
      <c r="D135" s="12">
        <f>Depositi!D135+Depositi!E135+Depositi!F135</f>
        <v>17281.809999999998</v>
      </c>
      <c r="E135" s="12">
        <v>711210.4</v>
      </c>
      <c r="F135" s="12">
        <f>Depositi!I135+Depositi!J135+Depositi!K135</f>
        <v>568600.40999999992</v>
      </c>
    </row>
    <row r="136" spans="1:6">
      <c r="A136" s="3">
        <v>40967</v>
      </c>
      <c r="B136" s="12">
        <v>43278</v>
      </c>
      <c r="C136" s="12">
        <v>4953.63</v>
      </c>
      <c r="D136" s="12">
        <f>Depositi!D136+Depositi!E136+Depositi!F136</f>
        <v>17420.929999999997</v>
      </c>
      <c r="E136" s="12">
        <v>699988.91</v>
      </c>
      <c r="F136" s="12">
        <f>Depositi!I136+Depositi!J136+Depositi!K136</f>
        <v>570867.97</v>
      </c>
    </row>
    <row r="137" spans="1:6">
      <c r="A137" s="3">
        <v>40936</v>
      </c>
      <c r="B137" s="12">
        <v>43087</v>
      </c>
      <c r="C137" s="12">
        <v>4996.68</v>
      </c>
      <c r="D137" s="12">
        <f>Depositi!D137+Depositi!E137+Depositi!F137</f>
        <v>16958.87</v>
      </c>
      <c r="E137" s="12">
        <v>705208.74</v>
      </c>
      <c r="F137" s="12">
        <f>Depositi!I137+Depositi!J137+Depositi!K137</f>
        <v>552390.40000000002</v>
      </c>
    </row>
    <row r="138" spans="1:6">
      <c r="A138" s="3">
        <v>40905</v>
      </c>
      <c r="B138" s="12">
        <v>48562</v>
      </c>
      <c r="C138" s="12">
        <v>4612.3900000000003</v>
      </c>
      <c r="D138" s="12">
        <f>Depositi!D138+Depositi!E138+Depositi!F138</f>
        <v>17525.86</v>
      </c>
      <c r="E138" s="12">
        <v>736084.72</v>
      </c>
      <c r="F138" s="12">
        <f>Depositi!I138+Depositi!J138+Depositi!K138</f>
        <v>530524</v>
      </c>
    </row>
    <row r="139" spans="1:6">
      <c r="A139" s="3">
        <v>40875</v>
      </c>
      <c r="B139" s="12">
        <v>50821</v>
      </c>
      <c r="C139" s="12">
        <v>4282.1899999999996</v>
      </c>
      <c r="D139" s="12">
        <f>Depositi!D139+Depositi!E139+Depositi!F139</f>
        <v>16409.53</v>
      </c>
      <c r="E139" s="12">
        <v>703356.49</v>
      </c>
      <c r="F139" s="12">
        <f>Depositi!I139+Depositi!J139+Depositi!K139</f>
        <v>512095.75999999995</v>
      </c>
    </row>
    <row r="140" spans="1:6">
      <c r="A140" s="3">
        <v>40844</v>
      </c>
      <c r="B140" s="12">
        <v>50845</v>
      </c>
      <c r="C140" s="12">
        <v>4359.87</v>
      </c>
      <c r="D140" s="12">
        <f>Depositi!D140+Depositi!E140+Depositi!F140</f>
        <v>16715.87</v>
      </c>
      <c r="E140" s="12">
        <v>731139.19</v>
      </c>
      <c r="F140" s="12">
        <f>Depositi!I140+Depositi!J140+Depositi!K140</f>
        <v>500066.32</v>
      </c>
    </row>
    <row r="141" spans="1:6">
      <c r="A141" s="3">
        <v>40814</v>
      </c>
      <c r="B141" s="12">
        <v>51249</v>
      </c>
      <c r="C141" s="12">
        <v>4675.33</v>
      </c>
      <c r="D141" s="12">
        <f>Depositi!D141+Depositi!E141+Depositi!F141</f>
        <v>17110.63</v>
      </c>
      <c r="E141" s="12">
        <v>735119.71</v>
      </c>
      <c r="F141" s="12">
        <f>Depositi!I141+Depositi!J141+Depositi!K141</f>
        <v>484638.6</v>
      </c>
    </row>
    <row r="142" spans="1:6">
      <c r="A142" s="3">
        <v>40783</v>
      </c>
      <c r="B142" s="12">
        <v>47094</v>
      </c>
      <c r="C142" s="12">
        <v>4043.11</v>
      </c>
      <c r="D142" s="12">
        <f>Depositi!D142+Depositi!E142+Depositi!F142</f>
        <v>16884.949999999997</v>
      </c>
      <c r="E142" s="12">
        <v>731998.14</v>
      </c>
      <c r="F142" s="12">
        <f>Depositi!I142+Depositi!J142+Depositi!K142</f>
        <v>485034.12</v>
      </c>
    </row>
    <row r="143" spans="1:6">
      <c r="A143" s="3">
        <v>40752</v>
      </c>
      <c r="B143" s="12">
        <v>45051</v>
      </c>
      <c r="C143" s="12">
        <v>3992.84</v>
      </c>
      <c r="D143" s="12">
        <f>Depositi!D143+Depositi!E143+Depositi!F143</f>
        <v>17010.55</v>
      </c>
      <c r="E143" s="12">
        <v>744767.97</v>
      </c>
      <c r="F143" s="12">
        <f>Depositi!I143+Depositi!J143+Depositi!K143</f>
        <v>479038.65</v>
      </c>
    </row>
    <row r="144" spans="1:6">
      <c r="A144" s="3">
        <v>40722</v>
      </c>
      <c r="B144" s="12">
        <v>45794</v>
      </c>
      <c r="C144" s="12">
        <v>5549.54</v>
      </c>
      <c r="D144" s="12">
        <f>Depositi!D144+Depositi!E144+Depositi!F144</f>
        <v>17044.420000000002</v>
      </c>
      <c r="E144" s="12">
        <v>742596.44</v>
      </c>
      <c r="F144" s="12">
        <f>Depositi!I144+Depositi!J144+Depositi!K144</f>
        <v>482597.82999999996</v>
      </c>
    </row>
    <row r="145" spans="1:6">
      <c r="A145" s="3">
        <v>40691</v>
      </c>
      <c r="B145" s="12">
        <v>45412</v>
      </c>
      <c r="C145" s="12">
        <v>4421.34</v>
      </c>
      <c r="D145" s="12">
        <f>Depositi!D145+Depositi!E145+Depositi!F145</f>
        <v>16898.89</v>
      </c>
      <c r="E145" s="12">
        <v>741925.82</v>
      </c>
      <c r="F145" s="12">
        <f>Depositi!I145+Depositi!J145+Depositi!K145</f>
        <v>482688.63999999996</v>
      </c>
    </row>
    <row r="146" spans="1:6">
      <c r="A146" s="3">
        <v>40661</v>
      </c>
      <c r="B146" s="12">
        <v>43132</v>
      </c>
      <c r="C146" s="12">
        <v>3958</v>
      </c>
      <c r="D146" s="12">
        <f>Depositi!D146+Depositi!E146+Depositi!F146</f>
        <v>16804.05</v>
      </c>
      <c r="E146" s="12">
        <v>750772.24</v>
      </c>
      <c r="F146" s="12">
        <f>Depositi!I146+Depositi!J146+Depositi!K146</f>
        <v>489772.56</v>
      </c>
    </row>
    <row r="147" spans="1:6">
      <c r="A147" s="3">
        <v>40630</v>
      </c>
      <c r="B147" s="12">
        <v>44357</v>
      </c>
      <c r="C147" s="12">
        <v>5293.76</v>
      </c>
      <c r="D147" s="12">
        <f>Depositi!D147+Depositi!E147+Depositi!F147</f>
        <v>17048.289999999997</v>
      </c>
      <c r="E147" s="12">
        <v>742057.5</v>
      </c>
      <c r="F147" s="12">
        <f>Depositi!I147+Depositi!J147+Depositi!K147</f>
        <v>493051.12</v>
      </c>
    </row>
    <row r="148" spans="1:6">
      <c r="A148" s="3">
        <v>40602</v>
      </c>
      <c r="B148" s="12">
        <v>45430</v>
      </c>
      <c r="C148" s="12">
        <v>5127.47</v>
      </c>
      <c r="D148" s="12">
        <f>Depositi!D148+Depositi!E148+Depositi!F148</f>
        <v>15906.210000000001</v>
      </c>
      <c r="E148" s="12">
        <v>742470.94</v>
      </c>
      <c r="F148" s="12">
        <f>Depositi!I148+Depositi!J148+Depositi!K148</f>
        <v>497543.72000000003</v>
      </c>
    </row>
    <row r="149" spans="1:6">
      <c r="A149" s="3">
        <v>40571</v>
      </c>
      <c r="B149" s="12">
        <v>43959</v>
      </c>
      <c r="C149" s="12">
        <v>4419.99</v>
      </c>
      <c r="D149" s="12">
        <f>Depositi!D149+Depositi!E149+Depositi!F149</f>
        <v>16723.77</v>
      </c>
      <c r="E149" s="12">
        <v>747178.71</v>
      </c>
      <c r="F149" s="12">
        <f>Depositi!I149+Depositi!J149+Depositi!K149</f>
        <v>499628.74</v>
      </c>
    </row>
    <row r="150" spans="1:6">
      <c r="A150" s="3">
        <v>40540</v>
      </c>
      <c r="B150" s="12">
        <v>42985</v>
      </c>
      <c r="C150" s="12">
        <v>4430.16</v>
      </c>
      <c r="D150" s="12">
        <f>Depositi!D150+Depositi!E150+Depositi!F150</f>
        <v>17384.98</v>
      </c>
      <c r="E150" s="12">
        <v>757719.63</v>
      </c>
      <c r="F150" s="12">
        <f>Depositi!I150+Depositi!J150+Depositi!K150</f>
        <v>501885.4</v>
      </c>
    </row>
    <row r="151" spans="1:6">
      <c r="A151" s="3">
        <v>40510</v>
      </c>
      <c r="B151" s="12">
        <v>42272</v>
      </c>
      <c r="C151" s="12">
        <v>5489.74</v>
      </c>
      <c r="D151" s="12">
        <f>Depositi!D151+Depositi!E151+Depositi!F151</f>
        <v>17350.77</v>
      </c>
      <c r="E151" s="12">
        <v>733771.88</v>
      </c>
      <c r="F151" s="12">
        <f>Depositi!I151+Depositi!J151+Depositi!K151</f>
        <v>482572.38</v>
      </c>
    </row>
    <row r="152" spans="1:6">
      <c r="A152" s="3">
        <v>40479</v>
      </c>
      <c r="B152" s="12">
        <v>41382</v>
      </c>
      <c r="C152" s="12">
        <v>5220.6400000000003</v>
      </c>
      <c r="D152" s="12">
        <f>Depositi!D152+Depositi!E152+Depositi!F152</f>
        <v>18156.95</v>
      </c>
      <c r="E152" s="12">
        <v>757801.83</v>
      </c>
      <c r="F152" s="12">
        <f>Depositi!I152+Depositi!J152+Depositi!K152</f>
        <v>475868.15999999997</v>
      </c>
    </row>
    <row r="153" spans="1:6">
      <c r="A153" s="3">
        <v>40449</v>
      </c>
      <c r="B153" s="12">
        <v>41804</v>
      </c>
      <c r="C153" s="12">
        <v>5333.16</v>
      </c>
      <c r="D153" s="12">
        <f>Depositi!D153+Depositi!E153+Depositi!F153</f>
        <v>18345.86</v>
      </c>
      <c r="E153" s="12">
        <v>745030.84</v>
      </c>
      <c r="F153" s="12">
        <f>Depositi!I153+Depositi!J153+Depositi!K153</f>
        <v>479274.41000000003</v>
      </c>
    </row>
    <row r="154" spans="1:6">
      <c r="A154" s="3">
        <v>40418</v>
      </c>
      <c r="B154" s="12">
        <v>42564.34</v>
      </c>
      <c r="C154" s="12">
        <v>4083.5</v>
      </c>
      <c r="D154" s="12">
        <f>Depositi!D154+Depositi!E154+Depositi!F154</f>
        <v>18252.769999999997</v>
      </c>
      <c r="E154" s="12">
        <v>746774.44</v>
      </c>
      <c r="F154" s="12">
        <f>Depositi!I154+Depositi!J154+Depositi!K154</f>
        <v>473772.18</v>
      </c>
    </row>
    <row r="155" spans="1:6">
      <c r="A155" s="3">
        <v>40387</v>
      </c>
      <c r="B155" s="12">
        <v>43170.239999999998</v>
      </c>
      <c r="C155" s="12">
        <v>4572.8</v>
      </c>
      <c r="D155" s="12">
        <f>Depositi!D155+Depositi!E155+Depositi!F155</f>
        <v>17399.87</v>
      </c>
      <c r="E155" s="12">
        <v>763671.25</v>
      </c>
      <c r="F155" s="12">
        <f>Depositi!I155+Depositi!J155+Depositi!K155</f>
        <v>472059.83</v>
      </c>
    </row>
    <row r="156" spans="1:6">
      <c r="A156" s="3">
        <v>40357</v>
      </c>
      <c r="B156" s="12">
        <v>44408.49</v>
      </c>
      <c r="C156" s="12">
        <v>5335.68</v>
      </c>
      <c r="D156" s="12">
        <f>Depositi!D156+Depositi!E156+Depositi!F156</f>
        <v>17493.57</v>
      </c>
      <c r="E156" s="12">
        <v>766148.98</v>
      </c>
      <c r="F156" s="12">
        <f>Depositi!I156+Depositi!J156+Depositi!K156</f>
        <v>475882.76</v>
      </c>
    </row>
    <row r="157" spans="1:6">
      <c r="A157" s="3">
        <v>40326</v>
      </c>
      <c r="B157" s="12">
        <v>47272.56</v>
      </c>
      <c r="C157" s="12">
        <v>5040.5</v>
      </c>
      <c r="D157" s="12">
        <f>Depositi!D157+Depositi!E157+Depositi!F157</f>
        <v>17810.62</v>
      </c>
      <c r="E157" s="12">
        <v>769333.52</v>
      </c>
      <c r="F157" s="12">
        <f>Depositi!I157+Depositi!J157+Depositi!K157</f>
        <v>330057.73</v>
      </c>
    </row>
    <row r="158" spans="1:6">
      <c r="A158" s="3">
        <v>40296</v>
      </c>
      <c r="B158" s="12">
        <v>43457.62</v>
      </c>
      <c r="C158" s="12">
        <v>5280.2</v>
      </c>
      <c r="D158" s="12">
        <f>Depositi!D158+Depositi!E158+Depositi!F158</f>
        <v>18325</v>
      </c>
      <c r="E158" s="12">
        <v>765998.18</v>
      </c>
      <c r="F158" s="12">
        <f>Depositi!I158+Depositi!J158+Depositi!K158</f>
        <v>329430.75</v>
      </c>
    </row>
    <row r="159" spans="1:6">
      <c r="A159" s="3">
        <v>40265</v>
      </c>
      <c r="B159" s="12">
        <v>43456.39</v>
      </c>
      <c r="C159" s="12">
        <v>5512.49</v>
      </c>
      <c r="D159" s="12">
        <f>Depositi!D159+Depositi!E159+Depositi!F159</f>
        <v>17900.12</v>
      </c>
      <c r="E159" s="12">
        <v>752792.51</v>
      </c>
      <c r="F159" s="12">
        <f>Depositi!I159+Depositi!J159+Depositi!K159</f>
        <v>331074.26</v>
      </c>
    </row>
    <row r="160" spans="1:6">
      <c r="A160" s="3">
        <v>40237</v>
      </c>
      <c r="B160" s="12">
        <v>43055.97</v>
      </c>
      <c r="C160" s="12">
        <v>4908.79</v>
      </c>
      <c r="D160" s="12">
        <f>Depositi!D160+Depositi!E160+Depositi!F160</f>
        <v>17514.219999999998</v>
      </c>
      <c r="E160" s="12">
        <v>751971.77</v>
      </c>
      <c r="F160" s="12">
        <f>Depositi!I160+Depositi!J160+Depositi!K160</f>
        <v>332187.88</v>
      </c>
    </row>
    <row r="161" spans="1:6">
      <c r="A161" s="3">
        <v>40206</v>
      </c>
      <c r="B161" s="12">
        <v>41812.61</v>
      </c>
      <c r="C161" s="12">
        <v>4983.8500000000004</v>
      </c>
      <c r="D161" s="12">
        <f>Depositi!D161+Depositi!E161+Depositi!F161</f>
        <v>18214.500000000004</v>
      </c>
      <c r="E161" s="12">
        <v>767834.68</v>
      </c>
      <c r="F161" s="12">
        <f>Depositi!I161+Depositi!J161+Depositi!K161</f>
        <v>330855.76</v>
      </c>
    </row>
    <row r="162" spans="1:6">
      <c r="A162" s="3">
        <v>40175</v>
      </c>
      <c r="B162" s="12">
        <v>40026.379999999997</v>
      </c>
      <c r="C162" s="12">
        <v>5097.76</v>
      </c>
      <c r="D162" s="12">
        <f>Depositi!D162+Depositi!E162+Depositi!F162</f>
        <v>18983.960000000003</v>
      </c>
      <c r="E162" s="12">
        <v>769840.77</v>
      </c>
      <c r="F162" s="12">
        <f>Depositi!I162+Depositi!J162+Depositi!K162</f>
        <v>330187.82</v>
      </c>
    </row>
    <row r="163" spans="1:6">
      <c r="A163" s="3">
        <v>40145</v>
      </c>
      <c r="B163" s="12">
        <v>37060.870000000003</v>
      </c>
      <c r="C163" s="12">
        <v>4874.6400000000003</v>
      </c>
      <c r="D163" s="12">
        <f>Depositi!D163+Depositi!E163+Depositi!F163</f>
        <v>17972.100000000002</v>
      </c>
      <c r="E163" s="12">
        <v>739991.38</v>
      </c>
      <c r="F163" s="12">
        <f>Depositi!I163+Depositi!J163+Depositi!K163</f>
        <v>327665.16000000003</v>
      </c>
    </row>
    <row r="164" spans="1:6">
      <c r="A164" s="3">
        <v>40114</v>
      </c>
      <c r="B164" s="12">
        <v>38560.379999999997</v>
      </c>
      <c r="C164" s="12">
        <v>4880.1000000000004</v>
      </c>
      <c r="D164" s="12">
        <f>Depositi!D164+Depositi!E164+Depositi!F164</f>
        <v>19037.979999999996</v>
      </c>
      <c r="E164" s="12">
        <v>738686.72</v>
      </c>
      <c r="F164" s="12">
        <f>Depositi!I164+Depositi!J164+Depositi!K164</f>
        <v>325579.53000000003</v>
      </c>
    </row>
    <row r="165" spans="1:6">
      <c r="A165" s="3">
        <v>40084</v>
      </c>
      <c r="B165" s="12">
        <v>42278.9</v>
      </c>
      <c r="C165" s="12">
        <v>5202.5200000000004</v>
      </c>
      <c r="D165" s="12">
        <f>Depositi!D165+Depositi!E165+Depositi!F165</f>
        <v>19810.439999999999</v>
      </c>
      <c r="E165" s="12">
        <v>725801.87</v>
      </c>
      <c r="F165" s="12">
        <f>Depositi!I165+Depositi!J165+Depositi!K165</f>
        <v>321577.21999999997</v>
      </c>
    </row>
    <row r="166" spans="1:6">
      <c r="A166" s="3">
        <v>40053</v>
      </c>
      <c r="B166" s="12">
        <v>39289.89</v>
      </c>
      <c r="C166" s="12">
        <v>4884.03</v>
      </c>
      <c r="D166" s="12">
        <f>Depositi!D166+Depositi!E166+Depositi!F166</f>
        <v>19225.3</v>
      </c>
      <c r="E166" s="12">
        <v>712022.3</v>
      </c>
      <c r="F166" s="12">
        <f>Depositi!I166+Depositi!J166+Depositi!K166</f>
        <v>322218.06</v>
      </c>
    </row>
    <row r="167" spans="1:6">
      <c r="A167" s="3">
        <v>40022</v>
      </c>
      <c r="B167" s="12">
        <v>39218</v>
      </c>
      <c r="C167" s="12">
        <v>4617.43</v>
      </c>
      <c r="D167" s="12">
        <f>Depositi!D167+Depositi!E167+Depositi!F167</f>
        <v>17974.52</v>
      </c>
      <c r="E167" s="12">
        <v>714358.87</v>
      </c>
      <c r="F167" s="12">
        <f>Depositi!I167+Depositi!J167+Depositi!K167</f>
        <v>321763.08999999997</v>
      </c>
    </row>
    <row r="168" spans="1:6">
      <c r="A168" s="3">
        <v>39992</v>
      </c>
      <c r="B168" s="12">
        <v>41339</v>
      </c>
      <c r="C168" s="12">
        <v>5073.07</v>
      </c>
      <c r="D168" s="12">
        <f>Depositi!D168+Depositi!E168+Depositi!F168</f>
        <v>17931.78</v>
      </c>
      <c r="E168" s="12">
        <v>720702.46</v>
      </c>
      <c r="F168" s="12">
        <f>Depositi!I168+Depositi!J168+Depositi!K168</f>
        <v>319918.42000000004</v>
      </c>
    </row>
    <row r="169" spans="1:6">
      <c r="A169" s="3">
        <v>39961</v>
      </c>
      <c r="B169" s="12">
        <v>39860</v>
      </c>
      <c r="C169" s="12">
        <v>5052.7299999999996</v>
      </c>
      <c r="D169" s="12">
        <f>Depositi!D169+Depositi!E169+Depositi!F169</f>
        <v>18768.370000000003</v>
      </c>
      <c r="E169" s="12">
        <v>713126.98</v>
      </c>
      <c r="F169" s="12">
        <f>Depositi!I169+Depositi!J169+Depositi!K169</f>
        <v>319548.39</v>
      </c>
    </row>
    <row r="170" spans="1:6">
      <c r="A170" s="3">
        <v>39931</v>
      </c>
      <c r="B170" s="12">
        <v>38599</v>
      </c>
      <c r="C170" s="12">
        <v>4797.88</v>
      </c>
      <c r="D170" s="12">
        <f>Depositi!D170+Depositi!E170+Depositi!F170</f>
        <v>18833.149999999998</v>
      </c>
      <c r="E170" s="12">
        <v>710776.61</v>
      </c>
      <c r="F170" s="12">
        <f>Depositi!I170+Depositi!J170+Depositi!K170</f>
        <v>318554.21999999997</v>
      </c>
    </row>
    <row r="171" spans="1:6">
      <c r="A171" s="3">
        <v>39900</v>
      </c>
      <c r="B171" s="12">
        <v>38050.620000000003</v>
      </c>
      <c r="C171" s="12">
        <v>4894.6899999999996</v>
      </c>
      <c r="D171" s="12">
        <f>Depositi!D171+Depositi!E171+Depositi!F171</f>
        <v>18976.21</v>
      </c>
      <c r="E171" s="12">
        <v>691908.57</v>
      </c>
      <c r="F171" s="12">
        <f>Depositi!I171+Depositi!J171+Depositi!K171</f>
        <v>317146.99</v>
      </c>
    </row>
    <row r="172" spans="1:6">
      <c r="A172" s="3">
        <v>39872</v>
      </c>
      <c r="B172" s="12">
        <v>39022.6</v>
      </c>
      <c r="C172" s="12">
        <v>4925.6000000000004</v>
      </c>
      <c r="D172" s="12">
        <f>Depositi!D172+Depositi!E172+Depositi!F172</f>
        <v>19638.780000000002</v>
      </c>
      <c r="E172" s="12">
        <v>684342.35</v>
      </c>
      <c r="F172" s="12">
        <f>Depositi!I172+Depositi!J172+Depositi!K172</f>
        <v>313588.40000000002</v>
      </c>
    </row>
    <row r="173" spans="1:6">
      <c r="A173" s="3">
        <v>39841</v>
      </c>
      <c r="B173" s="12">
        <v>39616.589999999997</v>
      </c>
      <c r="C173" s="12">
        <v>4922.3999999999996</v>
      </c>
      <c r="D173" s="12">
        <f>Depositi!D173+Depositi!E173+Depositi!F173</f>
        <v>19664.73</v>
      </c>
      <c r="E173" s="12">
        <v>687796.8</v>
      </c>
      <c r="F173" s="12">
        <f>Depositi!I173+Depositi!J173+Depositi!K173</f>
        <v>312718.3</v>
      </c>
    </row>
    <row r="174" spans="1:6">
      <c r="A174" s="3">
        <v>39810</v>
      </c>
      <c r="B174" s="12">
        <v>34526.339999999997</v>
      </c>
      <c r="C174" s="12">
        <v>5125.76</v>
      </c>
      <c r="D174" s="12">
        <f>Depositi!D174+Depositi!E174+Depositi!F174</f>
        <v>21286.37</v>
      </c>
      <c r="E174" s="12">
        <v>692595.7</v>
      </c>
      <c r="F174" s="12">
        <f>Depositi!I174+Depositi!J174+Depositi!K174</f>
        <v>305541.48</v>
      </c>
    </row>
    <row r="175" spans="1:6">
      <c r="A175" s="3">
        <v>39780</v>
      </c>
      <c r="B175" s="12">
        <v>36020</v>
      </c>
      <c r="C175" s="12">
        <v>3939.69</v>
      </c>
      <c r="D175" s="12">
        <f>Depositi!D175+Depositi!E175+Depositi!F175</f>
        <v>17819.750000000004</v>
      </c>
      <c r="E175" s="12">
        <v>666542.06000000006</v>
      </c>
      <c r="F175" s="12">
        <f>Depositi!I175+Depositi!J175+Depositi!K175</f>
        <v>300295.71999999997</v>
      </c>
    </row>
    <row r="176" spans="1:6">
      <c r="A176" s="3">
        <v>39749</v>
      </c>
      <c r="B176" s="12">
        <v>36250</v>
      </c>
      <c r="C176" s="12">
        <v>4024.03</v>
      </c>
      <c r="D176" s="12">
        <f>Depositi!D176+Depositi!E176+Depositi!F176</f>
        <v>17620.560000000001</v>
      </c>
      <c r="E176" s="12">
        <v>662416.31000000006</v>
      </c>
      <c r="F176" s="12">
        <f>Depositi!I176+Depositi!J176+Depositi!K176</f>
        <v>295914.90999999997</v>
      </c>
    </row>
    <row r="177" spans="1:6">
      <c r="A177" s="3">
        <v>39719</v>
      </c>
      <c r="B177" s="12">
        <v>37964</v>
      </c>
      <c r="C177" s="12">
        <v>3944.27</v>
      </c>
      <c r="D177" s="12">
        <f>Depositi!D177+Depositi!E177+Depositi!F177</f>
        <v>18118.189999999999</v>
      </c>
      <c r="E177" s="12">
        <v>645897.89</v>
      </c>
      <c r="F177" s="12">
        <f>Depositi!I177+Depositi!J177+Depositi!K177</f>
        <v>291299.7</v>
      </c>
    </row>
    <row r="178" spans="1:6">
      <c r="A178" s="3">
        <v>39688</v>
      </c>
      <c r="B178" s="12">
        <v>38470</v>
      </c>
      <c r="C178" s="12">
        <v>3551.08</v>
      </c>
      <c r="D178" s="12">
        <f>Depositi!D178+Depositi!E178+Depositi!F178</f>
        <v>20010.010000000002</v>
      </c>
      <c r="E178" s="12">
        <v>620833.39</v>
      </c>
      <c r="F178" s="12">
        <f>Depositi!I178+Depositi!J178+Depositi!K178</f>
        <v>289414.44</v>
      </c>
    </row>
    <row r="179" spans="1:6">
      <c r="A179" s="3">
        <v>39657</v>
      </c>
      <c r="B179" s="12">
        <v>38993</v>
      </c>
      <c r="C179" s="12">
        <v>4791.91</v>
      </c>
      <c r="D179" s="12">
        <f>Depositi!D179+Depositi!E179+Depositi!F179</f>
        <v>19384.919999999998</v>
      </c>
      <c r="E179" s="12">
        <v>639624.31000000006</v>
      </c>
      <c r="F179" s="12">
        <f>Depositi!I179+Depositi!J179+Depositi!K179</f>
        <v>286147.63</v>
      </c>
    </row>
    <row r="180" spans="1:6">
      <c r="A180" s="3">
        <v>39627</v>
      </c>
      <c r="B180" s="12">
        <v>40074</v>
      </c>
      <c r="C180" s="12">
        <v>4399.17</v>
      </c>
      <c r="D180" s="12">
        <f>Depositi!D180+Depositi!E180+Depositi!F180</f>
        <v>18127.22</v>
      </c>
      <c r="E180" s="12">
        <v>654009.14</v>
      </c>
      <c r="F180" s="12">
        <f>Depositi!I180+Depositi!J180+Depositi!K180</f>
        <v>285639.12</v>
      </c>
    </row>
    <row r="181" spans="1:6">
      <c r="A181" s="3">
        <v>39596</v>
      </c>
      <c r="B181" s="12">
        <v>39508</v>
      </c>
      <c r="C181" s="12">
        <v>4785.83</v>
      </c>
      <c r="D181" s="12">
        <f>Depositi!D181+Depositi!E181+Depositi!F181</f>
        <v>15506.820000000002</v>
      </c>
      <c r="E181" s="12">
        <v>655934.35</v>
      </c>
      <c r="F181" s="12">
        <f>Depositi!I181+Depositi!J181+Depositi!K181</f>
        <v>287793</v>
      </c>
    </row>
    <row r="182" spans="1:6">
      <c r="A182" s="3">
        <v>39566</v>
      </c>
      <c r="B182" s="12">
        <v>38932</v>
      </c>
      <c r="C182" s="12">
        <v>3255.47</v>
      </c>
      <c r="D182" s="12">
        <f>Depositi!D182+Depositi!E182+Depositi!F182</f>
        <v>13746.279999999999</v>
      </c>
      <c r="E182" s="12">
        <v>651282.35</v>
      </c>
      <c r="F182" s="12">
        <f>Depositi!I182+Depositi!J182+Depositi!K182</f>
        <v>287250.83</v>
      </c>
    </row>
    <row r="183" spans="1:6">
      <c r="A183" s="3">
        <v>39535</v>
      </c>
      <c r="B183" s="12">
        <v>40401</v>
      </c>
      <c r="C183" s="12">
        <v>3685.25</v>
      </c>
      <c r="D183" s="12">
        <f>Depositi!D183+Depositi!E183+Depositi!F183</f>
        <v>12969.92</v>
      </c>
      <c r="E183" s="12">
        <v>636326.06999999995</v>
      </c>
      <c r="F183" s="12">
        <f>Depositi!I183+Depositi!J183+Depositi!K183</f>
        <v>287156.58</v>
      </c>
    </row>
    <row r="184" spans="1:6">
      <c r="A184" s="3">
        <v>39506</v>
      </c>
      <c r="B184" s="12">
        <v>40848</v>
      </c>
      <c r="C184" s="12">
        <v>3411.82</v>
      </c>
      <c r="D184" s="12">
        <f>Depositi!D184+Depositi!E184+Depositi!F184</f>
        <v>12690.279999999999</v>
      </c>
      <c r="E184" s="12">
        <v>625920.79</v>
      </c>
      <c r="F184" s="12">
        <f>Depositi!I184+Depositi!J184+Depositi!K184</f>
        <v>285656.84000000003</v>
      </c>
    </row>
    <row r="185" spans="1:6">
      <c r="A185" s="3">
        <v>39475</v>
      </c>
      <c r="B185" s="12">
        <v>38770</v>
      </c>
      <c r="C185" s="12">
        <v>3632.95</v>
      </c>
      <c r="D185" s="12">
        <f>Depositi!D185+Depositi!E185+Depositi!F185</f>
        <v>11216.310000000001</v>
      </c>
      <c r="E185" s="12">
        <v>635424.98</v>
      </c>
      <c r="F185" s="12">
        <f>Depositi!I185+Depositi!J185+Depositi!K185</f>
        <v>282150.40000000002</v>
      </c>
    </row>
    <row r="186" spans="1:6">
      <c r="A186" s="3">
        <v>39444</v>
      </c>
      <c r="B186" s="12">
        <v>37360</v>
      </c>
      <c r="C186" s="12">
        <v>3707.41</v>
      </c>
      <c r="D186" s="12">
        <f>Depositi!D186+Depositi!E186+Depositi!F186</f>
        <v>10386.44</v>
      </c>
      <c r="E186" s="12">
        <v>647499.5</v>
      </c>
      <c r="F186" s="12">
        <f>Depositi!I186+Depositi!J186+Depositi!K186</f>
        <v>278852.74</v>
      </c>
    </row>
    <row r="187" spans="1:6">
      <c r="A187" s="3">
        <v>39414</v>
      </c>
      <c r="B187" s="12">
        <v>38906</v>
      </c>
      <c r="C187" s="12">
        <v>4090.67</v>
      </c>
      <c r="D187" s="12">
        <f>Depositi!D187+Depositi!E187+Depositi!F187</f>
        <v>11052.859999999999</v>
      </c>
      <c r="E187" s="12">
        <v>609561.43000000005</v>
      </c>
      <c r="F187" s="12">
        <f>Depositi!I187+Depositi!J187+Depositi!K187</f>
        <v>269762.03000000003</v>
      </c>
    </row>
    <row r="188" spans="1:6">
      <c r="A188" s="3">
        <v>39383</v>
      </c>
      <c r="B188" s="12">
        <v>38905</v>
      </c>
      <c r="C188" s="12">
        <v>3800.87</v>
      </c>
      <c r="D188" s="12">
        <f>Depositi!D188+Depositi!E188+Depositi!F188</f>
        <v>10302.33</v>
      </c>
      <c r="E188" s="12">
        <v>621323.44999999995</v>
      </c>
      <c r="F188" s="12">
        <f>Depositi!I188+Depositi!J188+Depositi!K188</f>
        <v>266821.36</v>
      </c>
    </row>
    <row r="189" spans="1:6">
      <c r="A189" s="3">
        <v>39353</v>
      </c>
      <c r="B189" s="12">
        <v>39642</v>
      </c>
      <c r="C189" s="12">
        <v>3795.88</v>
      </c>
      <c r="D189" s="12">
        <f>Depositi!D189+Depositi!E189+Depositi!F189</f>
        <v>9515.65</v>
      </c>
      <c r="E189" s="12">
        <v>618647.74</v>
      </c>
      <c r="F189" s="12">
        <f>Depositi!I189+Depositi!J189+Depositi!K189</f>
        <v>112177.53</v>
      </c>
    </row>
    <row r="190" spans="1:6">
      <c r="A190" s="3">
        <v>39322</v>
      </c>
      <c r="B190" s="12">
        <v>39025</v>
      </c>
      <c r="C190" s="12">
        <v>3280.78</v>
      </c>
      <c r="D190" s="12">
        <f>Depositi!D190+Depositi!E190+Depositi!F190</f>
        <v>9528.02</v>
      </c>
      <c r="E190" s="12">
        <v>598145.14</v>
      </c>
      <c r="F190" s="12">
        <f>Depositi!I190+Depositi!J190+Depositi!K190</f>
        <v>111191.18</v>
      </c>
    </row>
    <row r="191" spans="1:6">
      <c r="A191" s="3">
        <v>39291</v>
      </c>
      <c r="B191" s="12">
        <v>39038</v>
      </c>
      <c r="C191" s="12">
        <v>4597.1400000000003</v>
      </c>
      <c r="D191" s="12">
        <f>Depositi!D191+Depositi!E191+Depositi!F191</f>
        <v>11235.390000000001</v>
      </c>
      <c r="E191" s="12">
        <v>619005.26</v>
      </c>
      <c r="F191" s="12">
        <f>Depositi!I191+Depositi!J191+Depositi!K191</f>
        <v>110709.73000000001</v>
      </c>
    </row>
    <row r="192" spans="1:6">
      <c r="A192" s="3">
        <v>39261</v>
      </c>
      <c r="B192" s="12">
        <v>39876</v>
      </c>
      <c r="C192" s="12">
        <v>3973.48</v>
      </c>
      <c r="D192" s="12">
        <f>Depositi!D192+Depositi!E192+Depositi!F192</f>
        <v>10177.720000000001</v>
      </c>
      <c r="E192" s="12">
        <v>628159.67000000004</v>
      </c>
      <c r="F192" s="12">
        <f>Depositi!I192+Depositi!J192+Depositi!K192</f>
        <v>110977.39</v>
      </c>
    </row>
    <row r="193" spans="1:6">
      <c r="A193" s="3">
        <v>39230</v>
      </c>
      <c r="B193" s="12">
        <v>39326</v>
      </c>
      <c r="C193" s="12">
        <v>3784.13</v>
      </c>
      <c r="D193" s="12">
        <f>Depositi!D193+Depositi!E193+Depositi!F193</f>
        <v>9637.43</v>
      </c>
      <c r="E193" s="12">
        <v>621835.85</v>
      </c>
      <c r="F193" s="12">
        <f>Depositi!I193+Depositi!J193+Depositi!K193</f>
        <v>111801.31</v>
      </c>
    </row>
    <row r="194" spans="1:6">
      <c r="A194" s="3">
        <v>39200</v>
      </c>
      <c r="B194" s="12">
        <v>39652</v>
      </c>
      <c r="C194" s="12">
        <v>4307.88</v>
      </c>
      <c r="D194" s="12">
        <f>Depositi!D194+Depositi!E194+Depositi!F194</f>
        <v>9840.7900000000009</v>
      </c>
      <c r="E194" s="12">
        <v>622949.04</v>
      </c>
      <c r="F194" s="12">
        <f>Depositi!I194+Depositi!J194+Depositi!K194</f>
        <v>112232.63</v>
      </c>
    </row>
    <row r="195" spans="1:6">
      <c r="A195" s="3">
        <v>39169</v>
      </c>
      <c r="B195" s="12">
        <v>39701</v>
      </c>
      <c r="C195" s="12">
        <v>3061.34</v>
      </c>
      <c r="D195" s="12">
        <f>Depositi!D195+Depositi!E195+Depositi!F195</f>
        <v>10415.619999999999</v>
      </c>
      <c r="E195" s="12">
        <v>610063.84</v>
      </c>
      <c r="F195" s="12">
        <f>Depositi!I195+Depositi!J195+Depositi!K195</f>
        <v>113546.91</v>
      </c>
    </row>
    <row r="196" spans="1:6">
      <c r="A196" s="3">
        <v>39141</v>
      </c>
      <c r="B196" s="12">
        <v>39555</v>
      </c>
      <c r="C196" s="12">
        <v>4457.82</v>
      </c>
      <c r="D196" s="12">
        <f>Depositi!D196+Depositi!E196+Depositi!F196</f>
        <v>9462.380000000001</v>
      </c>
      <c r="E196" s="12">
        <v>604555.16</v>
      </c>
      <c r="F196" s="12">
        <f>Depositi!I196+Depositi!J196+Depositi!K196</f>
        <v>110707.28</v>
      </c>
    </row>
    <row r="197" spans="1:6">
      <c r="A197" s="3">
        <v>39110</v>
      </c>
      <c r="B197" s="12">
        <v>39224</v>
      </c>
      <c r="C197" s="12">
        <v>4489.72</v>
      </c>
      <c r="D197" s="12">
        <f>Depositi!D197+Depositi!E197+Depositi!F197</f>
        <v>9679.49</v>
      </c>
      <c r="E197" s="12">
        <v>610114.11</v>
      </c>
      <c r="F197" s="12">
        <f>Depositi!I197+Depositi!J197+Depositi!K197</f>
        <v>111450.70000000001</v>
      </c>
    </row>
    <row r="198" spans="1:6">
      <c r="A198" s="3">
        <v>39079</v>
      </c>
      <c r="B198" s="12">
        <v>40836</v>
      </c>
      <c r="C198" s="12">
        <v>3929.89</v>
      </c>
      <c r="D198" s="12">
        <f>Depositi!D198+Depositi!E198+Depositi!F198</f>
        <v>12458.160000000002</v>
      </c>
      <c r="E198" s="12">
        <v>629210.06000000006</v>
      </c>
      <c r="F198" s="12">
        <f>Depositi!I198+Depositi!J198+Depositi!K198</f>
        <v>114828.28</v>
      </c>
    </row>
    <row r="199" spans="1:6">
      <c r="A199" s="3">
        <v>39049</v>
      </c>
      <c r="B199" s="12">
        <v>42350</v>
      </c>
      <c r="C199" s="12">
        <v>3347.84</v>
      </c>
      <c r="D199" s="12">
        <f>Depositi!D199+Depositi!E199+Depositi!F199</f>
        <v>10841.259999999998</v>
      </c>
      <c r="E199" s="12">
        <v>587776.9</v>
      </c>
      <c r="F199" s="12">
        <f>Depositi!I199+Depositi!J199+Depositi!K199</f>
        <v>109018.76</v>
      </c>
    </row>
    <row r="200" spans="1:6">
      <c r="A200" s="3">
        <v>39018</v>
      </c>
      <c r="B200" s="12">
        <v>41566</v>
      </c>
      <c r="C200" s="12">
        <v>3413.55</v>
      </c>
      <c r="D200" s="12">
        <f>Depositi!D200+Depositi!E200+Depositi!F200</f>
        <v>11285.32</v>
      </c>
      <c r="E200" s="12">
        <v>597503.55000000005</v>
      </c>
      <c r="F200" s="12">
        <f>Depositi!I200+Depositi!J200+Depositi!K200</f>
        <v>109168.03</v>
      </c>
    </row>
    <row r="201" spans="1:6">
      <c r="A201" s="3">
        <v>38988</v>
      </c>
      <c r="B201" s="12">
        <v>41368</v>
      </c>
      <c r="C201" s="12">
        <v>3813.44</v>
      </c>
      <c r="D201" s="12">
        <f>Depositi!D201+Depositi!E201+Depositi!F201</f>
        <v>11096.55</v>
      </c>
      <c r="E201" s="12">
        <v>589789.18999999994</v>
      </c>
      <c r="F201" s="12">
        <f>Depositi!I201+Depositi!J201+Depositi!K201</f>
        <v>113405.51</v>
      </c>
    </row>
    <row r="202" spans="1:6">
      <c r="A202" s="3">
        <v>38957</v>
      </c>
      <c r="B202" s="12">
        <v>41234</v>
      </c>
      <c r="C202" s="12">
        <v>3079.79</v>
      </c>
      <c r="D202" s="12">
        <f>Depositi!D202+Depositi!E202+Depositi!F202</f>
        <v>11302.3</v>
      </c>
      <c r="E202" s="12">
        <v>570665.49</v>
      </c>
      <c r="F202" s="12">
        <f>Depositi!I202+Depositi!J202+Depositi!K202</f>
        <v>112837.98</v>
      </c>
    </row>
    <row r="203" spans="1:6">
      <c r="A203" s="3">
        <v>38926</v>
      </c>
      <c r="B203" s="12">
        <v>40881</v>
      </c>
      <c r="C203" s="12">
        <v>3460.08</v>
      </c>
      <c r="D203" s="12">
        <f>Depositi!D203+Depositi!E203+Depositi!F203</f>
        <v>11409.730000000001</v>
      </c>
      <c r="E203" s="12">
        <v>591361.47</v>
      </c>
      <c r="F203" s="12">
        <f>Depositi!I203+Depositi!J203+Depositi!K203</f>
        <v>111781.06</v>
      </c>
    </row>
    <row r="204" spans="1:6">
      <c r="A204" s="3">
        <v>38896</v>
      </c>
      <c r="B204" s="12">
        <v>41477</v>
      </c>
      <c r="C204" s="12">
        <v>3377.65</v>
      </c>
      <c r="D204" s="12">
        <f>Depositi!D204+Depositi!E204+Depositi!F204</f>
        <v>10599.53</v>
      </c>
      <c r="E204" s="12">
        <v>599757.93999999994</v>
      </c>
      <c r="F204" s="12">
        <f>Depositi!I204+Depositi!J204+Depositi!K204</f>
        <v>111589.87</v>
      </c>
    </row>
    <row r="205" spans="1:6">
      <c r="A205" s="3">
        <v>38865</v>
      </c>
      <c r="B205" s="12">
        <v>43075</v>
      </c>
      <c r="C205" s="12">
        <v>3767.23</v>
      </c>
      <c r="D205" s="12">
        <f>Depositi!D205+Depositi!E205+Depositi!F205</f>
        <v>10013.33</v>
      </c>
      <c r="E205" s="12">
        <v>600571.80000000005</v>
      </c>
      <c r="F205" s="12">
        <f>Depositi!I205+Depositi!J205+Depositi!K205</f>
        <v>110779.09</v>
      </c>
    </row>
    <row r="206" spans="1:6">
      <c r="A206" s="3">
        <v>38835</v>
      </c>
      <c r="B206" s="12">
        <v>43523</v>
      </c>
      <c r="C206" s="12">
        <v>3645.16</v>
      </c>
      <c r="D206" s="12">
        <f>Depositi!D206+Depositi!E206+Depositi!F206</f>
        <v>9372.9599999999991</v>
      </c>
      <c r="E206" s="12">
        <v>598476.64</v>
      </c>
      <c r="F206" s="12">
        <f>Depositi!I206+Depositi!J206+Depositi!K206</f>
        <v>111261.5</v>
      </c>
    </row>
    <row r="207" spans="1:6">
      <c r="A207" s="3">
        <v>38804</v>
      </c>
      <c r="B207" s="12">
        <v>45800</v>
      </c>
      <c r="C207" s="12">
        <v>3494.07</v>
      </c>
      <c r="D207" s="12">
        <f>Depositi!D207+Depositi!E207+Depositi!F207</f>
        <v>9523.49</v>
      </c>
      <c r="E207" s="12">
        <v>583208.41</v>
      </c>
      <c r="F207" s="12">
        <f>Depositi!I207+Depositi!J207+Depositi!K207</f>
        <v>111934.88999999998</v>
      </c>
    </row>
    <row r="208" spans="1:6">
      <c r="A208" s="3">
        <v>38776</v>
      </c>
      <c r="B208" s="12">
        <v>46151</v>
      </c>
      <c r="C208" s="12">
        <v>3731.62</v>
      </c>
      <c r="D208" s="12">
        <f>Depositi!D208+Depositi!E208+Depositi!F208</f>
        <v>8348.8399999999983</v>
      </c>
      <c r="E208" s="12">
        <v>576293.78</v>
      </c>
      <c r="F208" s="12">
        <f>Depositi!I208+Depositi!J208+Depositi!K208</f>
        <v>110550.25</v>
      </c>
    </row>
    <row r="209" spans="1:6">
      <c r="A209" s="3">
        <v>38745</v>
      </c>
      <c r="B209" s="12">
        <v>43955</v>
      </c>
      <c r="C209" s="12">
        <v>3705.81</v>
      </c>
      <c r="D209" s="12">
        <f>Depositi!D209+Depositi!E209+Depositi!F209</f>
        <v>8446.7899999999991</v>
      </c>
      <c r="E209" s="12">
        <v>579522.93000000005</v>
      </c>
      <c r="F209" s="12">
        <f>Depositi!I209+Depositi!J209+Depositi!K209</f>
        <v>110053.81</v>
      </c>
    </row>
    <row r="210" spans="1:6">
      <c r="A210" s="3">
        <v>38714</v>
      </c>
      <c r="B210" s="12">
        <v>45723</v>
      </c>
      <c r="C210" s="12">
        <v>3370.94</v>
      </c>
      <c r="D210" s="12">
        <f>Depositi!D210+Depositi!E210+Depositi!F210</f>
        <v>8707.9500000000007</v>
      </c>
      <c r="E210" s="12">
        <v>590516.55000000005</v>
      </c>
      <c r="F210" s="12">
        <f>Depositi!I210+Depositi!J210+Depositi!K210</f>
        <v>112478.64</v>
      </c>
    </row>
    <row r="211" spans="1:6">
      <c r="A211" s="3">
        <v>38684</v>
      </c>
      <c r="B211" s="12">
        <v>46727</v>
      </c>
      <c r="C211" s="12">
        <v>4036.65</v>
      </c>
      <c r="D211" s="12">
        <f>Depositi!D211+Depositi!E211+Depositi!F211</f>
        <v>7560.78</v>
      </c>
      <c r="E211" s="12">
        <v>558495.53</v>
      </c>
      <c r="F211" s="12">
        <f>Depositi!I211+Depositi!J211+Depositi!K211</f>
        <v>108051.63</v>
      </c>
    </row>
    <row r="212" spans="1:6">
      <c r="A212" s="3">
        <v>38653</v>
      </c>
      <c r="B212" s="12">
        <v>45688</v>
      </c>
      <c r="C212" s="12">
        <v>6622.61</v>
      </c>
      <c r="D212" s="12">
        <f>Depositi!D212+Depositi!E212+Depositi!F212</f>
        <v>8208.5399999999991</v>
      </c>
      <c r="E212" s="12">
        <v>567281.68000000005</v>
      </c>
      <c r="F212" s="12">
        <f>Depositi!I212+Depositi!J212+Depositi!K212</f>
        <v>108205.09</v>
      </c>
    </row>
    <row r="213" spans="1:6">
      <c r="A213" s="3">
        <v>38623</v>
      </c>
      <c r="B213" s="12">
        <v>45102</v>
      </c>
      <c r="C213" s="12">
        <v>3951.11</v>
      </c>
      <c r="D213" s="12">
        <f>Depositi!D213+Depositi!E213+Depositi!F213</f>
        <v>9031.6200000000008</v>
      </c>
      <c r="E213" s="12">
        <v>558494.88</v>
      </c>
      <c r="F213" s="12">
        <f>Depositi!I213+Depositi!J213+Depositi!K213</f>
        <v>109124.17</v>
      </c>
    </row>
    <row r="214" spans="1:6">
      <c r="A214" s="3">
        <v>38592</v>
      </c>
      <c r="B214" s="12">
        <v>41872</v>
      </c>
      <c r="C214" s="12">
        <v>3635.27</v>
      </c>
      <c r="D214" s="12">
        <f>Depositi!D214+Depositi!E214+Depositi!F214</f>
        <v>8486.0899999999983</v>
      </c>
      <c r="E214" s="12">
        <v>545307.65</v>
      </c>
      <c r="F214" s="12">
        <f>Depositi!I214+Depositi!J214+Depositi!K214</f>
        <v>109680.53</v>
      </c>
    </row>
    <row r="215" spans="1:6">
      <c r="A215" s="3">
        <v>38561</v>
      </c>
      <c r="B215" s="12">
        <v>42604</v>
      </c>
      <c r="C215" s="12">
        <v>3800.25</v>
      </c>
      <c r="D215" s="12">
        <f>Depositi!D215+Depositi!E215+Depositi!F215</f>
        <v>9114.56</v>
      </c>
      <c r="E215" s="12">
        <v>563231.59</v>
      </c>
      <c r="F215" s="12">
        <f>Depositi!I215+Depositi!J215+Depositi!K215</f>
        <v>109062.38</v>
      </c>
    </row>
    <row r="216" spans="1:6">
      <c r="A216" s="3">
        <v>38531</v>
      </c>
      <c r="B216" s="12">
        <v>43393</v>
      </c>
      <c r="C216" s="12">
        <v>3938.14</v>
      </c>
      <c r="D216" s="12">
        <f>Depositi!D216+Depositi!E216+Depositi!F216</f>
        <v>9133.9699999999993</v>
      </c>
      <c r="E216" s="12">
        <v>563895.13</v>
      </c>
      <c r="F216" s="12">
        <f>Depositi!I216+Depositi!J216+Depositi!K216</f>
        <v>109104.13</v>
      </c>
    </row>
    <row r="217" spans="1:6">
      <c r="A217" s="3">
        <v>38500</v>
      </c>
      <c r="B217" s="12">
        <v>42232</v>
      </c>
      <c r="C217" s="12">
        <v>4798.1499999999996</v>
      </c>
      <c r="D217" s="12">
        <f>Depositi!D217+Depositi!E217+Depositi!F217</f>
        <v>7122.4199999999992</v>
      </c>
      <c r="E217" s="12">
        <v>557689.59999999998</v>
      </c>
      <c r="F217" s="12">
        <f>Depositi!I217+Depositi!J217+Depositi!K217</f>
        <v>108097.45999999999</v>
      </c>
    </row>
    <row r="218" spans="1:6">
      <c r="A218" s="3">
        <v>38470</v>
      </c>
      <c r="B218" s="12">
        <v>40185</v>
      </c>
      <c r="C218" s="12">
        <v>3450.91</v>
      </c>
      <c r="D218" s="12">
        <f>Depositi!D218+Depositi!E218+Depositi!F218</f>
        <v>7536.23</v>
      </c>
      <c r="E218" s="12">
        <v>557901.80000000005</v>
      </c>
      <c r="F218" s="12">
        <f>Depositi!I218+Depositi!J218+Depositi!K218</f>
        <v>108332.45000000001</v>
      </c>
    </row>
    <row r="219" spans="1:6">
      <c r="A219" s="3">
        <v>38439</v>
      </c>
      <c r="B219" s="12">
        <v>38442</v>
      </c>
      <c r="C219" s="12">
        <v>3745.16</v>
      </c>
      <c r="D219" s="12">
        <f>Depositi!D219+Depositi!E219+Depositi!F219</f>
        <v>7723.7400000000007</v>
      </c>
      <c r="E219" s="12">
        <v>539995.92000000004</v>
      </c>
      <c r="F219" s="12">
        <f>Depositi!I219+Depositi!J219+Depositi!K219</f>
        <v>109501.81</v>
      </c>
    </row>
    <row r="220" spans="1:6">
      <c r="A220" s="3">
        <v>38411</v>
      </c>
      <c r="B220" s="12">
        <v>37300</v>
      </c>
      <c r="C220" s="12">
        <v>3618.38</v>
      </c>
      <c r="D220" s="12">
        <f>Depositi!D220+Depositi!E220+Depositi!F220</f>
        <v>6837.07</v>
      </c>
      <c r="E220" s="12">
        <v>537125.05000000005</v>
      </c>
      <c r="F220" s="12">
        <f>Depositi!I220+Depositi!J220+Depositi!K220</f>
        <v>107862.53</v>
      </c>
    </row>
    <row r="221" spans="1:6">
      <c r="A221" s="3">
        <v>38380</v>
      </c>
      <c r="B221" s="12">
        <v>38288</v>
      </c>
      <c r="C221" s="12">
        <v>3394.15</v>
      </c>
      <c r="D221" s="12">
        <f>Depositi!D221+Depositi!E221+Depositi!F221</f>
        <v>7408.8</v>
      </c>
      <c r="E221" s="12">
        <v>542367.17000000004</v>
      </c>
      <c r="F221" s="12">
        <f>Depositi!I221+Depositi!J221+Depositi!K221</f>
        <v>108176.70999999999</v>
      </c>
    </row>
    <row r="222" spans="1:6">
      <c r="A222" s="3">
        <v>38349</v>
      </c>
      <c r="B222" s="12">
        <v>37401</v>
      </c>
      <c r="C222" s="12">
        <v>3319.97</v>
      </c>
      <c r="D222" s="12">
        <f>Depositi!D222+Depositi!E222+Depositi!F222</f>
        <v>8179.7600000000011</v>
      </c>
      <c r="E222" s="12">
        <v>546142.43000000005</v>
      </c>
      <c r="F222" s="12">
        <f>Depositi!I222+Depositi!J222+Depositi!K222</f>
        <v>109101.44</v>
      </c>
    </row>
    <row r="223" spans="1:6">
      <c r="A223" s="3">
        <v>38319</v>
      </c>
      <c r="B223" s="12">
        <v>42934</v>
      </c>
      <c r="C223" s="12">
        <v>2830.12</v>
      </c>
      <c r="D223" s="12">
        <f>Depositi!D223+Depositi!E223+Depositi!F223</f>
        <v>6828.42</v>
      </c>
      <c r="E223" s="12">
        <v>521861.26</v>
      </c>
      <c r="F223" s="12">
        <f>Depositi!I223+Depositi!J223+Depositi!K223</f>
        <v>106236.9</v>
      </c>
    </row>
    <row r="224" spans="1:6">
      <c r="A224" s="3">
        <v>38288</v>
      </c>
      <c r="B224" s="12">
        <v>39028</v>
      </c>
      <c r="C224" s="12">
        <v>3841.6</v>
      </c>
      <c r="D224" s="12">
        <f>Depositi!D224+Depositi!E224+Depositi!F224</f>
        <v>7006.03</v>
      </c>
      <c r="E224" s="12">
        <v>531678.44999999995</v>
      </c>
      <c r="F224" s="12">
        <f>Depositi!I224+Depositi!J224+Depositi!K224</f>
        <v>106406.20000000001</v>
      </c>
    </row>
    <row r="225" spans="1:6">
      <c r="A225" s="3">
        <v>38258</v>
      </c>
      <c r="B225" s="12">
        <v>39291</v>
      </c>
      <c r="C225" s="12">
        <v>3643.05</v>
      </c>
      <c r="D225" s="12">
        <f>Depositi!D225+Depositi!E225+Depositi!F225</f>
        <v>8439.0499999999993</v>
      </c>
      <c r="E225" s="12">
        <v>522899.99</v>
      </c>
      <c r="F225" s="12">
        <f>Depositi!I225+Depositi!J225+Depositi!K225</f>
        <v>107407.34</v>
      </c>
    </row>
    <row r="226" spans="1:6">
      <c r="A226" s="3">
        <v>38227</v>
      </c>
      <c r="B226" s="12">
        <v>40036</v>
      </c>
      <c r="C226" s="12">
        <v>2572.7399999999998</v>
      </c>
      <c r="D226" s="12">
        <f>Depositi!D226+Depositi!E226+Depositi!F226</f>
        <v>8377</v>
      </c>
      <c r="E226" s="12">
        <v>510486.58</v>
      </c>
      <c r="F226" s="12">
        <f>Depositi!I226+Depositi!J226+Depositi!K226</f>
        <v>107695.45</v>
      </c>
    </row>
    <row r="227" spans="1:6">
      <c r="A227" s="3">
        <v>38196</v>
      </c>
      <c r="B227" s="12">
        <v>38839</v>
      </c>
      <c r="C227" s="12">
        <v>2257.86</v>
      </c>
      <c r="D227" s="12">
        <f>Depositi!D227+Depositi!E227+Depositi!F227</f>
        <v>8067.27</v>
      </c>
      <c r="E227" s="12">
        <v>527157.12</v>
      </c>
      <c r="F227" s="12">
        <f>Depositi!I227+Depositi!J227+Depositi!K227</f>
        <v>106516.61</v>
      </c>
    </row>
    <row r="228" spans="1:6">
      <c r="A228" s="3">
        <v>38166</v>
      </c>
      <c r="B228" s="12">
        <v>39046</v>
      </c>
      <c r="C228" s="12">
        <v>2752.82</v>
      </c>
      <c r="D228" s="12">
        <f>Depositi!D228+Depositi!E228+Depositi!F228</f>
        <v>7560.88</v>
      </c>
      <c r="E228" s="12">
        <v>527570.34</v>
      </c>
      <c r="F228" s="12">
        <f>Depositi!I228+Depositi!J228+Depositi!K228</f>
        <v>107618.88</v>
      </c>
    </row>
    <row r="229" spans="1:6">
      <c r="A229" s="3">
        <v>38135</v>
      </c>
      <c r="B229" s="12">
        <v>40224</v>
      </c>
      <c r="C229" s="12">
        <v>2711.31</v>
      </c>
      <c r="D229" s="12">
        <f>Depositi!D229+Depositi!E229+Depositi!F229</f>
        <v>8456.1299999999992</v>
      </c>
      <c r="E229" s="12">
        <v>519469.06</v>
      </c>
      <c r="F229" s="12">
        <f>Depositi!I229+Depositi!J229+Depositi!K229</f>
        <v>106806.85</v>
      </c>
    </row>
    <row r="230" spans="1:6">
      <c r="A230" s="3">
        <v>38105</v>
      </c>
      <c r="B230" s="12">
        <v>41166</v>
      </c>
      <c r="C230" s="12">
        <v>3005.9</v>
      </c>
      <c r="D230" s="12">
        <f>Depositi!D230+Depositi!E230+Depositi!F230</f>
        <v>7561.82</v>
      </c>
      <c r="E230" s="12">
        <v>518205.9</v>
      </c>
      <c r="F230" s="12">
        <f>Depositi!I230+Depositi!J230+Depositi!K230</f>
        <v>107538.15</v>
      </c>
    </row>
    <row r="231" spans="1:6">
      <c r="A231" s="3">
        <v>38074</v>
      </c>
      <c r="B231" s="12">
        <v>39273</v>
      </c>
      <c r="C231" s="12">
        <v>3927.35</v>
      </c>
      <c r="D231" s="12">
        <f>Depositi!D231+Depositi!E231+Depositi!F231</f>
        <v>7810.55</v>
      </c>
      <c r="E231" s="12">
        <v>510700.26</v>
      </c>
      <c r="F231" s="12">
        <f>Depositi!I231+Depositi!J231+Depositi!K231</f>
        <v>108101.95999999999</v>
      </c>
    </row>
    <row r="232" spans="1:6">
      <c r="A232" s="3">
        <v>38045</v>
      </c>
      <c r="B232" s="12">
        <v>37971</v>
      </c>
      <c r="C232" s="12">
        <v>3734.54</v>
      </c>
      <c r="D232" s="12">
        <f>Depositi!D232+Depositi!E232+Depositi!F232</f>
        <v>6961.96</v>
      </c>
      <c r="E232" s="12">
        <v>502069.1</v>
      </c>
      <c r="F232" s="12">
        <f>Depositi!I232+Depositi!J232+Depositi!K232</f>
        <v>108022.26000000001</v>
      </c>
    </row>
    <row r="233" spans="1:6">
      <c r="A233" s="3">
        <v>38014</v>
      </c>
      <c r="B233" s="12">
        <v>37706</v>
      </c>
      <c r="C233" s="12">
        <v>3557.49</v>
      </c>
      <c r="D233" s="12">
        <f>Depositi!D233+Depositi!E233+Depositi!F233</f>
        <v>8100.24</v>
      </c>
      <c r="E233" s="12">
        <v>508974.6</v>
      </c>
      <c r="F233" s="12">
        <f>Depositi!I233+Depositi!J233+Depositi!K233</f>
        <v>107785.62</v>
      </c>
    </row>
    <row r="234" spans="1:6">
      <c r="A234" s="3">
        <v>37983</v>
      </c>
      <c r="B234" s="12">
        <v>35519</v>
      </c>
      <c r="C234" s="12">
        <v>3969.78</v>
      </c>
      <c r="D234" s="12">
        <f>Depositi!D234+Depositi!E234+Depositi!F234</f>
        <v>5013.8599999999997</v>
      </c>
      <c r="E234" s="12">
        <v>515622.12</v>
      </c>
      <c r="F234" s="12">
        <f>Depositi!I234+Depositi!J234+Depositi!K234</f>
        <v>108154.17</v>
      </c>
    </row>
    <row r="235" spans="1:6">
      <c r="A235" s="3">
        <v>37953</v>
      </c>
      <c r="B235" s="12">
        <v>36296</v>
      </c>
      <c r="C235" s="12">
        <v>2807</v>
      </c>
      <c r="D235" s="12">
        <f>Depositi!D235+Depositi!E235+Depositi!F235</f>
        <v>6124.67</v>
      </c>
      <c r="E235" s="12">
        <v>495889.29</v>
      </c>
      <c r="F235" s="12">
        <f>Depositi!I235+Depositi!J235+Depositi!K235</f>
        <v>108487.78</v>
      </c>
    </row>
    <row r="236" spans="1:6">
      <c r="A236" s="3">
        <v>37922</v>
      </c>
      <c r="B236" s="12">
        <v>37368</v>
      </c>
      <c r="C236" s="12">
        <v>2752.45</v>
      </c>
      <c r="D236" s="12">
        <f>Depositi!D236+Depositi!E236+Depositi!F236</f>
        <v>6223.06</v>
      </c>
      <c r="E236" s="12">
        <v>496127.45</v>
      </c>
      <c r="F236" s="12">
        <f>Depositi!I236+Depositi!J236+Depositi!K236</f>
        <v>109630.54000000001</v>
      </c>
    </row>
    <row r="237" spans="1:6">
      <c r="A237" s="3">
        <v>37892</v>
      </c>
      <c r="B237" s="12">
        <v>36239</v>
      </c>
      <c r="C237" s="12">
        <v>3460.11</v>
      </c>
      <c r="D237" s="12">
        <f>Depositi!D237+Depositi!E237+Depositi!F237</f>
        <v>7425.02</v>
      </c>
      <c r="E237" s="12">
        <v>492030.11</v>
      </c>
      <c r="F237" s="12">
        <f>Depositi!I237+Depositi!J237+Depositi!K237</f>
        <v>109583.47</v>
      </c>
    </row>
    <row r="238" spans="1:6">
      <c r="A238" s="3">
        <v>37861</v>
      </c>
      <c r="B238" s="12">
        <v>36641</v>
      </c>
      <c r="C238" s="12">
        <v>2489.29</v>
      </c>
      <c r="D238" s="12">
        <f>Depositi!D238+Depositi!E238+Depositi!F238</f>
        <v>7708.37</v>
      </c>
      <c r="E238" s="12">
        <v>484616.05</v>
      </c>
      <c r="F238" s="12">
        <f>Depositi!I238+Depositi!J238+Depositi!K238</f>
        <v>109425.75</v>
      </c>
    </row>
    <row r="239" spans="1:6">
      <c r="A239" s="3">
        <v>37830</v>
      </c>
      <c r="B239" s="12">
        <v>37509</v>
      </c>
      <c r="C239" s="12">
        <v>2814</v>
      </c>
      <c r="D239" s="12">
        <f>Depositi!D239+Depositi!E239+Depositi!F239</f>
        <v>6506.2</v>
      </c>
      <c r="E239" s="12">
        <v>489302.78</v>
      </c>
      <c r="F239" s="12">
        <f>Depositi!I239+Depositi!J239+Depositi!K239</f>
        <v>109464.22</v>
      </c>
    </row>
    <row r="240" spans="1:6">
      <c r="A240" s="3">
        <v>37800</v>
      </c>
      <c r="B240" s="12">
        <v>36780</v>
      </c>
      <c r="C240" s="12">
        <v>3915.59</v>
      </c>
      <c r="D240" s="12">
        <f>Depositi!D240+Depositi!E240+Depositi!F240</f>
        <v>6813.09</v>
      </c>
      <c r="E240" s="12">
        <v>496014.31</v>
      </c>
      <c r="F240" s="12">
        <f>Depositi!I240+Depositi!J240+Depositi!K240</f>
        <v>109204.6</v>
      </c>
    </row>
    <row r="241" spans="1:6">
      <c r="A241" s="3">
        <v>37769</v>
      </c>
      <c r="B241" s="12">
        <v>36092</v>
      </c>
      <c r="C241" s="12">
        <v>3200.97</v>
      </c>
      <c r="D241" s="12">
        <f>Depositi!D241+Depositi!E241+Depositi!F241</f>
        <v>8257.33</v>
      </c>
      <c r="E241" s="12">
        <v>487049.7</v>
      </c>
      <c r="F241" s="12">
        <f>Depositi!I241+Depositi!J241+Depositi!K241</f>
        <v>108781.58</v>
      </c>
    </row>
    <row r="242" spans="1:6">
      <c r="A242" s="3">
        <v>37739</v>
      </c>
      <c r="B242" s="12">
        <v>36329</v>
      </c>
      <c r="C242" s="12">
        <v>2984.9</v>
      </c>
      <c r="D242" s="12">
        <f>Depositi!D242+Depositi!E242+Depositi!F242</f>
        <v>8910.4900000000016</v>
      </c>
      <c r="E242" s="12">
        <v>482553.41</v>
      </c>
      <c r="F242" s="12">
        <f>Depositi!I242+Depositi!J242+Depositi!K242</f>
        <v>109756</v>
      </c>
    </row>
    <row r="243" spans="1:6">
      <c r="A243" s="3">
        <v>37708</v>
      </c>
      <c r="B243" s="12">
        <v>37528</v>
      </c>
      <c r="C243" s="12">
        <v>4326.58</v>
      </c>
      <c r="D243" s="12">
        <f>Depositi!D243+Depositi!E243+Depositi!F243</f>
        <v>8322.33</v>
      </c>
      <c r="E243" s="12">
        <v>474726.85</v>
      </c>
      <c r="F243" s="12">
        <f>Depositi!I243+Depositi!J243+Depositi!K243</f>
        <v>109338.83</v>
      </c>
    </row>
    <row r="244" spans="1:6">
      <c r="A244" s="3">
        <v>37680</v>
      </c>
      <c r="B244" s="12">
        <v>34869</v>
      </c>
      <c r="C244" s="12">
        <v>4381.4799999999996</v>
      </c>
      <c r="D244" s="12">
        <f>Depositi!D244+Depositi!E244+Depositi!F244</f>
        <v>8745.33</v>
      </c>
      <c r="E244" s="12">
        <v>465366.92</v>
      </c>
      <c r="F244" s="12">
        <f>Depositi!I244+Depositi!J244+Depositi!K244</f>
        <v>109794.68</v>
      </c>
    </row>
    <row r="245" spans="1:6">
      <c r="A245" s="3">
        <v>37649</v>
      </c>
      <c r="B245" s="12">
        <v>35774</v>
      </c>
      <c r="C245" s="12">
        <v>4727.2700000000004</v>
      </c>
      <c r="D245" s="12">
        <f>Depositi!D245+Depositi!E245+Depositi!F245</f>
        <v>6844.6</v>
      </c>
      <c r="E245" s="12">
        <v>461724.93</v>
      </c>
      <c r="F245" s="12">
        <f>Depositi!I245+Depositi!J245+Depositi!K245</f>
        <v>109533.09</v>
      </c>
    </row>
    <row r="246" spans="1:6">
      <c r="A246" s="3">
        <v>37618</v>
      </c>
      <c r="B246" s="12">
        <v>35734</v>
      </c>
      <c r="C246" s="12">
        <v>4494.55</v>
      </c>
      <c r="D246" s="12">
        <f>Depositi!D246+Depositi!E246+Depositi!F246</f>
        <v>4744.88</v>
      </c>
      <c r="E246" s="12">
        <v>488027.45</v>
      </c>
      <c r="F246" s="12">
        <f>Depositi!I246+Depositi!J246+Depositi!K246</f>
        <v>111771.57999999999</v>
      </c>
    </row>
    <row r="247" spans="1:6">
      <c r="A247" s="3">
        <v>37588</v>
      </c>
      <c r="B247" s="12">
        <v>32943</v>
      </c>
      <c r="C247" s="12">
        <v>3319.12</v>
      </c>
      <c r="D247" s="12">
        <f>Depositi!D247+Depositi!E247+Depositi!F247</f>
        <v>6433.17</v>
      </c>
      <c r="E247" s="12">
        <v>449468.04</v>
      </c>
      <c r="F247" s="12">
        <f>Depositi!I247+Depositi!J247+Depositi!K247</f>
        <v>110486.79000000001</v>
      </c>
    </row>
    <row r="248" spans="1:6">
      <c r="A248" s="3">
        <v>37557</v>
      </c>
      <c r="B248" s="12">
        <v>33008</v>
      </c>
      <c r="C248" s="12">
        <v>3706.04</v>
      </c>
      <c r="D248" s="12">
        <f>Depositi!D248+Depositi!E248+Depositi!F248</f>
        <v>7286.18</v>
      </c>
      <c r="E248" s="12">
        <v>447287.07</v>
      </c>
      <c r="F248" s="12">
        <f>Depositi!I248+Depositi!J248+Depositi!K248</f>
        <v>111150.58</v>
      </c>
    </row>
    <row r="249" spans="1:6">
      <c r="A249" s="3">
        <v>37527</v>
      </c>
      <c r="B249" s="12">
        <v>33608</v>
      </c>
      <c r="C249" s="12">
        <v>3310.25</v>
      </c>
      <c r="D249" s="12">
        <f>Depositi!D249+Depositi!E249+Depositi!F249</f>
        <v>6505.43</v>
      </c>
      <c r="E249" s="12">
        <v>445287.87</v>
      </c>
      <c r="F249" s="12">
        <f>Depositi!I249+Depositi!J249+Depositi!K249</f>
        <v>111752.93</v>
      </c>
    </row>
    <row r="250" spans="1:6">
      <c r="A250" s="3">
        <v>37496</v>
      </c>
      <c r="B250" s="12">
        <v>31703</v>
      </c>
      <c r="C250" s="12">
        <v>3371.44</v>
      </c>
      <c r="D250" s="12">
        <f>Depositi!D250+Depositi!E250+Depositi!F250</f>
        <v>6938.71</v>
      </c>
      <c r="E250" s="12">
        <v>433607.73</v>
      </c>
      <c r="F250" s="12">
        <f>Depositi!I250+Depositi!J250+Depositi!K250</f>
        <v>112454.79000000001</v>
      </c>
    </row>
    <row r="251" spans="1:6">
      <c r="A251" s="3">
        <v>37465</v>
      </c>
      <c r="B251" s="12">
        <v>30074</v>
      </c>
      <c r="C251" s="12">
        <v>2997.09</v>
      </c>
      <c r="D251" s="12">
        <f>Depositi!D251+Depositi!E251+Depositi!F251</f>
        <v>6615.2000000000007</v>
      </c>
      <c r="E251" s="12">
        <v>443694.52</v>
      </c>
      <c r="F251" s="12">
        <f>Depositi!I251+Depositi!J251+Depositi!K251</f>
        <v>112060.25</v>
      </c>
    </row>
    <row r="252" spans="1:6">
      <c r="A252" s="3">
        <v>37435</v>
      </c>
      <c r="B252" s="12">
        <v>31813</v>
      </c>
      <c r="C252" s="12">
        <v>3982.06</v>
      </c>
      <c r="D252" s="12">
        <f>Depositi!D252+Depositi!E252+Depositi!F252</f>
        <v>8393.51</v>
      </c>
      <c r="E252" s="12">
        <v>449180.45</v>
      </c>
      <c r="F252" s="12">
        <f>Depositi!I252+Depositi!J252+Depositi!K252</f>
        <v>111028.15</v>
      </c>
    </row>
    <row r="253" spans="1:6">
      <c r="A253" s="3">
        <v>37404</v>
      </c>
      <c r="B253" s="12">
        <v>30813</v>
      </c>
      <c r="C253" s="12">
        <v>4220.75</v>
      </c>
      <c r="D253" s="12">
        <f>Depositi!D253+Depositi!E253+Depositi!F253</f>
        <v>6751.7000000000007</v>
      </c>
      <c r="E253" s="12">
        <v>445101.98</v>
      </c>
      <c r="F253" s="12">
        <f>Depositi!I253+Depositi!J253+Depositi!K253</f>
        <v>111946.35</v>
      </c>
    </row>
    <row r="254" spans="1:6">
      <c r="A254" s="3">
        <v>37374</v>
      </c>
      <c r="B254" s="12">
        <v>31761</v>
      </c>
      <c r="C254" s="12">
        <v>3674.74</v>
      </c>
      <c r="D254" s="12">
        <f>Depositi!D254+Depositi!E254+Depositi!F254</f>
        <v>7963.9100000000008</v>
      </c>
      <c r="E254" s="12">
        <v>441766.87</v>
      </c>
      <c r="F254" s="12">
        <f>Depositi!I254+Depositi!J254+Depositi!K254</f>
        <v>112422.03</v>
      </c>
    </row>
    <row r="255" spans="1:6">
      <c r="A255" s="3">
        <v>37343</v>
      </c>
      <c r="B255" s="12">
        <v>32696</v>
      </c>
      <c r="C255" s="12">
        <v>3770.15</v>
      </c>
      <c r="D255" s="12">
        <f>Depositi!D255+Depositi!E255+Depositi!F255</f>
        <v>6045.72</v>
      </c>
      <c r="E255" s="12">
        <v>435171.39</v>
      </c>
      <c r="F255" s="12">
        <f>Depositi!I255+Depositi!J255+Depositi!K255</f>
        <v>113252.09</v>
      </c>
    </row>
    <row r="256" spans="1:6">
      <c r="A256" s="3">
        <v>37315</v>
      </c>
      <c r="B256" s="12">
        <v>31220</v>
      </c>
      <c r="C256" s="12">
        <v>3930.76</v>
      </c>
      <c r="D256" s="12">
        <f>Depositi!D256+Depositi!E256+Depositi!F256</f>
        <v>5478.2099999999991</v>
      </c>
      <c r="E256" s="12">
        <v>433540.32</v>
      </c>
      <c r="F256" s="12">
        <f>Depositi!I256+Depositi!J256+Depositi!K256</f>
        <v>113891.88</v>
      </c>
    </row>
    <row r="257" spans="1:6">
      <c r="A257" s="3">
        <v>37284</v>
      </c>
      <c r="B257" s="12">
        <v>30908</v>
      </c>
      <c r="C257" s="12">
        <v>3259.73</v>
      </c>
      <c r="D257" s="12">
        <f>Depositi!D257+Depositi!E257+Depositi!F257</f>
        <v>5654.8899999999994</v>
      </c>
      <c r="E257" s="12">
        <v>428558.01</v>
      </c>
      <c r="F257" s="12">
        <f>Depositi!I257+Depositi!J257+Depositi!K257</f>
        <v>113369.53</v>
      </c>
    </row>
    <row r="258" spans="1:6">
      <c r="A258" s="3">
        <v>37253</v>
      </c>
      <c r="B258" s="12">
        <v>31564</v>
      </c>
      <c r="C258" s="12">
        <v>3631.39</v>
      </c>
      <c r="D258" s="12">
        <f>Depositi!D258+Depositi!E258+Depositi!F258</f>
        <v>1843.8499999999997</v>
      </c>
      <c r="E258" s="12">
        <v>446113.99</v>
      </c>
      <c r="F258" s="12">
        <f>Depositi!I258+Depositi!J258+Depositi!K258</f>
        <v>114377.8</v>
      </c>
    </row>
    <row r="259" spans="1:6">
      <c r="A259" s="3">
        <v>37223</v>
      </c>
      <c r="B259" s="12">
        <v>30896</v>
      </c>
      <c r="C259" s="12">
        <v>3302.96</v>
      </c>
      <c r="D259" s="12">
        <f>Depositi!D259+Depositi!E259+Depositi!F259</f>
        <v>2437.0000000000005</v>
      </c>
      <c r="E259" s="12">
        <v>407544.16</v>
      </c>
      <c r="F259" s="12">
        <f>Depositi!I259+Depositi!J259+Depositi!K259</f>
        <v>111217.60000000001</v>
      </c>
    </row>
    <row r="260" spans="1:6">
      <c r="A260" s="3">
        <v>37192</v>
      </c>
      <c r="B260" s="12">
        <v>33161</v>
      </c>
      <c r="C260" s="12">
        <v>5029.58</v>
      </c>
      <c r="D260" s="12">
        <f>Depositi!D260+Depositi!E260+Depositi!F260</f>
        <v>2229.7000000000003</v>
      </c>
      <c r="E260" s="12">
        <v>412881.14</v>
      </c>
      <c r="F260" s="12">
        <f>Depositi!I260+Depositi!J260+Depositi!K260</f>
        <v>111825.32</v>
      </c>
    </row>
    <row r="261" spans="1:6">
      <c r="A261" s="3">
        <v>37162</v>
      </c>
      <c r="B261" s="12">
        <v>32940</v>
      </c>
      <c r="C261" s="12">
        <v>4599.7700000000004</v>
      </c>
      <c r="D261" s="12">
        <f>Depositi!D261+Depositi!E261+Depositi!F261</f>
        <v>4525.32</v>
      </c>
      <c r="E261" s="12">
        <v>408765.1</v>
      </c>
      <c r="F261" s="12">
        <f>Depositi!I261+Depositi!J261+Depositi!K261</f>
        <v>111396.5</v>
      </c>
    </row>
    <row r="262" spans="1:6">
      <c r="A262" s="3">
        <v>37131</v>
      </c>
      <c r="B262" s="12">
        <v>31252</v>
      </c>
      <c r="C262" s="12">
        <v>2914.65</v>
      </c>
      <c r="D262" s="12">
        <f>Depositi!D262+Depositi!E262+Depositi!F262</f>
        <v>3674.68</v>
      </c>
      <c r="E262" s="12">
        <v>388717.2</v>
      </c>
      <c r="F262" s="12">
        <f>Depositi!I262+Depositi!J262+Depositi!K262</f>
        <v>111881.19</v>
      </c>
    </row>
    <row r="263" spans="1:6">
      <c r="A263" s="3">
        <v>37100</v>
      </c>
      <c r="B263" s="12">
        <v>34001</v>
      </c>
      <c r="C263" s="12">
        <v>3052.69</v>
      </c>
      <c r="D263" s="12">
        <f>Depositi!D263+Depositi!E263+Depositi!F263</f>
        <v>3762.39</v>
      </c>
      <c r="E263" s="12">
        <v>399018.06</v>
      </c>
      <c r="F263" s="12">
        <f>Depositi!I263+Depositi!J263+Depositi!K263</f>
        <v>112085.19</v>
      </c>
    </row>
    <row r="264" spans="1:6">
      <c r="A264" s="3">
        <v>37070</v>
      </c>
      <c r="B264" s="12">
        <v>33655</v>
      </c>
      <c r="C264" s="12">
        <v>2860.44</v>
      </c>
      <c r="D264" s="12">
        <f>Depositi!D264+Depositi!E264+Depositi!F264</f>
        <v>4542.9299999999994</v>
      </c>
      <c r="E264" s="12">
        <v>402238.38</v>
      </c>
      <c r="F264" s="12">
        <f>Depositi!I264+Depositi!J264+Depositi!K264</f>
        <v>113648.73000000001</v>
      </c>
    </row>
    <row r="265" spans="1:6">
      <c r="A265" s="3">
        <v>37039</v>
      </c>
      <c r="B265" s="12">
        <v>31976</v>
      </c>
      <c r="C265" s="12">
        <v>3028.27</v>
      </c>
      <c r="D265" s="12">
        <f>Depositi!D265+Depositi!E265+Depositi!F265</f>
        <v>3639.44</v>
      </c>
      <c r="E265" s="12">
        <v>399470.06</v>
      </c>
      <c r="F265" s="12">
        <f>Depositi!I265+Depositi!J265+Depositi!K265</f>
        <v>114283.38</v>
      </c>
    </row>
    <row r="266" spans="1:6">
      <c r="A266" s="3">
        <v>37009</v>
      </c>
      <c r="B266" s="12">
        <v>34159</v>
      </c>
      <c r="C266" s="12">
        <v>3039.79</v>
      </c>
      <c r="D266" s="12">
        <f>Depositi!D266+Depositi!E266+Depositi!F266</f>
        <v>2831.5900000000006</v>
      </c>
      <c r="E266" s="12">
        <v>393162.6</v>
      </c>
      <c r="F266" s="12">
        <f>Depositi!I266+Depositi!J266+Depositi!K266</f>
        <v>114706.93</v>
      </c>
    </row>
    <row r="267" spans="1:6">
      <c r="A267" s="3">
        <v>36978</v>
      </c>
      <c r="B267" s="12">
        <v>32646</v>
      </c>
      <c r="C267" s="12">
        <v>4223.99</v>
      </c>
      <c r="D267" s="12">
        <f>Depositi!D267+Depositi!E267+Depositi!F267</f>
        <v>4762.67</v>
      </c>
      <c r="E267" s="12">
        <v>386650.19</v>
      </c>
      <c r="F267" s="12">
        <f>Depositi!I267+Depositi!J267+Depositi!K267</f>
        <v>115519.41</v>
      </c>
    </row>
    <row r="268" spans="1:6">
      <c r="A268" s="3">
        <v>36950</v>
      </c>
      <c r="B268" s="12">
        <v>30630</v>
      </c>
      <c r="C268" s="12">
        <v>3171.35</v>
      </c>
      <c r="D268" s="12">
        <f>Depositi!D268+Depositi!E268+Depositi!F268</f>
        <v>3574.4199999999996</v>
      </c>
      <c r="E268" s="12">
        <v>381031.98</v>
      </c>
      <c r="F268" s="12">
        <f>Depositi!I268+Depositi!J268+Depositi!K268</f>
        <v>117518.86</v>
      </c>
    </row>
    <row r="269" spans="1:6">
      <c r="A269" s="3">
        <v>36919</v>
      </c>
      <c r="B269" s="12">
        <v>29780</v>
      </c>
      <c r="C269" s="12">
        <v>2595.08</v>
      </c>
      <c r="D269" s="12">
        <f>Depositi!D269+Depositi!E269+Depositi!F269</f>
        <v>4396.8100000000004</v>
      </c>
      <c r="E269" s="12">
        <v>384805.98</v>
      </c>
      <c r="F269" s="12">
        <f>Depositi!I269+Depositi!J269+Depositi!K269</f>
        <v>118629.16</v>
      </c>
    </row>
    <row r="270" spans="1:6">
      <c r="A270" s="3">
        <v>36888</v>
      </c>
      <c r="B270" s="12">
        <v>31476</v>
      </c>
      <c r="C270" s="12">
        <v>2742.87</v>
      </c>
      <c r="D270" s="12">
        <f>Depositi!D270+Depositi!E270+Depositi!F270</f>
        <v>4250.4799999999996</v>
      </c>
      <c r="E270" s="12">
        <v>407908.76</v>
      </c>
      <c r="F270" s="12">
        <f>Depositi!I270+Depositi!J270+Depositi!K270</f>
        <v>121996.5</v>
      </c>
    </row>
    <row r="271" spans="1:6">
      <c r="A271" s="3">
        <v>36858</v>
      </c>
      <c r="B271" s="12">
        <v>30401</v>
      </c>
      <c r="C271" s="12">
        <v>2604.98</v>
      </c>
      <c r="D271" s="12">
        <f>Depositi!D271+Depositi!E271+Depositi!F271</f>
        <v>3896.07</v>
      </c>
      <c r="E271" s="12">
        <v>372746.26</v>
      </c>
      <c r="F271" s="12">
        <f>Depositi!I271+Depositi!J271+Depositi!K271</f>
        <v>122454.66999999998</v>
      </c>
    </row>
    <row r="272" spans="1:6">
      <c r="A272" s="3">
        <v>36827</v>
      </c>
      <c r="B272" s="12">
        <v>31203</v>
      </c>
      <c r="C272" s="12">
        <v>3001.28</v>
      </c>
      <c r="D272" s="12">
        <f>Depositi!D272+Depositi!E272+Depositi!F272</f>
        <v>4125.12</v>
      </c>
      <c r="E272" s="12">
        <v>386138.34</v>
      </c>
      <c r="F272" s="12">
        <f>Depositi!I272+Depositi!J272+Depositi!K272</f>
        <v>124903.91</v>
      </c>
    </row>
    <row r="273" spans="1:6">
      <c r="A273" s="3">
        <v>36797</v>
      </c>
      <c r="B273" s="12">
        <v>29847</v>
      </c>
      <c r="C273" s="12">
        <v>2705.19</v>
      </c>
      <c r="D273" s="12">
        <f>Depositi!D273+Depositi!E273+Depositi!F273</f>
        <v>3925.36</v>
      </c>
      <c r="E273" s="12">
        <v>384336.22</v>
      </c>
      <c r="F273" s="12">
        <f>Depositi!I273+Depositi!J273+Depositi!K273</f>
        <v>126074.98000000001</v>
      </c>
    </row>
    <row r="274" spans="1:6">
      <c r="A274" s="3">
        <v>36766</v>
      </c>
      <c r="B274" s="12">
        <v>28396</v>
      </c>
      <c r="C274" s="12">
        <v>3484.21</v>
      </c>
      <c r="D274" s="12">
        <f>Depositi!D274+Depositi!E274+Depositi!F274</f>
        <v>2548.5399999999995</v>
      </c>
      <c r="E274" s="12">
        <v>378950.48</v>
      </c>
      <c r="F274" s="12">
        <f>Depositi!I274+Depositi!J274+Depositi!K274</f>
        <v>128562.11</v>
      </c>
    </row>
    <row r="275" spans="1:6">
      <c r="A275" s="3">
        <v>36735</v>
      </c>
      <c r="B275" s="12">
        <v>27800</v>
      </c>
      <c r="C275" s="12">
        <v>2818.52</v>
      </c>
      <c r="D275" s="12">
        <f>Depositi!D275+Depositi!E275+Depositi!F275</f>
        <v>3221.3300000000004</v>
      </c>
      <c r="E275" s="12">
        <v>386833.36</v>
      </c>
      <c r="F275" s="12">
        <f>Depositi!I275+Depositi!J275+Depositi!K275</f>
        <v>130652.69</v>
      </c>
    </row>
    <row r="276" spans="1:6">
      <c r="A276" s="3">
        <v>36705</v>
      </c>
      <c r="B276" s="12">
        <v>29147</v>
      </c>
      <c r="C276" s="12">
        <v>2491.4699999999998</v>
      </c>
      <c r="D276" s="12">
        <f>Depositi!D276+Depositi!E276+Depositi!F276</f>
        <v>3025.4700000000003</v>
      </c>
      <c r="E276" s="12">
        <v>389493.67</v>
      </c>
      <c r="F276" s="12">
        <f>Depositi!I276+Depositi!J276+Depositi!K276</f>
        <v>131140.77000000002</v>
      </c>
    </row>
    <row r="277" spans="1:6">
      <c r="A277" s="3">
        <v>36674</v>
      </c>
      <c r="B277" s="12">
        <v>30350</v>
      </c>
      <c r="C277" s="12">
        <v>2659.96</v>
      </c>
      <c r="D277" s="12">
        <f>Depositi!D277+Depositi!E277+Depositi!F277</f>
        <v>2849.06</v>
      </c>
      <c r="E277" s="12">
        <v>392110.79</v>
      </c>
      <c r="F277" s="12">
        <f>Depositi!I277+Depositi!J277+Depositi!K277</f>
        <v>132373.54999999999</v>
      </c>
    </row>
    <row r="278" spans="1:6">
      <c r="A278" s="3">
        <v>36644</v>
      </c>
      <c r="B278" s="12">
        <v>29592</v>
      </c>
      <c r="C278" s="12">
        <v>2693.66</v>
      </c>
      <c r="D278" s="12">
        <f>Depositi!D278+Depositi!E278+Depositi!F278</f>
        <v>1804.59</v>
      </c>
      <c r="E278" s="12">
        <v>394128.38</v>
      </c>
      <c r="F278" s="12">
        <f>Depositi!I278+Depositi!J278+Depositi!K278</f>
        <v>134121.39000000001</v>
      </c>
    </row>
    <row r="279" spans="1:6">
      <c r="A279" s="3">
        <v>36613</v>
      </c>
      <c r="B279" s="12">
        <v>28032</v>
      </c>
      <c r="C279" s="12">
        <v>3023.64</v>
      </c>
      <c r="D279" s="12">
        <f>Depositi!D279+Depositi!E279+Depositi!F279</f>
        <v>3290.04</v>
      </c>
      <c r="E279" s="12">
        <v>383371.97</v>
      </c>
      <c r="F279" s="12">
        <f>Depositi!I279+Depositi!J279+Depositi!K279</f>
        <v>134718.68</v>
      </c>
    </row>
    <row r="280" spans="1:6">
      <c r="A280" s="3">
        <v>36584</v>
      </c>
      <c r="B280" s="12">
        <v>26801</v>
      </c>
      <c r="C280" s="12">
        <v>2734.61</v>
      </c>
      <c r="D280" s="12">
        <f>Depositi!D280+Depositi!E280+Depositi!F280</f>
        <v>3940.1499999999996</v>
      </c>
      <c r="E280" s="12">
        <v>379614.08</v>
      </c>
      <c r="F280" s="12">
        <f>Depositi!I280+Depositi!J280+Depositi!K280</f>
        <v>135583.08000000002</v>
      </c>
    </row>
    <row r="281" spans="1:6">
      <c r="A281" s="3">
        <v>36553</v>
      </c>
      <c r="B281" s="12">
        <v>28255</v>
      </c>
      <c r="C281" s="12">
        <v>3007.13</v>
      </c>
      <c r="D281" s="12">
        <f>Depositi!D281+Depositi!E281+Depositi!F281</f>
        <v>2490.69</v>
      </c>
      <c r="E281" s="12">
        <v>384685.65</v>
      </c>
      <c r="F281" s="12">
        <f>Depositi!I281+Depositi!J281+Depositi!K281</f>
        <v>138209.29999999999</v>
      </c>
    </row>
    <row r="282" spans="1:6">
      <c r="A282" s="3">
        <v>36522</v>
      </c>
      <c r="B282" s="12">
        <v>27861</v>
      </c>
      <c r="C282" s="12">
        <v>2031.32</v>
      </c>
      <c r="D282" s="12">
        <f>Depositi!D282+Depositi!E282+Depositi!F282</f>
        <v>3641.9900000000002</v>
      </c>
      <c r="E282" s="12">
        <v>384913.01</v>
      </c>
      <c r="F282" s="12">
        <f>Depositi!I282+Depositi!J282+Depositi!K282</f>
        <v>140311.81</v>
      </c>
    </row>
    <row r="283" spans="1:6">
      <c r="A283" s="3">
        <v>36492</v>
      </c>
      <c r="B283" s="12">
        <v>29851</v>
      </c>
      <c r="C283" s="12">
        <v>2183.6799999999998</v>
      </c>
      <c r="D283" s="12">
        <f>Depositi!D283+Depositi!E283+Depositi!F283</f>
        <v>2813.5499999999997</v>
      </c>
      <c r="E283" s="12">
        <v>351811.35</v>
      </c>
      <c r="F283" s="12">
        <f>Depositi!I283+Depositi!J283+Depositi!K283</f>
        <v>140006.82999999999</v>
      </c>
    </row>
    <row r="284" spans="1:6">
      <c r="A284" s="3">
        <v>36461</v>
      </c>
      <c r="B284" s="12">
        <v>30517</v>
      </c>
      <c r="C284" s="12">
        <v>1838.53</v>
      </c>
      <c r="D284" s="12">
        <f>Depositi!D284+Depositi!E284+Depositi!F284</f>
        <v>2278.4800000000005</v>
      </c>
      <c r="E284" s="12">
        <v>360480.19</v>
      </c>
      <c r="F284" s="12">
        <f>Depositi!I284+Depositi!J284+Depositi!K284</f>
        <v>142282.02000000002</v>
      </c>
    </row>
    <row r="285" spans="1:6">
      <c r="A285" s="3">
        <v>36431</v>
      </c>
      <c r="B285" s="12">
        <v>30149</v>
      </c>
      <c r="C285" s="12">
        <v>2165.64</v>
      </c>
      <c r="D285" s="12">
        <f>Depositi!D285+Depositi!E285+Depositi!F285</f>
        <v>2562.9499999999998</v>
      </c>
      <c r="E285" s="12">
        <v>353690.04</v>
      </c>
      <c r="F285" s="12">
        <f>Depositi!I285+Depositi!J285+Depositi!K285</f>
        <v>142829.65</v>
      </c>
    </row>
    <row r="286" spans="1:6">
      <c r="A286" s="3">
        <v>36400</v>
      </c>
      <c r="B286" s="12">
        <v>31789</v>
      </c>
      <c r="C286" s="12">
        <v>2424.4499999999998</v>
      </c>
      <c r="D286" s="12">
        <f>Depositi!D286+Depositi!E286+Depositi!F286</f>
        <v>2497.91</v>
      </c>
      <c r="E286" s="12">
        <v>345230.27</v>
      </c>
      <c r="F286" s="12">
        <f>Depositi!I286+Depositi!J286+Depositi!K286</f>
        <v>143812.57</v>
      </c>
    </row>
    <row r="287" spans="1:6">
      <c r="A287" s="3">
        <v>36369</v>
      </c>
      <c r="B287" s="12">
        <v>31246</v>
      </c>
      <c r="C287" s="12">
        <v>3468.17</v>
      </c>
      <c r="D287" s="12">
        <f>Depositi!D287+Depositi!E287+Depositi!F287</f>
        <v>2554.62</v>
      </c>
      <c r="E287" s="12">
        <v>357325.08</v>
      </c>
      <c r="F287" s="12">
        <f>Depositi!I287+Depositi!J287+Depositi!K287</f>
        <v>143984.71</v>
      </c>
    </row>
    <row r="288" spans="1:6">
      <c r="A288" s="3">
        <v>36339</v>
      </c>
      <c r="B288" s="12">
        <v>32738</v>
      </c>
      <c r="C288" s="12">
        <v>2697.43</v>
      </c>
      <c r="D288" s="12">
        <f>Depositi!D288+Depositi!E288+Depositi!F288</f>
        <v>3487.21</v>
      </c>
      <c r="E288" s="12">
        <v>364384.07</v>
      </c>
      <c r="F288" s="12">
        <f>Depositi!I288+Depositi!J288+Depositi!K288</f>
        <v>145699.81</v>
      </c>
    </row>
    <row r="289" spans="1:6">
      <c r="A289" s="3">
        <v>36308</v>
      </c>
      <c r="B289" s="12">
        <v>32412</v>
      </c>
      <c r="C289" s="12">
        <v>2137.58</v>
      </c>
      <c r="D289" s="12">
        <f>Depositi!D289+Depositi!E289+Depositi!F289</f>
        <v>3745.7599999999998</v>
      </c>
      <c r="E289" s="12">
        <v>352596.42</v>
      </c>
      <c r="F289" s="12">
        <f>Depositi!I289+Depositi!J289+Depositi!K289</f>
        <v>147173.78</v>
      </c>
    </row>
    <row r="290" spans="1:6">
      <c r="A290" s="3">
        <v>36278</v>
      </c>
      <c r="B290" s="12">
        <v>29618</v>
      </c>
      <c r="C290" s="12">
        <v>2296.7399999999998</v>
      </c>
      <c r="D290" s="12">
        <f>Depositi!D290+Depositi!E290+Depositi!F290</f>
        <v>3837.1099999999997</v>
      </c>
      <c r="E290" s="12">
        <v>351635.74</v>
      </c>
      <c r="F290" s="12">
        <f>Depositi!I290+Depositi!J290+Depositi!K290</f>
        <v>149730.76</v>
      </c>
    </row>
    <row r="291" spans="1:6">
      <c r="A291" s="3">
        <v>36247</v>
      </c>
      <c r="B291" s="12">
        <v>26753</v>
      </c>
      <c r="C291" s="12">
        <v>1855.41</v>
      </c>
      <c r="D291" s="12">
        <f>Depositi!D291+Depositi!E291+Depositi!F291</f>
        <v>5906.59</v>
      </c>
      <c r="E291" s="12">
        <v>342198.72</v>
      </c>
      <c r="F291" s="12">
        <f>Depositi!I291+Depositi!J291+Depositi!K291</f>
        <v>152098.88</v>
      </c>
    </row>
    <row r="292" spans="1:6">
      <c r="A292" s="3">
        <v>36219</v>
      </c>
      <c r="B292" s="12">
        <v>26535</v>
      </c>
      <c r="C292" s="12">
        <v>1416.61</v>
      </c>
      <c r="D292" s="12">
        <f>Depositi!D292+Depositi!E292+Depositi!F292</f>
        <v>6178.5</v>
      </c>
      <c r="E292" s="12">
        <v>338433.02</v>
      </c>
      <c r="F292" s="12">
        <f>Depositi!I292+Depositi!J292+Depositi!K292</f>
        <v>154812.05000000002</v>
      </c>
    </row>
    <row r="293" spans="1:6">
      <c r="A293" s="3">
        <v>36188</v>
      </c>
      <c r="B293" s="12">
        <v>24813</v>
      </c>
      <c r="C293" s="12">
        <v>1402.36</v>
      </c>
      <c r="D293" s="12">
        <f>Depositi!D293+Depositi!E293+Depositi!F293</f>
        <v>6352.42</v>
      </c>
      <c r="E293" s="12">
        <v>349442.35</v>
      </c>
      <c r="F293" s="12">
        <f>Depositi!I293+Depositi!J293+Depositi!K293</f>
        <v>159082.33000000002</v>
      </c>
    </row>
    <row r="294" spans="1:6">
      <c r="A294" s="16"/>
      <c r="B294" s="16"/>
      <c r="C294" s="16"/>
      <c r="D294" s="12"/>
      <c r="E294" s="16"/>
      <c r="F294" s="12"/>
    </row>
    <row r="295" spans="1:6">
      <c r="A295" s="17"/>
      <c r="B295" s="17"/>
      <c r="C295" s="17"/>
      <c r="D295" s="12"/>
      <c r="E295" s="17"/>
      <c r="F295" s="12"/>
    </row>
    <row r="296" spans="1:6">
      <c r="A296" s="18"/>
      <c r="B296" s="18"/>
      <c r="C296" s="18"/>
      <c r="D296" s="12"/>
      <c r="E296" s="18"/>
      <c r="F296" s="12"/>
    </row>
    <row r="297" spans="1:6">
      <c r="A297" s="17"/>
      <c r="B297" s="17"/>
      <c r="C297" s="17"/>
      <c r="D297" s="12"/>
      <c r="E297" s="17"/>
      <c r="F297" s="12"/>
    </row>
    <row r="298" spans="1:6">
      <c r="A298" s="18"/>
      <c r="B298" s="18"/>
      <c r="C298" s="18"/>
      <c r="D298" s="12"/>
      <c r="E298" s="18"/>
      <c r="F298" s="12"/>
    </row>
    <row r="299" spans="1:6">
      <c r="A299" s="17"/>
      <c r="B299" s="17"/>
      <c r="C299" s="17"/>
      <c r="D299" s="12"/>
      <c r="E299" s="17"/>
      <c r="F299" s="12"/>
    </row>
    <row r="300" spans="1:6">
      <c r="A300" s="18"/>
      <c r="B300" s="18"/>
      <c r="C300" s="18"/>
      <c r="D300" s="12"/>
      <c r="E300" s="18"/>
      <c r="F300" s="12"/>
    </row>
    <row r="301" spans="1:6">
      <c r="A301" s="17"/>
      <c r="B301" s="17"/>
      <c r="C301" s="17"/>
      <c r="D301" s="12"/>
      <c r="E301" s="17"/>
      <c r="F301" s="12"/>
    </row>
    <row r="302" spans="1:6">
      <c r="A302" s="18"/>
      <c r="B302" s="18"/>
      <c r="C302" s="18"/>
      <c r="D302" s="12"/>
      <c r="E302" s="18"/>
      <c r="F302" s="12"/>
    </row>
    <row r="303" spans="1:6">
      <c r="A303" s="17"/>
      <c r="B303" s="17"/>
      <c r="C303" s="17"/>
      <c r="D303" s="12"/>
      <c r="E303" s="17"/>
      <c r="F303" s="12"/>
    </row>
    <row r="304" spans="1:6">
      <c r="A304" s="18"/>
      <c r="B304" s="18"/>
      <c r="C304" s="18"/>
      <c r="D304" s="12"/>
      <c r="E304" s="18"/>
      <c r="F304" s="12"/>
    </row>
    <row r="305" spans="1:6">
      <c r="A305" s="17"/>
      <c r="B305" s="17"/>
      <c r="C305" s="17"/>
      <c r="D305" s="12"/>
      <c r="E305" s="17"/>
      <c r="F305" s="12"/>
    </row>
    <row r="306" spans="1:6">
      <c r="A306" s="18"/>
      <c r="B306" s="18"/>
      <c r="C306" s="18"/>
      <c r="D306" s="12"/>
      <c r="E306" s="18"/>
      <c r="F306" s="12"/>
    </row>
    <row r="307" spans="1:6">
      <c r="A307" s="17"/>
      <c r="B307" s="17"/>
      <c r="C307" s="17"/>
      <c r="D307" s="12"/>
      <c r="E307" s="17"/>
      <c r="F307" s="12"/>
    </row>
    <row r="308" spans="1:6">
      <c r="A308" s="18"/>
      <c r="B308" s="18"/>
      <c r="C308" s="18"/>
      <c r="D308" s="12"/>
      <c r="E308" s="18"/>
      <c r="F308" s="12"/>
    </row>
    <row r="309" spans="1:6">
      <c r="A309" s="17"/>
      <c r="B309" s="17"/>
      <c r="C309" s="17"/>
      <c r="D309" s="12"/>
      <c r="E309" s="17"/>
      <c r="F309" s="12"/>
    </row>
    <row r="310" spans="1:6">
      <c r="A310" s="18"/>
      <c r="B310" s="18"/>
      <c r="C310" s="18"/>
      <c r="D310" s="12"/>
      <c r="E310" s="18"/>
      <c r="F310" s="12"/>
    </row>
    <row r="311" spans="1:6">
      <c r="A311" s="17"/>
      <c r="B311" s="17"/>
      <c r="C311" s="17"/>
      <c r="D311" s="12"/>
      <c r="E311" s="17"/>
      <c r="F311" s="12"/>
    </row>
    <row r="312" spans="1:6">
      <c r="A312" s="18"/>
      <c r="B312" s="18"/>
      <c r="C312" s="18"/>
      <c r="D312" s="12"/>
      <c r="E312" s="18"/>
      <c r="F312" s="12"/>
    </row>
    <row r="313" spans="1:6">
      <c r="A313" s="17"/>
      <c r="B313" s="17"/>
      <c r="C313" s="17"/>
      <c r="D313" s="12"/>
      <c r="E313" s="17"/>
      <c r="F313" s="12"/>
    </row>
    <row r="314" spans="1:6">
      <c r="A314" s="18"/>
      <c r="B314" s="18"/>
      <c r="C314" s="18"/>
      <c r="D314" s="12"/>
      <c r="E314" s="18"/>
      <c r="F314" s="12"/>
    </row>
    <row r="315" spans="1:6">
      <c r="A315" s="17"/>
      <c r="B315" s="17"/>
      <c r="C315" s="17"/>
      <c r="D315" s="12"/>
      <c r="E315" s="17"/>
      <c r="F315" s="12"/>
    </row>
    <row r="316" spans="1:6">
      <c r="A316" s="18"/>
      <c r="B316" s="18"/>
      <c r="C316" s="18"/>
      <c r="D316" s="12"/>
      <c r="E316" s="18"/>
      <c r="F316" s="12"/>
    </row>
    <row r="317" spans="1:6">
      <c r="A317" s="17"/>
      <c r="B317" s="17"/>
      <c r="C317" s="17"/>
      <c r="D317" s="12"/>
      <c r="E317" s="17"/>
      <c r="F317" s="12"/>
    </row>
    <row r="318" spans="1:6">
      <c r="A318" s="18"/>
      <c r="B318" s="18"/>
      <c r="C318" s="18"/>
      <c r="D318" s="12"/>
      <c r="E318" s="18"/>
      <c r="F318" s="12"/>
    </row>
    <row r="319" spans="1:6">
      <c r="A319" s="17"/>
      <c r="B319" s="17"/>
      <c r="C319" s="17"/>
      <c r="D319" s="12"/>
      <c r="E319" s="17"/>
      <c r="F319" s="12"/>
    </row>
    <row r="320" spans="1:6">
      <c r="A320" s="18"/>
      <c r="B320" s="18"/>
      <c r="C320" s="18"/>
      <c r="D320" s="12"/>
      <c r="E320" s="18"/>
      <c r="F320" s="12"/>
    </row>
    <row r="321" spans="1:6">
      <c r="A321" s="17"/>
      <c r="B321" s="17"/>
      <c r="C321" s="17"/>
      <c r="D321" s="12"/>
      <c r="E321" s="17"/>
      <c r="F321" s="12"/>
    </row>
    <row r="322" spans="1:6">
      <c r="A322" s="18"/>
      <c r="B322" s="18"/>
      <c r="C322" s="18"/>
      <c r="D322" s="12"/>
      <c r="E322" s="18"/>
      <c r="F322" s="12"/>
    </row>
    <row r="323" spans="1:6">
      <c r="A323" s="17"/>
      <c r="B323" s="17"/>
      <c r="C323" s="17"/>
      <c r="D323" s="12"/>
      <c r="E323" s="17"/>
      <c r="F323" s="12"/>
    </row>
    <row r="324" spans="1:6">
      <c r="A324" s="18"/>
      <c r="B324" s="18"/>
      <c r="C324" s="18"/>
      <c r="D324" s="12"/>
      <c r="E324" s="18"/>
      <c r="F324" s="12"/>
    </row>
    <row r="325" spans="1:6">
      <c r="A325" s="17"/>
      <c r="B325" s="17"/>
      <c r="C325" s="17"/>
      <c r="D325" s="12"/>
      <c r="E325" s="17"/>
      <c r="F325" s="12"/>
    </row>
    <row r="326" spans="1:6">
      <c r="A326" s="18"/>
      <c r="B326" s="18"/>
      <c r="C326" s="18"/>
      <c r="D326" s="12"/>
      <c r="E326" s="18"/>
      <c r="F326" s="12"/>
    </row>
    <row r="327" spans="1:6">
      <c r="A327" s="17"/>
      <c r="B327" s="17"/>
      <c r="C327" s="17"/>
      <c r="D327" s="12"/>
      <c r="E327" s="17"/>
      <c r="F327" s="12"/>
    </row>
    <row r="328" spans="1:6">
      <c r="A328" s="18"/>
      <c r="B328" s="18"/>
      <c r="C328" s="18"/>
      <c r="D328" s="12"/>
      <c r="E328" s="18"/>
      <c r="F328" s="12"/>
    </row>
    <row r="329" spans="1:6">
      <c r="A329" s="17"/>
      <c r="B329" s="17"/>
      <c r="C329" s="17"/>
      <c r="D329" s="12"/>
      <c r="E329" s="17"/>
      <c r="F329" s="12"/>
    </row>
    <row r="330" spans="1:6">
      <c r="A330" s="18"/>
      <c r="B330" s="18"/>
      <c r="C330" s="18"/>
      <c r="D330" s="12"/>
      <c r="E330" s="18"/>
      <c r="F330" s="12"/>
    </row>
  </sheetData>
  <mergeCells count="2">
    <mergeCell ref="B1:D1"/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C871-5D07-5348-91F4-3E2FBE60D23D}">
  <dimension ref="A1:Q381"/>
  <sheetViews>
    <sheetView topLeftCell="E1" zoomScale="251" workbookViewId="0">
      <selection activeCell="Q3" sqref="Q3"/>
    </sheetView>
  </sheetViews>
  <sheetFormatPr baseColWidth="10" defaultRowHeight="15"/>
  <cols>
    <col min="2" max="2" width="13.83203125" customWidth="1"/>
    <col min="3" max="3" width="13.6640625" customWidth="1"/>
    <col min="4" max="4" width="18.1640625" customWidth="1"/>
    <col min="5" max="5" width="11.5" customWidth="1"/>
    <col min="6" max="6" width="12.6640625" customWidth="1"/>
    <col min="7" max="7" width="12.5" customWidth="1"/>
    <col min="8" max="8" width="9.5" customWidth="1"/>
    <col min="9" max="9" width="12.83203125" customWidth="1"/>
    <col min="10" max="10" width="11.6640625" customWidth="1"/>
    <col min="11" max="11" width="9.83203125" customWidth="1"/>
    <col min="12" max="12" width="11.6640625" customWidth="1"/>
    <col min="13" max="13" width="10" customWidth="1"/>
    <col min="14" max="14" width="13.5" customWidth="1"/>
    <col min="15" max="15" width="18.83203125" customWidth="1"/>
  </cols>
  <sheetData>
    <row r="1" spans="1:17">
      <c r="A1" s="24"/>
      <c r="B1" s="25" t="s">
        <v>19</v>
      </c>
      <c r="C1" s="25"/>
      <c r="D1" s="25"/>
      <c r="E1" s="25"/>
      <c r="F1" s="25"/>
      <c r="G1" s="24"/>
      <c r="H1" s="25" t="s">
        <v>18</v>
      </c>
      <c r="I1" s="25"/>
      <c r="J1" s="25"/>
      <c r="K1" s="25"/>
      <c r="L1" s="25"/>
      <c r="M1" s="25"/>
      <c r="N1" s="25"/>
      <c r="O1" s="25"/>
      <c r="P1" s="25"/>
    </row>
    <row r="2" spans="1:17" ht="84">
      <c r="A2" s="26" t="s">
        <v>22</v>
      </c>
      <c r="B2" s="27" t="s">
        <v>407</v>
      </c>
      <c r="C2" s="27" t="s">
        <v>408</v>
      </c>
      <c r="D2" s="27" t="s">
        <v>409</v>
      </c>
      <c r="E2" s="27" t="s">
        <v>410</v>
      </c>
      <c r="F2" s="27" t="s">
        <v>411</v>
      </c>
      <c r="G2" s="27" t="s">
        <v>39</v>
      </c>
      <c r="H2" s="27" t="s">
        <v>7</v>
      </c>
      <c r="I2" s="27" t="s">
        <v>412</v>
      </c>
      <c r="J2" s="27" t="s">
        <v>413</v>
      </c>
      <c r="K2" s="27" t="s">
        <v>414</v>
      </c>
      <c r="L2" s="27" t="s">
        <v>415</v>
      </c>
      <c r="M2" s="27" t="s">
        <v>416</v>
      </c>
      <c r="N2" s="27" t="s">
        <v>417</v>
      </c>
      <c r="O2" s="27" t="s">
        <v>418</v>
      </c>
      <c r="P2" s="26" t="s">
        <v>419</v>
      </c>
    </row>
    <row r="3" spans="1:17">
      <c r="A3" s="28">
        <v>45016</v>
      </c>
      <c r="B3" s="29">
        <v>128225.28</v>
      </c>
      <c r="C3" s="29">
        <v>162.22999999999999</v>
      </c>
      <c r="D3" s="29">
        <v>12470.48</v>
      </c>
      <c r="E3" s="29">
        <v>833.93</v>
      </c>
      <c r="F3" s="29">
        <v>14969.48</v>
      </c>
      <c r="G3" s="29">
        <v>98985.95</v>
      </c>
      <c r="H3" s="29">
        <v>519930.22</v>
      </c>
      <c r="I3" s="29">
        <v>68566.710000000006</v>
      </c>
      <c r="J3" s="29">
        <v>182746.42</v>
      </c>
      <c r="K3" s="29">
        <v>171093.55</v>
      </c>
      <c r="L3" s="29">
        <v>3333.47</v>
      </c>
      <c r="M3" s="29">
        <v>643124.4</v>
      </c>
      <c r="N3" s="29">
        <v>595098.67000000004</v>
      </c>
      <c r="O3" s="29">
        <v>76058.48</v>
      </c>
      <c r="P3" s="29">
        <v>7696.89</v>
      </c>
      <c r="Q3" s="30"/>
    </row>
    <row r="4" spans="1:17">
      <c r="A4" s="28">
        <v>44985</v>
      </c>
      <c r="B4" s="29">
        <v>121173.06</v>
      </c>
      <c r="C4" s="29">
        <v>159.83000000000001</v>
      </c>
      <c r="D4" s="29">
        <v>12278.37</v>
      </c>
      <c r="E4" s="29">
        <v>821.8</v>
      </c>
      <c r="F4" s="29">
        <v>14373.49</v>
      </c>
      <c r="G4" s="29">
        <v>96147.31</v>
      </c>
      <c r="H4" s="29">
        <v>547377.07999999996</v>
      </c>
      <c r="I4" s="29">
        <v>68769.490000000005</v>
      </c>
      <c r="J4" s="29">
        <v>183552.44</v>
      </c>
      <c r="K4" s="29">
        <v>170735.02</v>
      </c>
      <c r="L4" s="29">
        <v>3292.26</v>
      </c>
      <c r="M4" s="29">
        <v>643720.15</v>
      </c>
      <c r="N4" s="29">
        <v>594824.43000000005</v>
      </c>
      <c r="O4" s="29">
        <v>76502</v>
      </c>
      <c r="P4" s="29">
        <v>7805.24</v>
      </c>
      <c r="Q4" s="30"/>
    </row>
    <row r="5" spans="1:17">
      <c r="A5" s="28">
        <v>44954</v>
      </c>
      <c r="B5" s="29">
        <v>124130.89</v>
      </c>
      <c r="C5" s="29">
        <v>182.16</v>
      </c>
      <c r="D5" s="29">
        <v>11922.3</v>
      </c>
      <c r="E5" s="29">
        <v>801.66</v>
      </c>
      <c r="F5" s="29">
        <v>14764.88</v>
      </c>
      <c r="G5" s="29">
        <v>97087.27</v>
      </c>
      <c r="H5" s="29">
        <v>558970.47</v>
      </c>
      <c r="I5" s="29">
        <v>68702.28</v>
      </c>
      <c r="J5" s="29">
        <v>188013.11</v>
      </c>
      <c r="K5" s="29">
        <v>166429.01</v>
      </c>
      <c r="L5" s="29">
        <v>3442.71</v>
      </c>
      <c r="M5" s="29">
        <v>645868.24</v>
      </c>
      <c r="N5" s="29">
        <v>595677.85</v>
      </c>
      <c r="O5" s="29">
        <v>77024.41</v>
      </c>
      <c r="P5" s="29">
        <v>7840.04</v>
      </c>
      <c r="Q5" s="30"/>
    </row>
    <row r="6" spans="1:17">
      <c r="A6" s="28">
        <v>44923</v>
      </c>
      <c r="B6" s="29">
        <v>131760.85999999999</v>
      </c>
      <c r="C6" s="29">
        <v>218.45</v>
      </c>
      <c r="D6" s="29">
        <v>11807.5</v>
      </c>
      <c r="E6" s="29">
        <v>800.89</v>
      </c>
      <c r="F6" s="29">
        <v>13736.78</v>
      </c>
      <c r="G6" s="29">
        <v>96472.69</v>
      </c>
      <c r="H6" s="29">
        <v>532667.30000000005</v>
      </c>
      <c r="I6" s="29">
        <v>67562.73</v>
      </c>
      <c r="J6" s="29">
        <v>195994.04</v>
      </c>
      <c r="K6" s="29">
        <v>175731.62</v>
      </c>
      <c r="L6" s="29">
        <v>3461.9</v>
      </c>
      <c r="M6" s="29">
        <v>647405.59</v>
      </c>
      <c r="N6" s="29">
        <v>595413.06000000006</v>
      </c>
      <c r="O6" s="29">
        <v>77368.759999999995</v>
      </c>
      <c r="P6" s="29">
        <v>7795.56</v>
      </c>
      <c r="Q6" s="30"/>
    </row>
    <row r="7" spans="1:17">
      <c r="A7" s="28">
        <v>44893</v>
      </c>
      <c r="B7" s="29">
        <v>127221.56</v>
      </c>
      <c r="C7" s="29">
        <v>140.24</v>
      </c>
      <c r="D7" s="29">
        <v>9986.19</v>
      </c>
      <c r="E7" s="29">
        <v>793.23</v>
      </c>
      <c r="F7" s="29">
        <v>14390.3</v>
      </c>
      <c r="G7" s="29">
        <v>103328.72</v>
      </c>
      <c r="H7" s="29">
        <v>621864.53</v>
      </c>
      <c r="I7" s="29">
        <v>68100.479999999996</v>
      </c>
      <c r="J7" s="29">
        <v>187343.74</v>
      </c>
      <c r="K7" s="29">
        <v>174335.64</v>
      </c>
      <c r="L7" s="29">
        <v>3477.3</v>
      </c>
      <c r="M7" s="29">
        <v>664506.19999999995</v>
      </c>
      <c r="N7" s="29">
        <v>595881.03</v>
      </c>
      <c r="O7" s="29">
        <v>77883.03</v>
      </c>
      <c r="P7" s="29">
        <v>7977.06</v>
      </c>
      <c r="Q7" s="30"/>
    </row>
    <row r="8" spans="1:17">
      <c r="A8" s="28">
        <v>44862</v>
      </c>
      <c r="B8" s="29">
        <v>128767.49</v>
      </c>
      <c r="C8" s="29">
        <v>167.74</v>
      </c>
      <c r="D8" s="29">
        <v>9841.56</v>
      </c>
      <c r="E8" s="29">
        <v>775.95</v>
      </c>
      <c r="F8" s="29">
        <v>14512.31</v>
      </c>
      <c r="G8" s="29">
        <v>107267.57</v>
      </c>
      <c r="H8" s="29">
        <v>619699.07999999996</v>
      </c>
      <c r="I8" s="29">
        <v>67879.66</v>
      </c>
      <c r="J8" s="29">
        <v>192049.84</v>
      </c>
      <c r="K8" s="29">
        <v>163689.26999999999</v>
      </c>
      <c r="L8" s="29">
        <v>3700.4</v>
      </c>
      <c r="M8" s="29">
        <v>667065.15</v>
      </c>
      <c r="N8" s="29">
        <v>594366.82999999996</v>
      </c>
      <c r="O8" s="29">
        <v>78161.259999999995</v>
      </c>
      <c r="P8" s="29">
        <v>7753.55</v>
      </c>
      <c r="Q8" s="30"/>
    </row>
    <row r="9" spans="1:17">
      <c r="A9" s="28">
        <v>44832</v>
      </c>
      <c r="B9" s="29">
        <v>135001.76</v>
      </c>
      <c r="C9" s="29">
        <v>173.18</v>
      </c>
      <c r="D9" s="29">
        <v>9963.77</v>
      </c>
      <c r="E9" s="29">
        <v>774.16</v>
      </c>
      <c r="F9" s="29">
        <v>15086.86</v>
      </c>
      <c r="G9" s="29">
        <v>109517.28</v>
      </c>
      <c r="H9" s="29">
        <v>600759.5</v>
      </c>
      <c r="I9" s="29">
        <v>67801.820000000007</v>
      </c>
      <c r="J9" s="29">
        <v>192877.84</v>
      </c>
      <c r="K9" s="29">
        <v>166559.59</v>
      </c>
      <c r="L9" s="29">
        <v>3885.61</v>
      </c>
      <c r="M9" s="29">
        <v>676490.01</v>
      </c>
      <c r="N9" s="29">
        <v>593102.21</v>
      </c>
      <c r="O9" s="29">
        <v>78640.710000000006</v>
      </c>
      <c r="P9" s="29">
        <v>7639.72</v>
      </c>
      <c r="Q9" s="30"/>
    </row>
    <row r="10" spans="1:17">
      <c r="A10" s="28">
        <v>44801</v>
      </c>
      <c r="B10" s="29">
        <v>127237.42</v>
      </c>
      <c r="C10" s="29">
        <v>124.64</v>
      </c>
      <c r="D10" s="29">
        <v>9135.0300000000007</v>
      </c>
      <c r="E10" s="29">
        <v>765.26</v>
      </c>
      <c r="F10" s="29">
        <v>13814.58</v>
      </c>
      <c r="G10" s="29">
        <v>111041</v>
      </c>
      <c r="H10" s="29">
        <v>617635.16</v>
      </c>
      <c r="I10" s="29">
        <v>67682.429999999993</v>
      </c>
      <c r="J10" s="29">
        <v>193607.91</v>
      </c>
      <c r="K10" s="29">
        <v>167718.01999999999</v>
      </c>
      <c r="L10" s="29">
        <v>4398.37</v>
      </c>
      <c r="M10" s="29">
        <v>678880.89</v>
      </c>
      <c r="N10" s="29">
        <v>590535.68999999994</v>
      </c>
      <c r="O10" s="29">
        <v>78761.41</v>
      </c>
      <c r="P10" s="29">
        <v>7436.05</v>
      </c>
      <c r="Q10" s="30"/>
    </row>
    <row r="11" spans="1:17">
      <c r="A11" s="28">
        <v>44770</v>
      </c>
      <c r="B11" s="29">
        <v>132554.34</v>
      </c>
      <c r="C11" s="29">
        <v>148.76</v>
      </c>
      <c r="D11" s="29">
        <v>9518.56</v>
      </c>
      <c r="E11" s="29">
        <v>757.29</v>
      </c>
      <c r="F11" s="29">
        <v>13652.52</v>
      </c>
      <c r="G11" s="29">
        <v>111996.35</v>
      </c>
      <c r="H11" s="29">
        <v>621395.73</v>
      </c>
      <c r="I11" s="29">
        <v>67846.679999999993</v>
      </c>
      <c r="J11" s="29">
        <v>193058.48</v>
      </c>
      <c r="K11" s="29">
        <v>172043.69</v>
      </c>
      <c r="L11" s="29">
        <v>4734.84</v>
      </c>
      <c r="M11" s="29">
        <v>674044.67</v>
      </c>
      <c r="N11" s="29">
        <v>591604.73</v>
      </c>
      <c r="O11" s="29">
        <v>78918.490000000005</v>
      </c>
      <c r="P11" s="29">
        <v>7439.5</v>
      </c>
      <c r="Q11" s="30"/>
    </row>
    <row r="12" spans="1:17">
      <c r="A12" s="28">
        <v>44740</v>
      </c>
      <c r="B12" s="29">
        <v>121799.03</v>
      </c>
      <c r="C12" s="29">
        <v>168.08</v>
      </c>
      <c r="D12" s="29">
        <v>10308.780000000001</v>
      </c>
      <c r="E12" s="29">
        <v>750.64</v>
      </c>
      <c r="F12" s="29">
        <v>13351.44</v>
      </c>
      <c r="G12" s="29">
        <v>109812.72</v>
      </c>
      <c r="H12" s="29">
        <v>627356.21</v>
      </c>
      <c r="I12" s="29">
        <v>68116.39</v>
      </c>
      <c r="J12" s="29">
        <v>194126.52</v>
      </c>
      <c r="K12" s="29">
        <v>172404.65</v>
      </c>
      <c r="L12" s="29">
        <v>5008.1099999999997</v>
      </c>
      <c r="M12" s="29">
        <v>668877.68000000005</v>
      </c>
      <c r="N12" s="29">
        <v>588013.46</v>
      </c>
      <c r="O12" s="29">
        <v>79617.72</v>
      </c>
      <c r="P12" s="29">
        <v>7573.61</v>
      </c>
      <c r="Q12" s="30"/>
    </row>
    <row r="13" spans="1:17">
      <c r="A13" s="28">
        <v>44709</v>
      </c>
      <c r="B13" s="29">
        <v>125616.23</v>
      </c>
      <c r="C13" s="29">
        <v>89.45</v>
      </c>
      <c r="D13" s="29">
        <v>10079.84</v>
      </c>
      <c r="E13" s="29">
        <v>737.45</v>
      </c>
      <c r="F13" s="29">
        <v>12176.06</v>
      </c>
      <c r="G13" s="29">
        <v>105181.75</v>
      </c>
      <c r="H13" s="29">
        <v>698972.21</v>
      </c>
      <c r="I13" s="29">
        <v>69202.83</v>
      </c>
      <c r="J13" s="29">
        <v>191339.09</v>
      </c>
      <c r="K13" s="29">
        <v>172361.83</v>
      </c>
      <c r="L13" s="29">
        <v>4941.26</v>
      </c>
      <c r="M13" s="29">
        <v>669862.55000000005</v>
      </c>
      <c r="N13" s="29">
        <v>585030.66</v>
      </c>
      <c r="O13" s="29">
        <v>79927.69</v>
      </c>
      <c r="P13" s="29">
        <v>7873.02</v>
      </c>
      <c r="Q13" s="30"/>
    </row>
    <row r="14" spans="1:17">
      <c r="A14" s="28">
        <v>44679</v>
      </c>
      <c r="B14" s="29">
        <v>126504.18</v>
      </c>
      <c r="C14" s="29">
        <v>92.46</v>
      </c>
      <c r="D14" s="29">
        <v>9747.91</v>
      </c>
      <c r="E14" s="29">
        <v>726.06</v>
      </c>
      <c r="F14" s="29">
        <v>12355.47</v>
      </c>
      <c r="G14" s="29">
        <v>106279.21</v>
      </c>
      <c r="H14" s="29">
        <v>695836.75</v>
      </c>
      <c r="I14" s="29">
        <v>69301.850000000006</v>
      </c>
      <c r="J14" s="29">
        <v>192425.24</v>
      </c>
      <c r="K14" s="29">
        <v>177501.98</v>
      </c>
      <c r="L14" s="29">
        <v>5093.2700000000004</v>
      </c>
      <c r="M14" s="29">
        <v>660685.31999999995</v>
      </c>
      <c r="N14" s="29">
        <v>582005.51</v>
      </c>
      <c r="O14" s="29">
        <v>79663.58</v>
      </c>
      <c r="P14" s="29">
        <v>7898.67</v>
      </c>
      <c r="Q14" s="30"/>
    </row>
    <row r="15" spans="1:17">
      <c r="A15" s="28">
        <v>44648</v>
      </c>
      <c r="B15" s="29">
        <v>123456.32000000001</v>
      </c>
      <c r="C15" s="29">
        <v>97.12</v>
      </c>
      <c r="D15" s="29">
        <v>9786.34</v>
      </c>
      <c r="E15" s="29">
        <v>717.11</v>
      </c>
      <c r="F15" s="29">
        <v>12708.87</v>
      </c>
      <c r="G15" s="29">
        <v>107190.69</v>
      </c>
      <c r="H15" s="29">
        <v>677057.15</v>
      </c>
      <c r="I15" s="29">
        <v>69251.429999999993</v>
      </c>
      <c r="J15" s="29">
        <v>193240.86</v>
      </c>
      <c r="K15" s="29">
        <v>180475.36</v>
      </c>
      <c r="L15" s="29">
        <v>5003.9399999999996</v>
      </c>
      <c r="M15" s="29">
        <v>666021.93999999994</v>
      </c>
      <c r="N15" s="29">
        <v>581015.31000000006</v>
      </c>
      <c r="O15" s="29">
        <v>80174.84</v>
      </c>
      <c r="P15" s="29">
        <v>8031.02</v>
      </c>
      <c r="Q15" s="30"/>
    </row>
    <row r="16" spans="1:17">
      <c r="A16" s="28">
        <v>44620</v>
      </c>
      <c r="B16" s="29">
        <v>122521.96</v>
      </c>
      <c r="C16" s="29">
        <v>86.32</v>
      </c>
      <c r="D16" s="29">
        <v>9224.02</v>
      </c>
      <c r="E16" s="29">
        <v>701.86</v>
      </c>
      <c r="F16" s="29">
        <v>12271.26</v>
      </c>
      <c r="G16" s="29">
        <v>104590.61</v>
      </c>
      <c r="H16" s="29">
        <v>689109.37</v>
      </c>
      <c r="I16" s="29">
        <v>69355.08</v>
      </c>
      <c r="J16" s="29">
        <v>195246.78</v>
      </c>
      <c r="K16" s="29">
        <v>171685.41</v>
      </c>
      <c r="L16" s="29">
        <v>5087.17</v>
      </c>
      <c r="M16" s="29">
        <v>662720.49</v>
      </c>
      <c r="N16" s="29">
        <v>577373.52</v>
      </c>
      <c r="O16" s="29">
        <v>79891.69</v>
      </c>
      <c r="P16" s="29">
        <v>7900</v>
      </c>
      <c r="Q16" s="30"/>
    </row>
    <row r="17" spans="1:17">
      <c r="A17" s="28">
        <v>44589</v>
      </c>
      <c r="B17" s="29">
        <v>125130.51</v>
      </c>
      <c r="C17" s="29">
        <v>91.87</v>
      </c>
      <c r="D17" s="29">
        <v>9118.43</v>
      </c>
      <c r="E17" s="29">
        <v>689.13</v>
      </c>
      <c r="F17" s="29">
        <v>11981.76</v>
      </c>
      <c r="G17" s="29">
        <v>106644.41</v>
      </c>
      <c r="H17" s="29">
        <v>703918.16</v>
      </c>
      <c r="I17" s="29">
        <v>67945.45</v>
      </c>
      <c r="J17" s="29">
        <v>196580.06</v>
      </c>
      <c r="K17" s="29">
        <v>175325.44</v>
      </c>
      <c r="L17" s="29">
        <v>4972.53</v>
      </c>
      <c r="M17" s="29">
        <v>660655.27</v>
      </c>
      <c r="N17" s="29">
        <v>575630.31000000006</v>
      </c>
      <c r="O17" s="29">
        <v>79851.039999999994</v>
      </c>
      <c r="P17" s="29">
        <v>7783.39</v>
      </c>
      <c r="Q17" s="30"/>
    </row>
    <row r="18" spans="1:17">
      <c r="A18" s="28">
        <v>44558</v>
      </c>
      <c r="B18" s="29">
        <v>124326.1</v>
      </c>
      <c r="C18" s="29">
        <v>157</v>
      </c>
      <c r="D18" s="29">
        <v>9594.5400000000009</v>
      </c>
      <c r="E18" s="29">
        <v>698.05</v>
      </c>
      <c r="F18" s="29">
        <v>12000.25</v>
      </c>
      <c r="G18" s="29">
        <v>106212.3</v>
      </c>
      <c r="H18" s="29">
        <v>689082.43</v>
      </c>
      <c r="I18" s="29">
        <v>66475.16</v>
      </c>
      <c r="J18" s="29">
        <v>194250.27</v>
      </c>
      <c r="K18" s="29">
        <v>172937.32</v>
      </c>
      <c r="L18" s="29">
        <v>4656.1000000000004</v>
      </c>
      <c r="M18" s="29">
        <v>663169.41</v>
      </c>
      <c r="N18" s="29">
        <v>575240.14</v>
      </c>
      <c r="O18" s="29">
        <v>79922.58</v>
      </c>
      <c r="P18" s="29">
        <v>7640.72</v>
      </c>
      <c r="Q18" s="30"/>
    </row>
    <row r="19" spans="1:17">
      <c r="A19" s="28">
        <v>44528</v>
      </c>
      <c r="B19" s="29">
        <v>125220.86</v>
      </c>
      <c r="C19" s="29">
        <v>149.03</v>
      </c>
      <c r="D19" s="29">
        <v>10863.73</v>
      </c>
      <c r="E19" s="29">
        <v>689.83</v>
      </c>
      <c r="F19" s="29">
        <v>11357.16</v>
      </c>
      <c r="G19" s="29">
        <v>104921.60000000001</v>
      </c>
      <c r="H19" s="29">
        <v>716003.7</v>
      </c>
      <c r="I19" s="29">
        <v>67418.009999999995</v>
      </c>
      <c r="J19" s="29">
        <v>184800.19</v>
      </c>
      <c r="K19" s="29">
        <v>172176.55</v>
      </c>
      <c r="L19" s="29">
        <v>4662.3100000000004</v>
      </c>
      <c r="M19" s="29">
        <v>662624.82999999996</v>
      </c>
      <c r="N19" s="29">
        <v>574782.06000000006</v>
      </c>
      <c r="O19" s="29">
        <v>80748.820000000007</v>
      </c>
      <c r="P19" s="29">
        <v>7634.28</v>
      </c>
      <c r="Q19" s="30"/>
    </row>
    <row r="20" spans="1:17">
      <c r="A20" s="28">
        <v>44497</v>
      </c>
      <c r="B20" s="29">
        <v>127795.18</v>
      </c>
      <c r="C20" s="29">
        <v>126.96</v>
      </c>
      <c r="D20" s="29">
        <v>11485.82</v>
      </c>
      <c r="E20" s="29">
        <v>688.61</v>
      </c>
      <c r="F20" s="29">
        <v>11734.31</v>
      </c>
      <c r="G20" s="29">
        <v>104411.6</v>
      </c>
      <c r="H20" s="29">
        <v>716170.03</v>
      </c>
      <c r="I20" s="29">
        <v>67478.59</v>
      </c>
      <c r="J20" s="29">
        <v>182354.54</v>
      </c>
      <c r="K20" s="29">
        <v>170530.79</v>
      </c>
      <c r="L20" s="29">
        <v>4733</v>
      </c>
      <c r="M20" s="29">
        <v>659298.49</v>
      </c>
      <c r="N20" s="29">
        <v>571621.46</v>
      </c>
      <c r="O20" s="29">
        <v>80114.3</v>
      </c>
      <c r="P20" s="29">
        <v>7509.46</v>
      </c>
      <c r="Q20" s="30"/>
    </row>
    <row r="21" spans="1:17">
      <c r="A21" s="28">
        <v>44467</v>
      </c>
      <c r="B21" s="29">
        <v>121350.61</v>
      </c>
      <c r="C21" s="29">
        <v>131.63999999999999</v>
      </c>
      <c r="D21" s="29">
        <v>11340.55</v>
      </c>
      <c r="E21" s="29">
        <v>674.47</v>
      </c>
      <c r="F21" s="29">
        <v>11716.16</v>
      </c>
      <c r="G21" s="29">
        <v>104267.51</v>
      </c>
      <c r="H21" s="29">
        <v>691184.43</v>
      </c>
      <c r="I21" s="29">
        <v>67341.75</v>
      </c>
      <c r="J21" s="29">
        <v>194095.27</v>
      </c>
      <c r="K21" s="29">
        <v>174952.46</v>
      </c>
      <c r="L21" s="29">
        <v>4717.03</v>
      </c>
      <c r="M21" s="29">
        <v>657805.27</v>
      </c>
      <c r="N21" s="29">
        <v>568463.18000000005</v>
      </c>
      <c r="O21" s="29">
        <v>80238.69</v>
      </c>
      <c r="P21" s="29">
        <v>7511.63</v>
      </c>
      <c r="Q21" s="30"/>
    </row>
    <row r="22" spans="1:17">
      <c r="A22" s="28">
        <v>44436</v>
      </c>
      <c r="B22" s="29">
        <v>122205.11</v>
      </c>
      <c r="C22" s="29">
        <v>109.83</v>
      </c>
      <c r="D22" s="29">
        <v>11328.94</v>
      </c>
      <c r="E22" s="29">
        <v>667.66</v>
      </c>
      <c r="F22" s="29">
        <v>10934.57</v>
      </c>
      <c r="G22" s="29">
        <v>103204.69</v>
      </c>
      <c r="H22" s="29">
        <v>700508.62</v>
      </c>
      <c r="I22" s="29">
        <v>67140.17</v>
      </c>
      <c r="J22" s="29">
        <v>200207.64</v>
      </c>
      <c r="K22" s="29">
        <v>164219.04999999999</v>
      </c>
      <c r="L22" s="29">
        <v>4717.1400000000003</v>
      </c>
      <c r="M22" s="29">
        <v>657984.80000000005</v>
      </c>
      <c r="N22" s="29">
        <v>566567.47</v>
      </c>
      <c r="O22" s="29">
        <v>80610.039999999994</v>
      </c>
      <c r="P22" s="29">
        <v>7433.2</v>
      </c>
      <c r="Q22" s="30"/>
    </row>
    <row r="23" spans="1:17">
      <c r="A23" s="28">
        <v>44405</v>
      </c>
      <c r="B23" s="29">
        <v>120244.49</v>
      </c>
      <c r="C23" s="29">
        <v>124</v>
      </c>
      <c r="D23" s="29">
        <v>11764.54</v>
      </c>
      <c r="E23" s="29">
        <v>676.23</v>
      </c>
      <c r="F23" s="29">
        <v>11170.79</v>
      </c>
      <c r="G23" s="29">
        <v>104475.19</v>
      </c>
      <c r="H23" s="29">
        <v>699726.57</v>
      </c>
      <c r="I23" s="29">
        <v>67472.600000000006</v>
      </c>
      <c r="J23" s="29">
        <v>199620.94</v>
      </c>
      <c r="K23" s="29">
        <v>171020.92</v>
      </c>
      <c r="L23" s="29">
        <v>4626.51</v>
      </c>
      <c r="M23" s="29">
        <v>662102.32999999996</v>
      </c>
      <c r="N23" s="29">
        <v>568287.66</v>
      </c>
      <c r="O23" s="29">
        <v>80731.78</v>
      </c>
      <c r="P23" s="29">
        <v>7474.15</v>
      </c>
      <c r="Q23" s="30"/>
    </row>
    <row r="24" spans="1:17">
      <c r="A24" s="28">
        <v>44375</v>
      </c>
      <c r="B24" s="29">
        <v>119698.08</v>
      </c>
      <c r="C24" s="29">
        <v>130.26</v>
      </c>
      <c r="D24" s="29">
        <v>11397.05</v>
      </c>
      <c r="E24" s="29">
        <v>681.83</v>
      </c>
      <c r="F24" s="29">
        <v>11508.1</v>
      </c>
      <c r="G24" s="29">
        <v>100770.34</v>
      </c>
      <c r="H24" s="29">
        <v>680918.35</v>
      </c>
      <c r="I24" s="29">
        <v>67699.53</v>
      </c>
      <c r="J24" s="29">
        <v>201369.23</v>
      </c>
      <c r="K24" s="29">
        <v>175640.66</v>
      </c>
      <c r="L24" s="29">
        <v>4863.99</v>
      </c>
      <c r="M24" s="29">
        <v>666135.18999999994</v>
      </c>
      <c r="N24" s="29">
        <v>562047.02</v>
      </c>
      <c r="O24" s="29">
        <v>81081.67</v>
      </c>
      <c r="P24" s="29">
        <v>7455.2</v>
      </c>
      <c r="Q24" s="30"/>
    </row>
    <row r="25" spans="1:17">
      <c r="A25" s="28">
        <v>44344</v>
      </c>
      <c r="B25" s="29">
        <v>117313.48</v>
      </c>
      <c r="C25" s="29">
        <v>120.92</v>
      </c>
      <c r="D25" s="29">
        <v>11180.9</v>
      </c>
      <c r="E25" s="29">
        <v>672.6</v>
      </c>
      <c r="F25" s="29">
        <v>11478.89</v>
      </c>
      <c r="G25" s="29">
        <v>97218.3</v>
      </c>
      <c r="H25" s="29">
        <v>677490.09</v>
      </c>
      <c r="I25" s="29">
        <v>67878.679999999993</v>
      </c>
      <c r="J25" s="29">
        <v>199416.42</v>
      </c>
      <c r="K25" s="29">
        <v>171489.87</v>
      </c>
      <c r="L25" s="29">
        <v>4899.67</v>
      </c>
      <c r="M25" s="29">
        <v>667716.66</v>
      </c>
      <c r="N25" s="29">
        <v>559214.56000000006</v>
      </c>
      <c r="O25" s="29">
        <v>80943.37</v>
      </c>
      <c r="P25" s="29">
        <v>7521.66</v>
      </c>
      <c r="Q25" s="30"/>
    </row>
    <row r="26" spans="1:17">
      <c r="A26" s="28">
        <v>44314</v>
      </c>
      <c r="B26" s="29">
        <v>112039.03</v>
      </c>
      <c r="C26" s="29">
        <v>107.18</v>
      </c>
      <c r="D26" s="29">
        <v>11334.51</v>
      </c>
      <c r="E26" s="29">
        <v>667.74</v>
      </c>
      <c r="F26" s="29">
        <v>11568.87</v>
      </c>
      <c r="G26" s="29">
        <v>98246.84</v>
      </c>
      <c r="H26" s="29">
        <v>676986.14</v>
      </c>
      <c r="I26" s="29">
        <v>66965.97</v>
      </c>
      <c r="J26" s="29">
        <v>198522.58</v>
      </c>
      <c r="K26" s="29">
        <v>174906.38</v>
      </c>
      <c r="L26" s="29">
        <v>4737.26</v>
      </c>
      <c r="M26" s="29">
        <v>666733.32999999996</v>
      </c>
      <c r="N26" s="29">
        <v>556901.09</v>
      </c>
      <c r="O26" s="29">
        <v>80958.320000000007</v>
      </c>
      <c r="P26" s="29">
        <v>7782.05</v>
      </c>
      <c r="Q26" s="30"/>
    </row>
    <row r="27" spans="1:17">
      <c r="A27" s="28">
        <v>44283</v>
      </c>
      <c r="B27" s="29">
        <v>110533.33</v>
      </c>
      <c r="C27" s="29">
        <v>111.31</v>
      </c>
      <c r="D27" s="29">
        <v>11874.15</v>
      </c>
      <c r="E27" s="29">
        <v>674.9</v>
      </c>
      <c r="F27" s="29">
        <v>11379.67</v>
      </c>
      <c r="G27" s="29">
        <v>99358.96</v>
      </c>
      <c r="H27" s="29">
        <v>646579.93999999994</v>
      </c>
      <c r="I27" s="29">
        <v>63529.71</v>
      </c>
      <c r="J27" s="29">
        <v>198599.8</v>
      </c>
      <c r="K27" s="29">
        <v>183309.85</v>
      </c>
      <c r="L27" s="29">
        <v>4689.3599999999997</v>
      </c>
      <c r="M27" s="29">
        <v>671212.37</v>
      </c>
      <c r="N27" s="29">
        <v>553400.6</v>
      </c>
      <c r="O27" s="29">
        <v>84452.76</v>
      </c>
      <c r="P27" s="29">
        <v>7748.01</v>
      </c>
      <c r="Q27" s="30"/>
    </row>
    <row r="28" spans="1:17">
      <c r="A28" s="28">
        <v>44255</v>
      </c>
      <c r="B28" s="29">
        <v>105565.05</v>
      </c>
      <c r="C28" s="29">
        <v>112.81</v>
      </c>
      <c r="D28" s="29">
        <v>11350.22</v>
      </c>
      <c r="E28" s="29">
        <v>665.03</v>
      </c>
      <c r="F28" s="29">
        <v>10835.24</v>
      </c>
      <c r="G28" s="29">
        <v>95674.559999999998</v>
      </c>
      <c r="H28" s="29">
        <v>595002.43999999994</v>
      </c>
      <c r="I28" s="29">
        <v>64207.07</v>
      </c>
      <c r="J28" s="29">
        <v>199442.51</v>
      </c>
      <c r="K28" s="29">
        <v>184930.66</v>
      </c>
      <c r="L28" s="29">
        <v>4304.1099999999997</v>
      </c>
      <c r="M28" s="29">
        <v>668293.05000000005</v>
      </c>
      <c r="N28" s="29">
        <v>550890.76</v>
      </c>
      <c r="O28" s="29">
        <v>83335.240000000005</v>
      </c>
      <c r="P28" s="29">
        <v>7793.36</v>
      </c>
      <c r="Q28" s="30"/>
    </row>
    <row r="29" spans="1:17">
      <c r="A29" s="28">
        <v>44224</v>
      </c>
      <c r="B29" s="29">
        <v>109627.47</v>
      </c>
      <c r="C29" s="29">
        <v>115.05</v>
      </c>
      <c r="D29" s="29">
        <v>11592.67</v>
      </c>
      <c r="E29" s="29">
        <v>619.49</v>
      </c>
      <c r="F29" s="29">
        <v>11133.91</v>
      </c>
      <c r="G29" s="29">
        <v>99895.18</v>
      </c>
      <c r="H29" s="29">
        <v>582519.27</v>
      </c>
      <c r="I29" s="29">
        <v>63900.33</v>
      </c>
      <c r="J29" s="29">
        <v>197059.63</v>
      </c>
      <c r="K29" s="29">
        <v>191930.11</v>
      </c>
      <c r="L29" s="29">
        <v>4377.3900000000003</v>
      </c>
      <c r="M29" s="29">
        <v>669141.37</v>
      </c>
      <c r="N29" s="29">
        <v>550191.81999999995</v>
      </c>
      <c r="O29" s="29">
        <v>82545.399999999994</v>
      </c>
      <c r="P29" s="29">
        <v>7621.7</v>
      </c>
      <c r="Q29" s="30"/>
    </row>
    <row r="30" spans="1:17">
      <c r="A30" s="28">
        <v>44193</v>
      </c>
      <c r="B30" s="29">
        <v>116245.42</v>
      </c>
      <c r="C30" s="29">
        <v>244.53</v>
      </c>
      <c r="D30" s="29">
        <v>12945.57</v>
      </c>
      <c r="E30" s="29">
        <v>615.19000000000005</v>
      </c>
      <c r="F30" s="29">
        <v>10566.5</v>
      </c>
      <c r="G30" s="29">
        <v>102896.9</v>
      </c>
      <c r="H30" s="29">
        <v>570908.6</v>
      </c>
      <c r="I30" s="29">
        <v>63127</v>
      </c>
      <c r="J30" s="29">
        <v>193643.31</v>
      </c>
      <c r="K30" s="29">
        <v>194568.75</v>
      </c>
      <c r="L30" s="29">
        <v>4388.74</v>
      </c>
      <c r="M30" s="29">
        <v>667980.14</v>
      </c>
      <c r="N30" s="29">
        <v>550428.02</v>
      </c>
      <c r="O30" s="29">
        <v>82541.72</v>
      </c>
      <c r="P30" s="29">
        <v>7638.6</v>
      </c>
      <c r="Q30" s="30"/>
    </row>
    <row r="31" spans="1:17">
      <c r="A31" s="28">
        <v>44163</v>
      </c>
      <c r="B31" s="29">
        <v>122001.7</v>
      </c>
      <c r="C31" s="29">
        <v>141.66</v>
      </c>
      <c r="D31" s="29">
        <v>12818.37</v>
      </c>
      <c r="E31" s="29">
        <v>676.26</v>
      </c>
      <c r="F31" s="29">
        <v>10093.61</v>
      </c>
      <c r="G31" s="29">
        <v>102376.63</v>
      </c>
      <c r="H31" s="29">
        <v>578567.92000000004</v>
      </c>
      <c r="I31" s="29">
        <v>64119.13</v>
      </c>
      <c r="J31" s="29">
        <v>194845.67</v>
      </c>
      <c r="K31" s="29">
        <v>196345.13</v>
      </c>
      <c r="L31" s="29">
        <v>4298.43</v>
      </c>
      <c r="M31" s="29">
        <v>682282.05</v>
      </c>
      <c r="N31" s="29">
        <v>550574.75</v>
      </c>
      <c r="O31" s="29">
        <v>83292.05</v>
      </c>
      <c r="P31" s="29">
        <v>7830.34</v>
      </c>
      <c r="Q31" s="30"/>
    </row>
    <row r="32" spans="1:17">
      <c r="A32" s="28">
        <v>44132</v>
      </c>
      <c r="B32" s="29">
        <v>115610.48</v>
      </c>
      <c r="C32" s="29">
        <v>134.97999999999999</v>
      </c>
      <c r="D32" s="29">
        <v>12654.3</v>
      </c>
      <c r="E32" s="29">
        <v>667.39</v>
      </c>
      <c r="F32" s="29">
        <v>10285.74</v>
      </c>
      <c r="G32" s="29">
        <v>102737.35</v>
      </c>
      <c r="H32" s="29">
        <v>528967.42000000004</v>
      </c>
      <c r="I32" s="29">
        <v>64028.04</v>
      </c>
      <c r="J32" s="29">
        <v>193640.36</v>
      </c>
      <c r="K32" s="29">
        <v>202265.57</v>
      </c>
      <c r="L32" s="29">
        <v>4263.97</v>
      </c>
      <c r="M32" s="29">
        <v>677516.78</v>
      </c>
      <c r="N32" s="29">
        <v>548594.64</v>
      </c>
      <c r="O32" s="29">
        <v>82675.45</v>
      </c>
      <c r="P32" s="29">
        <v>7772.64</v>
      </c>
      <c r="Q32" s="30"/>
    </row>
    <row r="33" spans="1:17">
      <c r="A33" s="28">
        <v>44102</v>
      </c>
      <c r="B33" s="29">
        <v>113861.54</v>
      </c>
      <c r="C33" s="29">
        <v>145.44999999999999</v>
      </c>
      <c r="D33" s="29">
        <v>13091.08</v>
      </c>
      <c r="E33" s="29">
        <v>604.65</v>
      </c>
      <c r="F33" s="29">
        <v>11317.72</v>
      </c>
      <c r="G33" s="29">
        <v>104317.5</v>
      </c>
      <c r="H33" s="29">
        <v>475637.86</v>
      </c>
      <c r="I33" s="29">
        <v>64432.21</v>
      </c>
      <c r="J33" s="29">
        <v>193670.29</v>
      </c>
      <c r="K33" s="29">
        <v>203929.2</v>
      </c>
      <c r="L33" s="29">
        <v>4308.8599999999997</v>
      </c>
      <c r="M33" s="29">
        <v>677012.06</v>
      </c>
      <c r="N33" s="29">
        <v>546633.26</v>
      </c>
      <c r="O33" s="29">
        <v>82475.55</v>
      </c>
      <c r="P33" s="29">
        <v>7648.73</v>
      </c>
      <c r="Q33" s="30"/>
    </row>
    <row r="34" spans="1:17">
      <c r="A34" s="28">
        <v>44071</v>
      </c>
      <c r="B34" s="29">
        <v>109083.16</v>
      </c>
      <c r="C34" s="29">
        <v>178.5</v>
      </c>
      <c r="D34" s="29">
        <v>12945.59</v>
      </c>
      <c r="E34" s="29">
        <v>584.41</v>
      </c>
      <c r="F34" s="29">
        <v>11513.51</v>
      </c>
      <c r="G34" s="29">
        <v>108944.8</v>
      </c>
      <c r="H34" s="29">
        <v>441655.67</v>
      </c>
      <c r="I34" s="29">
        <v>64341.98</v>
      </c>
      <c r="J34" s="29">
        <v>195464.88</v>
      </c>
      <c r="K34" s="29">
        <v>216597.26</v>
      </c>
      <c r="L34" s="29">
        <v>4224.8999999999996</v>
      </c>
      <c r="M34" s="29">
        <v>671165.63</v>
      </c>
      <c r="N34" s="29">
        <v>544776.18000000005</v>
      </c>
      <c r="O34" s="29">
        <v>81464.27</v>
      </c>
      <c r="P34" s="29">
        <v>7696.86</v>
      </c>
      <c r="Q34" s="30"/>
    </row>
    <row r="35" spans="1:17">
      <c r="A35" s="28">
        <v>44040</v>
      </c>
      <c r="B35" s="29">
        <v>116075.71</v>
      </c>
      <c r="C35" s="29">
        <v>191.16</v>
      </c>
      <c r="D35" s="29">
        <v>13122.62</v>
      </c>
      <c r="E35" s="29">
        <v>604.66</v>
      </c>
      <c r="F35" s="29">
        <v>12084.29</v>
      </c>
      <c r="G35" s="29">
        <v>125394.38</v>
      </c>
      <c r="H35" s="29">
        <v>444388.67</v>
      </c>
      <c r="I35" s="29">
        <v>65176.77</v>
      </c>
      <c r="J35" s="29">
        <v>195493.27</v>
      </c>
      <c r="K35" s="29">
        <v>215466.82</v>
      </c>
      <c r="L35" s="29">
        <v>4283.63</v>
      </c>
      <c r="M35" s="29">
        <v>669652.25</v>
      </c>
      <c r="N35" s="29">
        <v>545933.9</v>
      </c>
      <c r="O35" s="29">
        <v>80904.31</v>
      </c>
      <c r="P35" s="29">
        <v>7591.18</v>
      </c>
      <c r="Q35" s="30"/>
    </row>
    <row r="36" spans="1:17">
      <c r="A36" s="28">
        <v>44010</v>
      </c>
      <c r="B36" s="29">
        <v>111558.41</v>
      </c>
      <c r="C36" s="29">
        <v>186.16</v>
      </c>
      <c r="D36" s="29">
        <v>12675.54</v>
      </c>
      <c r="E36" s="29">
        <v>600.66999999999996</v>
      </c>
      <c r="F36" s="29">
        <v>12018.1</v>
      </c>
      <c r="G36" s="29">
        <v>107713.65</v>
      </c>
      <c r="H36" s="29">
        <v>593323.63</v>
      </c>
      <c r="I36" s="29">
        <v>64784.57</v>
      </c>
      <c r="J36" s="29">
        <v>195758.35</v>
      </c>
      <c r="K36" s="29">
        <v>208969.18</v>
      </c>
      <c r="L36" s="29">
        <v>3137.49</v>
      </c>
      <c r="M36" s="29">
        <v>661803.96</v>
      </c>
      <c r="N36" s="29">
        <v>544212.44999999995</v>
      </c>
      <c r="O36" s="29">
        <v>80423.73</v>
      </c>
      <c r="P36" s="29">
        <v>7547.21</v>
      </c>
      <c r="Q36" s="30"/>
    </row>
    <row r="37" spans="1:17">
      <c r="A37" s="28">
        <v>43979</v>
      </c>
      <c r="B37" s="29">
        <v>110354.63</v>
      </c>
      <c r="C37" s="29">
        <v>180.46</v>
      </c>
      <c r="D37" s="29">
        <v>11995.21</v>
      </c>
      <c r="E37" s="29">
        <v>595.6</v>
      </c>
      <c r="F37" s="29">
        <v>12706.48</v>
      </c>
      <c r="G37" s="29">
        <v>114571.98</v>
      </c>
      <c r="H37" s="29">
        <v>520102.2</v>
      </c>
      <c r="I37" s="29">
        <v>65746.570000000007</v>
      </c>
      <c r="J37" s="29">
        <v>198119.31</v>
      </c>
      <c r="K37" s="29">
        <v>232327.81</v>
      </c>
      <c r="L37" s="29">
        <v>3717.12</v>
      </c>
      <c r="M37" s="29">
        <v>656885.68000000005</v>
      </c>
      <c r="N37" s="29">
        <v>543175.16</v>
      </c>
      <c r="O37" s="29">
        <v>78345.16</v>
      </c>
      <c r="P37" s="29">
        <v>7673.09</v>
      </c>
      <c r="Q37" s="30"/>
    </row>
    <row r="38" spans="1:17">
      <c r="A38" s="28">
        <v>43949</v>
      </c>
      <c r="B38" s="29">
        <v>118323.1</v>
      </c>
      <c r="C38" s="29">
        <v>175.09</v>
      </c>
      <c r="D38" s="29">
        <v>11576.9</v>
      </c>
      <c r="E38" s="29">
        <v>677.57</v>
      </c>
      <c r="F38" s="29">
        <v>12687.2</v>
      </c>
      <c r="G38" s="29">
        <v>116243.51</v>
      </c>
      <c r="H38" s="29">
        <v>490292.92</v>
      </c>
      <c r="I38" s="29">
        <v>65409.08</v>
      </c>
      <c r="J38" s="29">
        <v>200506.61</v>
      </c>
      <c r="K38" s="29">
        <v>227890.95</v>
      </c>
      <c r="L38" s="29">
        <v>3764.74</v>
      </c>
      <c r="M38" s="29">
        <v>656372.37</v>
      </c>
      <c r="N38" s="29">
        <v>542328.75</v>
      </c>
      <c r="O38" s="29">
        <v>76247.25</v>
      </c>
      <c r="P38" s="29">
        <v>7475.27</v>
      </c>
      <c r="Q38" s="30"/>
    </row>
    <row r="39" spans="1:17">
      <c r="A39" s="28">
        <v>43918</v>
      </c>
      <c r="B39" s="29">
        <v>118407.64</v>
      </c>
      <c r="C39" s="29">
        <v>183.83</v>
      </c>
      <c r="D39" s="29">
        <v>12817.1</v>
      </c>
      <c r="E39" s="29">
        <v>599.27</v>
      </c>
      <c r="F39" s="29">
        <v>11661.52</v>
      </c>
      <c r="G39" s="29">
        <v>117935.67999999999</v>
      </c>
      <c r="H39" s="29">
        <v>490747.76</v>
      </c>
      <c r="I39" s="29">
        <v>64621.22</v>
      </c>
      <c r="J39" s="29">
        <v>203135.18</v>
      </c>
      <c r="K39" s="29">
        <v>225839.39</v>
      </c>
      <c r="L39" s="29">
        <v>3821.22</v>
      </c>
      <c r="M39" s="29">
        <v>650601.17000000004</v>
      </c>
      <c r="N39" s="29">
        <v>544946.59</v>
      </c>
      <c r="O39" s="29">
        <v>76471.38</v>
      </c>
      <c r="P39" s="29">
        <v>7527.63</v>
      </c>
      <c r="Q39" s="30"/>
    </row>
    <row r="40" spans="1:17">
      <c r="A40" s="28">
        <v>43889</v>
      </c>
      <c r="B40" s="29">
        <v>108263.98</v>
      </c>
      <c r="C40" s="29">
        <v>175.46</v>
      </c>
      <c r="D40" s="29">
        <v>12651.71</v>
      </c>
      <c r="E40" s="29">
        <v>561.59</v>
      </c>
      <c r="F40" s="29">
        <v>10810.51</v>
      </c>
      <c r="G40" s="29">
        <v>106441.17</v>
      </c>
      <c r="H40" s="29">
        <v>493625.15</v>
      </c>
      <c r="I40" s="29">
        <v>65295.67</v>
      </c>
      <c r="J40" s="29">
        <v>194241.3</v>
      </c>
      <c r="K40" s="29">
        <v>215989.29</v>
      </c>
      <c r="L40" s="29">
        <v>3840.64</v>
      </c>
      <c r="M40" s="29">
        <v>635117.47</v>
      </c>
      <c r="N40" s="29">
        <v>547260.29</v>
      </c>
      <c r="O40" s="29">
        <v>76442.98</v>
      </c>
      <c r="P40" s="29">
        <v>7549.4</v>
      </c>
      <c r="Q40" s="30"/>
    </row>
    <row r="41" spans="1:17">
      <c r="A41" s="28">
        <v>43858</v>
      </c>
      <c r="B41" s="29">
        <v>107194.45</v>
      </c>
      <c r="C41" s="29">
        <v>172.32</v>
      </c>
      <c r="D41" s="29">
        <v>11850.53</v>
      </c>
      <c r="E41" s="29">
        <v>549.73</v>
      </c>
      <c r="F41" s="29">
        <v>10785.74</v>
      </c>
      <c r="G41" s="29">
        <v>106432.75</v>
      </c>
      <c r="H41" s="29">
        <v>493555.43</v>
      </c>
      <c r="I41" s="29">
        <v>65257.81</v>
      </c>
      <c r="J41" s="29">
        <v>193965.65</v>
      </c>
      <c r="K41" s="29">
        <v>213402.34</v>
      </c>
      <c r="L41" s="29">
        <v>4018.94</v>
      </c>
      <c r="M41" s="29">
        <v>638747.56000000006</v>
      </c>
      <c r="N41" s="29">
        <v>546382.75</v>
      </c>
      <c r="O41" s="29">
        <v>76895.78</v>
      </c>
      <c r="P41" s="29">
        <v>7576.34</v>
      </c>
      <c r="Q41" s="30"/>
    </row>
    <row r="42" spans="1:17">
      <c r="A42" s="28">
        <v>43827</v>
      </c>
      <c r="B42" s="29">
        <v>103175.22</v>
      </c>
      <c r="C42" s="29">
        <v>171.5</v>
      </c>
      <c r="D42" s="29">
        <v>11831.05</v>
      </c>
      <c r="E42" s="29">
        <v>661.88</v>
      </c>
      <c r="F42" s="29">
        <v>11231.27</v>
      </c>
      <c r="G42" s="29">
        <v>103302.21</v>
      </c>
      <c r="H42" s="29">
        <v>480111.75</v>
      </c>
      <c r="I42" s="29">
        <v>62797.84</v>
      </c>
      <c r="J42" s="29">
        <v>192041.48</v>
      </c>
      <c r="K42" s="29">
        <v>235563.29</v>
      </c>
      <c r="L42" s="29">
        <v>4069.54</v>
      </c>
      <c r="M42" s="29">
        <v>631206.43000000005</v>
      </c>
      <c r="N42" s="29">
        <v>545817.82999999996</v>
      </c>
      <c r="O42" s="29">
        <v>76988.929999999993</v>
      </c>
      <c r="P42" s="29">
        <v>7530.03</v>
      </c>
      <c r="Q42" s="30"/>
    </row>
    <row r="43" spans="1:17">
      <c r="A43" s="28">
        <v>43797</v>
      </c>
      <c r="B43" s="29">
        <v>109476.11</v>
      </c>
      <c r="C43" s="29">
        <v>165.02</v>
      </c>
      <c r="D43" s="29">
        <v>11195.87</v>
      </c>
      <c r="E43" s="29">
        <v>547.66</v>
      </c>
      <c r="F43" s="29">
        <v>11535.63</v>
      </c>
      <c r="G43" s="29">
        <v>102749.82</v>
      </c>
      <c r="H43" s="29">
        <v>512304.21</v>
      </c>
      <c r="I43" s="29">
        <v>64572.31</v>
      </c>
      <c r="J43" s="29">
        <v>200449.82</v>
      </c>
      <c r="K43" s="29">
        <v>241797.95</v>
      </c>
      <c r="L43" s="29">
        <v>4059.63</v>
      </c>
      <c r="M43" s="29">
        <v>642842.35</v>
      </c>
      <c r="N43" s="29">
        <v>547029.99</v>
      </c>
      <c r="O43" s="29">
        <v>77312.94</v>
      </c>
      <c r="P43" s="29">
        <v>7624.72</v>
      </c>
      <c r="Q43" s="30"/>
    </row>
    <row r="44" spans="1:17">
      <c r="A44" s="28">
        <v>43766</v>
      </c>
      <c r="B44" s="29">
        <v>108450.63</v>
      </c>
      <c r="C44" s="29">
        <v>202.97</v>
      </c>
      <c r="D44" s="29">
        <v>13191.66</v>
      </c>
      <c r="E44" s="29">
        <v>546.61</v>
      </c>
      <c r="F44" s="29">
        <v>11466.76</v>
      </c>
      <c r="G44" s="29">
        <v>100849.58</v>
      </c>
      <c r="H44" s="29">
        <v>543030</v>
      </c>
      <c r="I44" s="29">
        <v>64524.63</v>
      </c>
      <c r="J44" s="29">
        <v>203036.21</v>
      </c>
      <c r="K44" s="29">
        <v>249808.88</v>
      </c>
      <c r="L44" s="29">
        <v>3789.02</v>
      </c>
      <c r="M44" s="29">
        <v>643760.81999999995</v>
      </c>
      <c r="N44" s="29">
        <v>548847.91</v>
      </c>
      <c r="O44" s="29">
        <v>77449.06</v>
      </c>
      <c r="P44" s="29">
        <v>7544.15</v>
      </c>
      <c r="Q44" s="30"/>
    </row>
    <row r="45" spans="1:17">
      <c r="A45" s="28">
        <v>43736</v>
      </c>
      <c r="B45" s="29">
        <v>113604.37</v>
      </c>
      <c r="C45" s="29">
        <v>201.27</v>
      </c>
      <c r="D45" s="29">
        <v>13529.39</v>
      </c>
      <c r="E45" s="29">
        <v>541.9</v>
      </c>
      <c r="F45" s="29">
        <v>10405.040000000001</v>
      </c>
      <c r="G45" s="29">
        <v>103239.03</v>
      </c>
      <c r="H45" s="29">
        <v>524446.6</v>
      </c>
      <c r="I45" s="29">
        <v>64603.98</v>
      </c>
      <c r="J45" s="29">
        <v>204556.83</v>
      </c>
      <c r="K45" s="29">
        <v>232531.64</v>
      </c>
      <c r="L45" s="29">
        <v>4300.96</v>
      </c>
      <c r="M45" s="29">
        <v>647974.64</v>
      </c>
      <c r="N45" s="29">
        <v>547080.38</v>
      </c>
      <c r="O45" s="29">
        <v>77508.460000000006</v>
      </c>
      <c r="P45" s="29">
        <v>7527.61</v>
      </c>
      <c r="Q45" s="30"/>
    </row>
    <row r="46" spans="1:17">
      <c r="A46" s="28">
        <v>43705</v>
      </c>
      <c r="B46" s="29">
        <v>111020.42</v>
      </c>
      <c r="C46" s="29">
        <v>192.89</v>
      </c>
      <c r="D46" s="29">
        <v>17094.25</v>
      </c>
      <c r="E46" s="29">
        <v>540.77</v>
      </c>
      <c r="F46" s="29">
        <v>10156.36</v>
      </c>
      <c r="G46" s="29">
        <v>101547.57</v>
      </c>
      <c r="H46" s="29">
        <v>498146.8</v>
      </c>
      <c r="I46" s="29">
        <v>64613.46</v>
      </c>
      <c r="J46" s="29">
        <v>203416.33</v>
      </c>
      <c r="K46" s="29">
        <v>237370.48</v>
      </c>
      <c r="L46" s="29">
        <v>3784.66</v>
      </c>
      <c r="M46" s="29">
        <v>650122.34</v>
      </c>
      <c r="N46" s="29">
        <v>545786.15</v>
      </c>
      <c r="O46" s="29">
        <v>77538.179999999993</v>
      </c>
      <c r="P46" s="29">
        <v>7601.57</v>
      </c>
      <c r="Q46" s="30"/>
    </row>
    <row r="47" spans="1:17">
      <c r="A47" s="28">
        <v>43674</v>
      </c>
      <c r="B47" s="29">
        <v>109581.4</v>
      </c>
      <c r="C47" s="29">
        <v>194.61</v>
      </c>
      <c r="D47" s="29">
        <v>16960.189999999999</v>
      </c>
      <c r="E47" s="29">
        <v>541.58000000000004</v>
      </c>
      <c r="F47" s="29">
        <v>10290.370000000001</v>
      </c>
      <c r="G47" s="29">
        <v>96086.43</v>
      </c>
      <c r="H47" s="29">
        <v>492560.18</v>
      </c>
      <c r="I47" s="29">
        <v>64601.04</v>
      </c>
      <c r="J47" s="29">
        <v>202258.83</v>
      </c>
      <c r="K47" s="29">
        <v>236297.2</v>
      </c>
      <c r="L47" s="29">
        <v>3901.86</v>
      </c>
      <c r="M47" s="29">
        <v>661334.76</v>
      </c>
      <c r="N47" s="29">
        <v>547261.57999999996</v>
      </c>
      <c r="O47" s="29">
        <v>78159.53</v>
      </c>
      <c r="P47" s="29">
        <v>7592.48</v>
      </c>
      <c r="Q47" s="30"/>
    </row>
    <row r="48" spans="1:17">
      <c r="A48" s="28">
        <v>43644</v>
      </c>
      <c r="B48" s="29">
        <v>111124.22</v>
      </c>
      <c r="C48" s="29">
        <v>188.89</v>
      </c>
      <c r="D48" s="29">
        <v>17132.97</v>
      </c>
      <c r="E48" s="29">
        <v>531.96</v>
      </c>
      <c r="F48" s="29">
        <v>10305.44</v>
      </c>
      <c r="G48" s="29">
        <v>94029.81</v>
      </c>
      <c r="H48" s="29">
        <v>516307.16</v>
      </c>
      <c r="I48" s="29">
        <v>65172</v>
      </c>
      <c r="J48" s="29">
        <v>200549.58</v>
      </c>
      <c r="K48" s="29">
        <v>216817.24</v>
      </c>
      <c r="L48" s="29">
        <v>4087.32</v>
      </c>
      <c r="M48" s="29">
        <v>658805.86</v>
      </c>
      <c r="N48" s="29">
        <v>544606.32999999996</v>
      </c>
      <c r="O48" s="29">
        <v>78573.460000000006</v>
      </c>
      <c r="P48" s="29">
        <v>7627.94</v>
      </c>
      <c r="Q48" s="30"/>
    </row>
    <row r="49" spans="1:17">
      <c r="A49" s="28">
        <v>43613</v>
      </c>
      <c r="B49" s="29">
        <v>110679.17</v>
      </c>
      <c r="C49" s="29">
        <v>177.01</v>
      </c>
      <c r="D49" s="29">
        <v>16542.330000000002</v>
      </c>
      <c r="E49" s="29">
        <v>533.83000000000004</v>
      </c>
      <c r="F49" s="29">
        <v>10385.27</v>
      </c>
      <c r="G49" s="29">
        <v>93830.13</v>
      </c>
      <c r="H49" s="29">
        <v>478302.94</v>
      </c>
      <c r="I49" s="29">
        <v>65324.79</v>
      </c>
      <c r="J49" s="29">
        <v>200954.57</v>
      </c>
      <c r="K49" s="29">
        <v>232845.75</v>
      </c>
      <c r="L49" s="29">
        <v>4154.63</v>
      </c>
      <c r="M49" s="29">
        <v>666627.54</v>
      </c>
      <c r="N49" s="29">
        <v>542902.37</v>
      </c>
      <c r="O49" s="29">
        <v>79037.19</v>
      </c>
      <c r="P49" s="29">
        <v>7657.23</v>
      </c>
      <c r="Q49" s="30"/>
    </row>
    <row r="50" spans="1:17">
      <c r="A50" s="28">
        <v>43583</v>
      </c>
      <c r="B50" s="29">
        <v>107043.72</v>
      </c>
      <c r="C50" s="29">
        <v>174.57</v>
      </c>
      <c r="D50" s="29">
        <v>16746.419999999998</v>
      </c>
      <c r="E50" s="29">
        <v>533</v>
      </c>
      <c r="F50" s="29">
        <v>10307.73</v>
      </c>
      <c r="G50" s="29">
        <v>93155.76</v>
      </c>
      <c r="H50" s="29">
        <v>472249.05</v>
      </c>
      <c r="I50" s="29">
        <v>64995.98</v>
      </c>
      <c r="J50" s="29">
        <v>201295.95</v>
      </c>
      <c r="K50" s="29">
        <v>237189.77</v>
      </c>
      <c r="L50" s="29">
        <v>4324.32</v>
      </c>
      <c r="M50" s="29">
        <v>668464.44999999995</v>
      </c>
      <c r="N50" s="29">
        <v>541184.56999999995</v>
      </c>
      <c r="O50" s="29">
        <v>79143.97</v>
      </c>
      <c r="P50" s="29">
        <v>7696.6</v>
      </c>
      <c r="Q50" s="30"/>
    </row>
    <row r="51" spans="1:17">
      <c r="A51" s="28">
        <v>43552</v>
      </c>
      <c r="B51" s="29">
        <v>100440.81</v>
      </c>
      <c r="C51" s="29">
        <v>180.3</v>
      </c>
      <c r="D51" s="29">
        <v>16625.490000000002</v>
      </c>
      <c r="E51" s="29">
        <v>515.58000000000004</v>
      </c>
      <c r="F51" s="29">
        <v>10741.24</v>
      </c>
      <c r="G51" s="29">
        <v>96672.04</v>
      </c>
      <c r="H51" s="29">
        <v>494491.5</v>
      </c>
      <c r="I51" s="29">
        <v>64618.99</v>
      </c>
      <c r="J51" s="29">
        <v>202355.15</v>
      </c>
      <c r="K51" s="29">
        <v>219941.63</v>
      </c>
      <c r="L51" s="29">
        <v>4186.59</v>
      </c>
      <c r="M51" s="29">
        <v>665144.43000000005</v>
      </c>
      <c r="N51" s="29">
        <v>539980.82999999996</v>
      </c>
      <c r="O51" s="29">
        <v>79215.399999999994</v>
      </c>
      <c r="P51" s="29">
        <v>7855.98</v>
      </c>
      <c r="Q51" s="30"/>
    </row>
    <row r="52" spans="1:17">
      <c r="A52" s="28">
        <v>43524</v>
      </c>
      <c r="B52" s="29">
        <v>96271.17</v>
      </c>
      <c r="C52" s="29">
        <v>178.71</v>
      </c>
      <c r="D52" s="29">
        <v>16102.99</v>
      </c>
      <c r="E52" s="29">
        <v>528.61</v>
      </c>
      <c r="F52" s="29">
        <v>10911.87</v>
      </c>
      <c r="G52" s="29">
        <v>103157.99</v>
      </c>
      <c r="H52" s="29">
        <v>457757.82</v>
      </c>
      <c r="I52" s="29">
        <v>64856.68</v>
      </c>
      <c r="J52" s="29">
        <v>200083.89</v>
      </c>
      <c r="K52" s="29">
        <v>218970.11</v>
      </c>
      <c r="L52" s="29">
        <v>4250.38</v>
      </c>
      <c r="M52" s="29">
        <v>676909.09</v>
      </c>
      <c r="N52" s="29">
        <v>539253.05000000005</v>
      </c>
      <c r="O52" s="29">
        <v>79996.59</v>
      </c>
      <c r="P52" s="29">
        <v>7992.46</v>
      </c>
      <c r="Q52" s="30"/>
    </row>
    <row r="53" spans="1:17">
      <c r="A53" s="28">
        <v>43493</v>
      </c>
      <c r="B53" s="29">
        <v>87452.55</v>
      </c>
      <c r="C53" s="29">
        <v>179.99</v>
      </c>
      <c r="D53" s="29">
        <v>15727.01</v>
      </c>
      <c r="E53" s="29">
        <v>525.15</v>
      </c>
      <c r="F53" s="29">
        <v>11101.98</v>
      </c>
      <c r="G53" s="29">
        <v>104025.2</v>
      </c>
      <c r="H53" s="29">
        <v>457225.65</v>
      </c>
      <c r="I53" s="29">
        <v>64823.73</v>
      </c>
      <c r="J53" s="29">
        <v>201969.52</v>
      </c>
      <c r="K53" s="29">
        <v>230403.81</v>
      </c>
      <c r="L53" s="29">
        <v>4159.8500000000004</v>
      </c>
      <c r="M53" s="29">
        <v>679156.11</v>
      </c>
      <c r="N53" s="29">
        <v>538432.85</v>
      </c>
      <c r="O53" s="29">
        <v>80192.7</v>
      </c>
      <c r="P53" s="29">
        <v>8029.22</v>
      </c>
      <c r="Q53" s="30"/>
    </row>
    <row r="54" spans="1:17">
      <c r="A54" s="28">
        <v>43462</v>
      </c>
      <c r="B54" s="29">
        <v>86925.35</v>
      </c>
      <c r="C54" s="29">
        <v>194.67</v>
      </c>
      <c r="D54" s="29">
        <v>15776.83</v>
      </c>
      <c r="E54" s="29">
        <v>534.27</v>
      </c>
      <c r="F54" s="29">
        <v>11421.32</v>
      </c>
      <c r="G54" s="29">
        <v>105874.62</v>
      </c>
      <c r="H54" s="29">
        <v>483642.94</v>
      </c>
      <c r="I54" s="29">
        <v>65253.71</v>
      </c>
      <c r="J54" s="29">
        <v>199171.75</v>
      </c>
      <c r="K54" s="29">
        <v>216057.21</v>
      </c>
      <c r="L54" s="29">
        <v>4330.05</v>
      </c>
      <c r="M54" s="29">
        <v>678483.17</v>
      </c>
      <c r="N54" s="29">
        <v>537886.03</v>
      </c>
      <c r="O54" s="29">
        <v>80392.259999999995</v>
      </c>
      <c r="P54" s="29">
        <v>7932.06</v>
      </c>
      <c r="Q54" s="30"/>
    </row>
    <row r="55" spans="1:17">
      <c r="A55" s="28">
        <v>43432</v>
      </c>
      <c r="B55" s="29">
        <v>87904.43</v>
      </c>
      <c r="C55" s="29">
        <v>184.87</v>
      </c>
      <c r="D55" s="29">
        <v>15783.46</v>
      </c>
      <c r="E55" s="29">
        <v>532.01</v>
      </c>
      <c r="F55" s="29">
        <v>11193.55</v>
      </c>
      <c r="G55" s="29">
        <v>108800.23</v>
      </c>
      <c r="H55" s="29">
        <v>474269.58</v>
      </c>
      <c r="I55" s="29">
        <v>65865.48</v>
      </c>
      <c r="J55" s="29">
        <v>193253.89</v>
      </c>
      <c r="K55" s="29">
        <v>209083.28</v>
      </c>
      <c r="L55" s="29">
        <v>4281.26</v>
      </c>
      <c r="M55" s="29">
        <v>696720.04</v>
      </c>
      <c r="N55" s="29">
        <v>540237.35</v>
      </c>
      <c r="O55" s="29">
        <v>82810.740000000005</v>
      </c>
      <c r="P55" s="29">
        <v>8081.04</v>
      </c>
      <c r="Q55" s="30"/>
    </row>
    <row r="56" spans="1:17">
      <c r="A56" s="28">
        <v>43401</v>
      </c>
      <c r="B56" s="29">
        <v>87192.73</v>
      </c>
      <c r="C56" s="29">
        <v>184.16</v>
      </c>
      <c r="D56" s="29">
        <v>15986.23</v>
      </c>
      <c r="E56" s="29">
        <v>530.28</v>
      </c>
      <c r="F56" s="29">
        <v>11807.47</v>
      </c>
      <c r="G56" s="29">
        <v>109488.78</v>
      </c>
      <c r="H56" s="29">
        <v>521984.34</v>
      </c>
      <c r="I56" s="29">
        <v>65828.28</v>
      </c>
      <c r="J56" s="29">
        <v>193173.64</v>
      </c>
      <c r="K56" s="29">
        <v>190561.74</v>
      </c>
      <c r="L56" s="29">
        <v>4300.51</v>
      </c>
      <c r="M56" s="29">
        <v>693459.48</v>
      </c>
      <c r="N56" s="29">
        <v>539455.86</v>
      </c>
      <c r="O56" s="29">
        <v>82816.77</v>
      </c>
      <c r="P56" s="29">
        <v>8031.46</v>
      </c>
      <c r="Q56" s="30"/>
    </row>
    <row r="57" spans="1:17">
      <c r="A57" s="28">
        <v>43371</v>
      </c>
      <c r="B57" s="29">
        <v>84024.5</v>
      </c>
      <c r="C57" s="29">
        <v>184.39</v>
      </c>
      <c r="D57" s="29">
        <v>15749.4</v>
      </c>
      <c r="E57" s="29">
        <v>526.71</v>
      </c>
      <c r="F57" s="29">
        <v>14468.98</v>
      </c>
      <c r="G57" s="29">
        <v>108011.94</v>
      </c>
      <c r="H57" s="29">
        <v>527599.94999999995</v>
      </c>
      <c r="I57" s="29">
        <v>65915.31</v>
      </c>
      <c r="J57" s="29">
        <v>195316.29</v>
      </c>
      <c r="K57" s="29">
        <v>212877.27</v>
      </c>
      <c r="L57" s="29">
        <v>4213.8</v>
      </c>
      <c r="M57" s="29">
        <v>694964.16</v>
      </c>
      <c r="N57" s="29">
        <v>537080.86</v>
      </c>
      <c r="O57" s="29">
        <v>82958.240000000005</v>
      </c>
      <c r="P57" s="29">
        <v>8030.03</v>
      </c>
      <c r="Q57" s="30"/>
    </row>
    <row r="58" spans="1:17">
      <c r="A58" s="28">
        <v>43340</v>
      </c>
      <c r="B58" s="29">
        <v>85841.97</v>
      </c>
      <c r="C58" s="29">
        <v>174.99</v>
      </c>
      <c r="D58" s="29">
        <v>15253</v>
      </c>
      <c r="E58" s="29">
        <v>513.80999999999995</v>
      </c>
      <c r="F58" s="29">
        <v>14077.53</v>
      </c>
      <c r="G58" s="29">
        <v>113055.55</v>
      </c>
      <c r="H58" s="29">
        <v>499516.71</v>
      </c>
      <c r="I58" s="29">
        <v>65766.05</v>
      </c>
      <c r="J58" s="29">
        <v>196397.06</v>
      </c>
      <c r="K58" s="29">
        <v>210210.26</v>
      </c>
      <c r="L58" s="29">
        <v>4269.1400000000003</v>
      </c>
      <c r="M58" s="29">
        <v>696357</v>
      </c>
      <c r="N58" s="29">
        <v>536425.53</v>
      </c>
      <c r="O58" s="29">
        <v>83393.47</v>
      </c>
      <c r="P58" s="29">
        <v>8041.95</v>
      </c>
      <c r="Q58" s="30"/>
    </row>
    <row r="59" spans="1:17">
      <c r="A59" s="28">
        <v>43309</v>
      </c>
      <c r="B59" s="29">
        <v>86371</v>
      </c>
      <c r="C59" s="29">
        <v>178.4</v>
      </c>
      <c r="D59" s="29">
        <v>15212.1</v>
      </c>
      <c r="E59" s="29">
        <v>513.42999999999995</v>
      </c>
      <c r="F59" s="29">
        <v>14232.25</v>
      </c>
      <c r="G59" s="29">
        <v>112994</v>
      </c>
      <c r="H59" s="29">
        <v>492507.11</v>
      </c>
      <c r="I59" s="29">
        <v>65681.36</v>
      </c>
      <c r="J59" s="29">
        <v>199239.21</v>
      </c>
      <c r="K59" s="29">
        <v>212984.99</v>
      </c>
      <c r="L59" s="29">
        <v>4282.82</v>
      </c>
      <c r="M59" s="29">
        <v>705438.14</v>
      </c>
      <c r="N59" s="29">
        <v>537825.66</v>
      </c>
      <c r="O59" s="29">
        <v>83811.5</v>
      </c>
      <c r="P59" s="29">
        <v>8060.83</v>
      </c>
      <c r="Q59" s="30"/>
    </row>
    <row r="60" spans="1:17">
      <c r="A60" s="28">
        <v>43279</v>
      </c>
      <c r="B60" s="29">
        <v>85159.95</v>
      </c>
      <c r="C60" s="29">
        <v>264.27999999999997</v>
      </c>
      <c r="D60" s="29">
        <v>15270</v>
      </c>
      <c r="E60" s="29">
        <v>523.48</v>
      </c>
      <c r="F60" s="29">
        <v>14024.83</v>
      </c>
      <c r="G60" s="29">
        <v>111807.65</v>
      </c>
      <c r="H60" s="29">
        <v>515850.5</v>
      </c>
      <c r="I60" s="29">
        <v>67741.119999999995</v>
      </c>
      <c r="J60" s="29">
        <v>195875.61</v>
      </c>
      <c r="K60" s="29">
        <v>216051.95</v>
      </c>
      <c r="L60" s="29">
        <v>4250.59</v>
      </c>
      <c r="M60" s="29">
        <v>703604.83</v>
      </c>
      <c r="N60" s="29">
        <v>537019.63</v>
      </c>
      <c r="O60" s="29">
        <v>83970.65</v>
      </c>
      <c r="P60" s="29">
        <v>8109.01</v>
      </c>
      <c r="Q60" s="30"/>
    </row>
    <row r="61" spans="1:17">
      <c r="A61" s="28">
        <v>43248</v>
      </c>
      <c r="B61" s="29">
        <v>86467.63</v>
      </c>
      <c r="C61" s="29">
        <v>234.6</v>
      </c>
      <c r="D61" s="29">
        <v>14953.23</v>
      </c>
      <c r="E61" s="29">
        <v>501.06</v>
      </c>
      <c r="F61" s="29">
        <v>13261.22</v>
      </c>
      <c r="G61" s="29">
        <v>110388.63</v>
      </c>
      <c r="H61" s="29">
        <v>524638.68000000005</v>
      </c>
      <c r="I61" s="29">
        <v>66915.22</v>
      </c>
      <c r="J61" s="29">
        <v>197376.6</v>
      </c>
      <c r="K61" s="29">
        <v>213944.83</v>
      </c>
      <c r="L61" s="29">
        <v>4294.7700000000004</v>
      </c>
      <c r="M61" s="29">
        <v>732349.16</v>
      </c>
      <c r="N61" s="29">
        <v>538724.51</v>
      </c>
      <c r="O61" s="29">
        <v>86708.01</v>
      </c>
      <c r="P61" s="29">
        <v>8250.6200000000008</v>
      </c>
      <c r="Q61" s="30"/>
    </row>
    <row r="62" spans="1:17">
      <c r="A62" s="28">
        <v>43218</v>
      </c>
      <c r="B62" s="29">
        <v>83728</v>
      </c>
      <c r="C62" s="29">
        <v>273.66000000000003</v>
      </c>
      <c r="D62" s="29">
        <v>15149.53</v>
      </c>
      <c r="E62" s="29">
        <v>492.37</v>
      </c>
      <c r="F62" s="29">
        <v>9684.2000000000007</v>
      </c>
      <c r="G62" s="29">
        <v>107284</v>
      </c>
      <c r="H62" s="29">
        <v>547425.80000000005</v>
      </c>
      <c r="I62" s="29">
        <v>67211.92</v>
      </c>
      <c r="J62" s="29">
        <v>197707.84</v>
      </c>
      <c r="K62" s="29">
        <v>195914.02</v>
      </c>
      <c r="L62" s="29">
        <v>4665.1000000000004</v>
      </c>
      <c r="M62" s="29">
        <v>734771.09</v>
      </c>
      <c r="N62" s="29">
        <v>538510.87</v>
      </c>
      <c r="O62" s="29">
        <v>86039.38</v>
      </c>
      <c r="P62" s="29">
        <v>8346.16</v>
      </c>
      <c r="Q62" s="30"/>
    </row>
    <row r="63" spans="1:17">
      <c r="A63" s="28">
        <v>43187</v>
      </c>
      <c r="B63" s="29">
        <v>82686</v>
      </c>
      <c r="C63" s="29">
        <v>291.39</v>
      </c>
      <c r="D63" s="29">
        <v>14849.01</v>
      </c>
      <c r="E63" s="29">
        <v>488.57</v>
      </c>
      <c r="F63" s="29">
        <v>9862.57</v>
      </c>
      <c r="G63" s="29">
        <v>105959</v>
      </c>
      <c r="H63" s="29">
        <v>530871.6</v>
      </c>
      <c r="I63" s="29">
        <v>67244.95</v>
      </c>
      <c r="J63" s="29">
        <v>199870.29</v>
      </c>
      <c r="K63" s="29">
        <v>209891.93</v>
      </c>
      <c r="L63" s="29">
        <v>4528.6499999999996</v>
      </c>
      <c r="M63" s="29">
        <v>731802.04</v>
      </c>
      <c r="N63" s="29">
        <v>537467.69999999995</v>
      </c>
      <c r="O63" s="29">
        <v>86148.32</v>
      </c>
      <c r="P63" s="29">
        <v>8505.7000000000007</v>
      </c>
      <c r="Q63" s="30"/>
    </row>
    <row r="64" spans="1:17">
      <c r="A64" s="28">
        <v>43159</v>
      </c>
      <c r="B64" s="29">
        <v>80500.25</v>
      </c>
      <c r="C64" s="29">
        <v>340.78</v>
      </c>
      <c r="D64" s="29">
        <v>13985.19</v>
      </c>
      <c r="E64" s="29">
        <v>483.83</v>
      </c>
      <c r="F64" s="29">
        <v>9685.52</v>
      </c>
      <c r="G64" s="29">
        <v>104841.46</v>
      </c>
      <c r="H64" s="29">
        <v>513701.42</v>
      </c>
      <c r="I64" s="29">
        <v>67190.92</v>
      </c>
      <c r="J64" s="29">
        <v>197633.61</v>
      </c>
      <c r="K64" s="29">
        <v>201253.17</v>
      </c>
      <c r="L64" s="29">
        <v>4840.49</v>
      </c>
      <c r="M64" s="29">
        <v>733359.45</v>
      </c>
      <c r="N64" s="29">
        <v>534644.46</v>
      </c>
      <c r="O64" s="29">
        <v>86088.31</v>
      </c>
      <c r="P64" s="29">
        <v>8521.42</v>
      </c>
      <c r="Q64" s="30"/>
    </row>
    <row r="65" spans="1:17">
      <c r="A65" s="28">
        <v>43128</v>
      </c>
      <c r="B65" s="29">
        <v>81097</v>
      </c>
      <c r="C65" s="29">
        <v>343.08</v>
      </c>
      <c r="D65" s="29">
        <v>13926.7</v>
      </c>
      <c r="E65" s="29">
        <v>487.95</v>
      </c>
      <c r="F65" s="29">
        <v>10391.18</v>
      </c>
      <c r="G65" s="29">
        <v>101122</v>
      </c>
      <c r="H65" s="29">
        <v>534098.31000000006</v>
      </c>
      <c r="I65" s="29">
        <v>66886.63</v>
      </c>
      <c r="J65" s="29">
        <v>197429.37</v>
      </c>
      <c r="K65" s="29">
        <v>203922.33</v>
      </c>
      <c r="L65" s="29">
        <v>4625.25</v>
      </c>
      <c r="M65" s="29">
        <v>742742.75</v>
      </c>
      <c r="N65" s="29">
        <v>534450.48</v>
      </c>
      <c r="O65" s="29">
        <v>86372</v>
      </c>
      <c r="P65" s="29">
        <v>8501.24</v>
      </c>
      <c r="Q65" s="30"/>
    </row>
    <row r="66" spans="1:17">
      <c r="A66" s="28">
        <v>43097</v>
      </c>
      <c r="B66" s="29">
        <v>78957</v>
      </c>
      <c r="C66" s="29">
        <v>327.39999999999998</v>
      </c>
      <c r="D66" s="29">
        <v>14229.17</v>
      </c>
      <c r="E66" s="29">
        <v>455.55</v>
      </c>
      <c r="F66" s="29">
        <v>10793.86</v>
      </c>
      <c r="G66" s="29">
        <v>101412</v>
      </c>
      <c r="H66" s="29">
        <v>535254.81000000006</v>
      </c>
      <c r="I66" s="29">
        <v>66451.320000000007</v>
      </c>
      <c r="J66" s="29">
        <v>194105.68</v>
      </c>
      <c r="K66" s="29">
        <v>214476.38</v>
      </c>
      <c r="L66" s="29">
        <v>5022.67</v>
      </c>
      <c r="M66" s="29">
        <v>726729.29</v>
      </c>
      <c r="N66" s="29">
        <v>534399.06000000006</v>
      </c>
      <c r="O66" s="29">
        <v>86234.22</v>
      </c>
      <c r="P66" s="29">
        <v>8448.39</v>
      </c>
      <c r="Q66" s="30"/>
    </row>
    <row r="67" spans="1:17">
      <c r="A67" s="28">
        <v>43067</v>
      </c>
      <c r="B67" s="29">
        <v>73130</v>
      </c>
      <c r="C67" s="29">
        <v>340.25</v>
      </c>
      <c r="D67" s="29">
        <v>13798.23</v>
      </c>
      <c r="E67" s="29">
        <v>467.05</v>
      </c>
      <c r="F67" s="29">
        <v>10484.879999999999</v>
      </c>
      <c r="G67" s="29">
        <v>105701</v>
      </c>
      <c r="H67" s="29">
        <v>540095.18999999994</v>
      </c>
      <c r="I67" s="29">
        <v>67818.27</v>
      </c>
      <c r="J67" s="29">
        <v>201240.52</v>
      </c>
      <c r="K67" s="29">
        <v>235120.58</v>
      </c>
      <c r="L67" s="29">
        <v>5649.78</v>
      </c>
      <c r="M67" s="29">
        <v>741245.77</v>
      </c>
      <c r="N67" s="29">
        <v>535248.05000000005</v>
      </c>
      <c r="O67" s="29">
        <v>86496.7</v>
      </c>
      <c r="P67" s="29">
        <v>8675.26</v>
      </c>
      <c r="Q67" s="30"/>
    </row>
    <row r="68" spans="1:17">
      <c r="A68" s="28">
        <v>43036</v>
      </c>
      <c r="B68" s="29">
        <v>71610.460000000006</v>
      </c>
      <c r="C68" s="29">
        <v>286.39</v>
      </c>
      <c r="D68" s="29">
        <v>14007.9</v>
      </c>
      <c r="E68" s="29">
        <v>466.16</v>
      </c>
      <c r="F68" s="29">
        <v>10931.94</v>
      </c>
      <c r="G68" s="29">
        <v>104628.92</v>
      </c>
      <c r="H68" s="29">
        <v>549070.38</v>
      </c>
      <c r="I68" s="29">
        <v>67445.899999999994</v>
      </c>
      <c r="J68" s="29">
        <v>201877.77</v>
      </c>
      <c r="K68" s="29">
        <v>212783.35</v>
      </c>
      <c r="L68" s="29">
        <v>5321.82</v>
      </c>
      <c r="M68" s="29">
        <v>732289.56</v>
      </c>
      <c r="N68" s="29">
        <v>533878.42000000004</v>
      </c>
      <c r="O68" s="29">
        <v>86197.8</v>
      </c>
      <c r="P68" s="29">
        <v>8590.7199999999993</v>
      </c>
      <c r="Q68" s="30"/>
    </row>
    <row r="69" spans="1:17">
      <c r="A69" s="28">
        <v>43006</v>
      </c>
      <c r="B69" s="29">
        <v>75748.83</v>
      </c>
      <c r="C69" s="29">
        <v>297</v>
      </c>
      <c r="D69" s="29">
        <v>13801.22</v>
      </c>
      <c r="E69" s="29">
        <v>469.48</v>
      </c>
      <c r="F69" s="29">
        <v>10134.66</v>
      </c>
      <c r="G69" s="29">
        <v>100526.75</v>
      </c>
      <c r="H69" s="29">
        <v>517380.28</v>
      </c>
      <c r="I69" s="29">
        <v>67677.62</v>
      </c>
      <c r="J69" s="29">
        <v>204268.38</v>
      </c>
      <c r="K69" s="29">
        <v>195645.3</v>
      </c>
      <c r="L69" s="29">
        <v>5216.28</v>
      </c>
      <c r="M69" s="29">
        <v>730929.28</v>
      </c>
      <c r="N69" s="29">
        <v>532004.86</v>
      </c>
      <c r="O69" s="29">
        <v>86291.53</v>
      </c>
      <c r="P69" s="29">
        <v>8586.25</v>
      </c>
      <c r="Q69" s="30"/>
    </row>
    <row r="70" spans="1:17">
      <c r="A70" s="28">
        <v>42975</v>
      </c>
      <c r="B70" s="29">
        <v>74318.8</v>
      </c>
      <c r="C70" s="29">
        <v>284.47000000000003</v>
      </c>
      <c r="D70" s="29">
        <v>13945.98</v>
      </c>
      <c r="E70" s="29">
        <v>470.48</v>
      </c>
      <c r="F70" s="29">
        <v>9492.2000000000007</v>
      </c>
      <c r="G70" s="29">
        <v>99190.68</v>
      </c>
      <c r="H70" s="29">
        <v>531320.54</v>
      </c>
      <c r="I70" s="29">
        <v>67566.91</v>
      </c>
      <c r="J70" s="29">
        <v>202855.02</v>
      </c>
      <c r="K70" s="29">
        <v>176866.42</v>
      </c>
      <c r="L70" s="29">
        <v>5333.46</v>
      </c>
      <c r="M70" s="29">
        <v>735274.47</v>
      </c>
      <c r="N70" s="29">
        <v>530348.05000000005</v>
      </c>
      <c r="O70" s="29">
        <v>86535.71</v>
      </c>
      <c r="P70" s="29">
        <v>8557.4699999999993</v>
      </c>
      <c r="Q70" s="30"/>
    </row>
    <row r="71" spans="1:17">
      <c r="A71" s="28">
        <v>42944</v>
      </c>
      <c r="B71" s="29">
        <v>77671.33</v>
      </c>
      <c r="C71" s="29">
        <v>295.31</v>
      </c>
      <c r="D71" s="29">
        <v>14176.86</v>
      </c>
      <c r="E71" s="29">
        <v>472.49</v>
      </c>
      <c r="F71" s="29">
        <v>9698.7800000000007</v>
      </c>
      <c r="G71" s="29">
        <v>102460.16</v>
      </c>
      <c r="H71" s="29">
        <v>517164.73</v>
      </c>
      <c r="I71" s="29">
        <v>67644.37</v>
      </c>
      <c r="J71" s="29">
        <v>200663.95</v>
      </c>
      <c r="K71" s="29">
        <v>186137.21</v>
      </c>
      <c r="L71" s="29">
        <v>5391.36</v>
      </c>
      <c r="M71" s="29">
        <v>744691.53</v>
      </c>
      <c r="N71" s="29">
        <v>531390.02</v>
      </c>
      <c r="O71" s="29">
        <v>86814.11</v>
      </c>
      <c r="P71" s="29">
        <v>8607.76</v>
      </c>
      <c r="Q71" s="30"/>
    </row>
    <row r="72" spans="1:17">
      <c r="A72" s="28">
        <v>42914</v>
      </c>
      <c r="B72" s="29">
        <v>76498.880000000005</v>
      </c>
      <c r="C72" s="29">
        <v>296.98</v>
      </c>
      <c r="D72" s="29">
        <v>13697.96</v>
      </c>
      <c r="E72" s="29">
        <v>459.44</v>
      </c>
      <c r="F72" s="29">
        <v>9267.49</v>
      </c>
      <c r="G72" s="29">
        <v>99431.35</v>
      </c>
      <c r="H72" s="29">
        <v>522038.79</v>
      </c>
      <c r="I72" s="29">
        <v>68287.44</v>
      </c>
      <c r="J72" s="29">
        <v>201811.49</v>
      </c>
      <c r="K72" s="29">
        <v>199668.09</v>
      </c>
      <c r="L72" s="29">
        <v>4575.72</v>
      </c>
      <c r="M72" s="29">
        <v>762158.02</v>
      </c>
      <c r="N72" s="29">
        <v>531386.64</v>
      </c>
      <c r="O72" s="29">
        <v>88342.25</v>
      </c>
      <c r="P72" s="29">
        <v>8626.07</v>
      </c>
      <c r="Q72" s="30"/>
    </row>
    <row r="73" spans="1:17">
      <c r="A73" s="28">
        <v>42883</v>
      </c>
      <c r="B73" s="29">
        <v>78754.22</v>
      </c>
      <c r="C73" s="29">
        <v>261.70999999999998</v>
      </c>
      <c r="D73" s="29">
        <v>13623.69</v>
      </c>
      <c r="E73" s="29">
        <v>466.56</v>
      </c>
      <c r="F73" s="29">
        <v>9039.9</v>
      </c>
      <c r="G73" s="29">
        <v>100259.38</v>
      </c>
      <c r="H73" s="29">
        <v>487685.03</v>
      </c>
      <c r="I73" s="29">
        <v>69903.89</v>
      </c>
      <c r="J73" s="29">
        <v>197533.74</v>
      </c>
      <c r="K73" s="29">
        <v>196589.44</v>
      </c>
      <c r="L73" s="29">
        <v>4559.63</v>
      </c>
      <c r="M73" s="29">
        <v>773468.68</v>
      </c>
      <c r="N73" s="29">
        <v>533664.25</v>
      </c>
      <c r="O73" s="29">
        <v>88779.55</v>
      </c>
      <c r="P73" s="29">
        <v>8648.6200000000008</v>
      </c>
      <c r="Q73" s="30"/>
    </row>
    <row r="74" spans="1:17">
      <c r="A74" s="28">
        <v>42853</v>
      </c>
      <c r="B74" s="29">
        <v>76378.289999999994</v>
      </c>
      <c r="C74" s="29">
        <v>268.60000000000002</v>
      </c>
      <c r="D74" s="29">
        <v>14116.28</v>
      </c>
      <c r="E74" s="29">
        <v>468.63</v>
      </c>
      <c r="F74" s="29">
        <v>8876.99</v>
      </c>
      <c r="G74" s="29">
        <v>103691.14</v>
      </c>
      <c r="H74" s="29">
        <v>510763.05</v>
      </c>
      <c r="I74" s="29">
        <v>69676.259999999995</v>
      </c>
      <c r="J74" s="29">
        <v>197461.19</v>
      </c>
      <c r="K74" s="29">
        <v>200937.89</v>
      </c>
      <c r="L74" s="29">
        <v>4643.16</v>
      </c>
      <c r="M74" s="29">
        <v>771377.75</v>
      </c>
      <c r="N74" s="29">
        <v>531449.15</v>
      </c>
      <c r="O74" s="29">
        <v>88528.97</v>
      </c>
      <c r="P74" s="29">
        <v>8683.0300000000007</v>
      </c>
      <c r="Q74" s="30"/>
    </row>
    <row r="75" spans="1:17">
      <c r="A75" s="28">
        <v>42822</v>
      </c>
      <c r="B75" s="29">
        <v>75578</v>
      </c>
      <c r="C75" s="29">
        <v>256.67</v>
      </c>
      <c r="D75" s="29">
        <v>14145.1</v>
      </c>
      <c r="E75" s="29">
        <v>460.87</v>
      </c>
      <c r="F75" s="29">
        <v>9076.89</v>
      </c>
      <c r="G75" s="29">
        <v>110303</v>
      </c>
      <c r="H75" s="29">
        <v>492537.09</v>
      </c>
      <c r="I75" s="29">
        <v>69212.28</v>
      </c>
      <c r="J75" s="29">
        <v>197663.49</v>
      </c>
      <c r="K75" s="29">
        <v>207213.54</v>
      </c>
      <c r="L75" s="29">
        <v>4538.84</v>
      </c>
      <c r="M75" s="29">
        <v>777029.95</v>
      </c>
      <c r="N75" s="29">
        <v>530389.25</v>
      </c>
      <c r="O75" s="29">
        <v>89242.62</v>
      </c>
      <c r="P75" s="29">
        <v>8819.82</v>
      </c>
      <c r="Q75" s="30"/>
    </row>
    <row r="76" spans="1:17">
      <c r="A76" s="28">
        <v>42794</v>
      </c>
      <c r="B76" s="29">
        <v>74041.89</v>
      </c>
      <c r="C76" s="29">
        <v>292.87</v>
      </c>
      <c r="D76" s="29">
        <v>13237.77</v>
      </c>
      <c r="E76" s="29">
        <v>462.68</v>
      </c>
      <c r="F76" s="29">
        <v>9247.57</v>
      </c>
      <c r="G76" s="29">
        <v>106260.62</v>
      </c>
      <c r="H76" s="29">
        <v>431317.2</v>
      </c>
      <c r="I76" s="29">
        <v>69419.47</v>
      </c>
      <c r="J76" s="29">
        <v>195649.7</v>
      </c>
      <c r="K76" s="29">
        <v>196745.55</v>
      </c>
      <c r="L76" s="29">
        <v>4864.99</v>
      </c>
      <c r="M76" s="29">
        <v>778973.48</v>
      </c>
      <c r="N76" s="29">
        <v>527901.01</v>
      </c>
      <c r="O76" s="29">
        <v>89079.41</v>
      </c>
      <c r="P76" s="29">
        <v>8825.31</v>
      </c>
      <c r="Q76" s="30"/>
    </row>
    <row r="77" spans="1:17">
      <c r="A77" s="28">
        <v>42763</v>
      </c>
      <c r="B77" s="29">
        <v>69595.960000000006</v>
      </c>
      <c r="C77" s="29">
        <v>398.29</v>
      </c>
      <c r="D77" s="29">
        <v>13000.33</v>
      </c>
      <c r="E77" s="29">
        <v>452.56</v>
      </c>
      <c r="F77" s="29">
        <v>9196.2999999999993</v>
      </c>
      <c r="G77" s="29">
        <v>102952.1</v>
      </c>
      <c r="H77" s="29">
        <v>442333.25</v>
      </c>
      <c r="I77" s="29">
        <v>68395.8</v>
      </c>
      <c r="J77" s="29">
        <v>196303.96</v>
      </c>
      <c r="K77" s="29">
        <v>198668.13</v>
      </c>
      <c r="L77" s="29">
        <v>4655.32</v>
      </c>
      <c r="M77" s="29">
        <v>779688.01</v>
      </c>
      <c r="N77" s="29">
        <v>526132.27</v>
      </c>
      <c r="O77" s="29">
        <v>89100.22</v>
      </c>
      <c r="P77" s="29">
        <v>8897.3700000000008</v>
      </c>
      <c r="Q77" s="30"/>
    </row>
    <row r="78" spans="1:17">
      <c r="A78" s="28">
        <v>42732</v>
      </c>
      <c r="B78" s="29">
        <v>68810.960000000006</v>
      </c>
      <c r="C78" s="29">
        <v>425.17</v>
      </c>
      <c r="D78" s="29">
        <v>14905.04</v>
      </c>
      <c r="E78" s="29">
        <v>443.98</v>
      </c>
      <c r="F78" s="29">
        <v>8900.49</v>
      </c>
      <c r="G78" s="29">
        <v>98106.94</v>
      </c>
      <c r="H78" s="29">
        <v>452737.9</v>
      </c>
      <c r="I78" s="29">
        <v>68501.06</v>
      </c>
      <c r="J78" s="29">
        <v>193703.27</v>
      </c>
      <c r="K78" s="29">
        <v>222862.06</v>
      </c>
      <c r="L78" s="29">
        <v>4418.33</v>
      </c>
      <c r="M78" s="29">
        <v>775814.19</v>
      </c>
      <c r="N78" s="29">
        <v>526228.29</v>
      </c>
      <c r="O78" s="29">
        <v>89148.46</v>
      </c>
      <c r="P78" s="29">
        <v>8786.5400000000009</v>
      </c>
      <c r="Q78" s="30"/>
    </row>
    <row r="79" spans="1:17">
      <c r="A79" s="28">
        <v>42702</v>
      </c>
      <c r="B79" s="29">
        <v>70265.509999999995</v>
      </c>
      <c r="C79" s="29">
        <v>431.47</v>
      </c>
      <c r="D79" s="29">
        <v>14205.87</v>
      </c>
      <c r="E79" s="29">
        <v>435.69</v>
      </c>
      <c r="F79" s="29">
        <v>9184.01</v>
      </c>
      <c r="G79" s="29">
        <v>98516.55</v>
      </c>
      <c r="H79" s="29">
        <v>434234.37</v>
      </c>
      <c r="I79" s="29">
        <v>68910</v>
      </c>
      <c r="J79" s="29">
        <v>190464</v>
      </c>
      <c r="K79" s="29">
        <v>216154.21</v>
      </c>
      <c r="L79" s="29">
        <v>4356.63</v>
      </c>
      <c r="M79" s="29">
        <v>785729.74</v>
      </c>
      <c r="N79" s="29">
        <v>525745.88</v>
      </c>
      <c r="O79" s="29">
        <v>89670.15</v>
      </c>
      <c r="P79" s="29">
        <v>8922.84</v>
      </c>
      <c r="Q79" s="30"/>
    </row>
    <row r="80" spans="1:17">
      <c r="A80" s="28">
        <v>42671</v>
      </c>
      <c r="B80" s="29">
        <v>68051.47</v>
      </c>
      <c r="C80" s="29">
        <v>430.71</v>
      </c>
      <c r="D80" s="29">
        <v>14138.46</v>
      </c>
      <c r="E80" s="29">
        <v>442.68</v>
      </c>
      <c r="F80" s="29">
        <v>9254.9</v>
      </c>
      <c r="G80" s="29">
        <v>98239.95</v>
      </c>
      <c r="H80" s="29">
        <v>433204.88</v>
      </c>
      <c r="I80" s="29">
        <v>68969.67</v>
      </c>
      <c r="J80" s="29">
        <v>191988.63</v>
      </c>
      <c r="K80" s="29">
        <v>223837.02</v>
      </c>
      <c r="L80" s="29">
        <v>4478.97</v>
      </c>
      <c r="M80" s="29">
        <v>783070.17</v>
      </c>
      <c r="N80" s="29">
        <v>524320.18999999994</v>
      </c>
      <c r="O80" s="29">
        <v>89368.54</v>
      </c>
      <c r="P80" s="29">
        <v>8901.2000000000007</v>
      </c>
      <c r="Q80" s="30"/>
    </row>
    <row r="81" spans="1:17">
      <c r="A81" s="28">
        <v>42641</v>
      </c>
      <c r="B81" s="29">
        <v>64787.87</v>
      </c>
      <c r="C81" s="29">
        <v>427.45</v>
      </c>
      <c r="D81" s="29">
        <v>14411.41</v>
      </c>
      <c r="E81" s="29">
        <v>439.86</v>
      </c>
      <c r="F81" s="29">
        <v>8470.01</v>
      </c>
      <c r="G81" s="29">
        <v>88330.53</v>
      </c>
      <c r="H81" s="29">
        <v>445382.56</v>
      </c>
      <c r="I81" s="29">
        <v>69732.17</v>
      </c>
      <c r="J81" s="29">
        <v>192618.16</v>
      </c>
      <c r="K81" s="29">
        <v>216668.39</v>
      </c>
      <c r="L81" s="29">
        <v>4355.5</v>
      </c>
      <c r="M81" s="29">
        <v>783363.22</v>
      </c>
      <c r="N81" s="29">
        <v>523956.8</v>
      </c>
      <c r="O81" s="29">
        <v>89840.69</v>
      </c>
      <c r="P81" s="29">
        <v>8933.9</v>
      </c>
      <c r="Q81" s="30"/>
    </row>
    <row r="82" spans="1:17">
      <c r="A82" s="28">
        <v>42610</v>
      </c>
      <c r="B82" s="29">
        <v>63994.85</v>
      </c>
      <c r="C82" s="29">
        <v>495.41</v>
      </c>
      <c r="D82" s="29">
        <v>14448.81</v>
      </c>
      <c r="E82" s="29">
        <v>437.12</v>
      </c>
      <c r="F82" s="29">
        <v>8863.85</v>
      </c>
      <c r="G82" s="29">
        <v>90140.44</v>
      </c>
      <c r="H82" s="29">
        <v>429561.96</v>
      </c>
      <c r="I82" s="29">
        <v>69516.240000000005</v>
      </c>
      <c r="J82" s="29">
        <v>193676.41</v>
      </c>
      <c r="K82" s="29">
        <v>218880.01</v>
      </c>
      <c r="L82" s="29">
        <v>4367.9799999999996</v>
      </c>
      <c r="M82" s="29">
        <v>784207.06</v>
      </c>
      <c r="N82" s="29">
        <v>522805.75</v>
      </c>
      <c r="O82" s="29">
        <v>89660.1</v>
      </c>
      <c r="P82" s="29">
        <v>8867.7199999999993</v>
      </c>
      <c r="Q82" s="30"/>
    </row>
    <row r="83" spans="1:17">
      <c r="A83" s="28">
        <v>42579</v>
      </c>
      <c r="B83" s="29">
        <v>67284.86</v>
      </c>
      <c r="C83" s="29">
        <v>490.71</v>
      </c>
      <c r="D83" s="29">
        <v>14758.67</v>
      </c>
      <c r="E83" s="29">
        <v>444.9</v>
      </c>
      <c r="F83" s="29">
        <v>9039.43</v>
      </c>
      <c r="G83" s="29">
        <v>93828.7</v>
      </c>
      <c r="H83" s="29">
        <v>422301.91</v>
      </c>
      <c r="I83" s="29">
        <v>69863.53</v>
      </c>
      <c r="J83" s="29">
        <v>195586.67</v>
      </c>
      <c r="K83" s="29">
        <v>216522.39</v>
      </c>
      <c r="L83" s="29">
        <v>4550.71</v>
      </c>
      <c r="M83" s="29">
        <v>787887.41</v>
      </c>
      <c r="N83" s="29">
        <v>523749.71</v>
      </c>
      <c r="O83" s="29">
        <v>89444.12</v>
      </c>
      <c r="P83" s="29">
        <v>8905.7999999999993</v>
      </c>
      <c r="Q83" s="30"/>
    </row>
    <row r="84" spans="1:17">
      <c r="A84" s="28">
        <v>42549</v>
      </c>
      <c r="B84" s="29">
        <v>70806.69</v>
      </c>
      <c r="C84" s="29">
        <v>508.09</v>
      </c>
      <c r="D84" s="29">
        <v>14737.11</v>
      </c>
      <c r="E84" s="29">
        <v>440.11</v>
      </c>
      <c r="F84" s="29">
        <v>8990.9699999999993</v>
      </c>
      <c r="G84" s="29">
        <v>100489.15</v>
      </c>
      <c r="H84" s="29">
        <v>432040.61</v>
      </c>
      <c r="I84" s="29">
        <v>69949.759999999995</v>
      </c>
      <c r="J84" s="29">
        <v>196199.35</v>
      </c>
      <c r="K84" s="29">
        <v>226188.08</v>
      </c>
      <c r="L84" s="29">
        <v>4419.72</v>
      </c>
      <c r="M84" s="29">
        <v>791777.94</v>
      </c>
      <c r="N84" s="29">
        <v>521922</v>
      </c>
      <c r="O84" s="29">
        <v>90393.38</v>
      </c>
      <c r="P84" s="29">
        <v>8903.94</v>
      </c>
      <c r="Q84" s="30"/>
    </row>
    <row r="85" spans="1:17">
      <c r="A85" s="28">
        <v>42518</v>
      </c>
      <c r="B85" s="29">
        <v>67626.850000000006</v>
      </c>
      <c r="C85" s="29">
        <v>514.73</v>
      </c>
      <c r="D85" s="29">
        <v>14438.73</v>
      </c>
      <c r="E85" s="29">
        <v>436.41</v>
      </c>
      <c r="F85" s="29">
        <v>8960.57</v>
      </c>
      <c r="G85" s="29">
        <v>99112.6</v>
      </c>
      <c r="H85" s="29">
        <v>413102.62</v>
      </c>
      <c r="I85" s="29">
        <v>71903.360000000001</v>
      </c>
      <c r="J85" s="29">
        <v>198807.26</v>
      </c>
      <c r="K85" s="29">
        <v>228028.51</v>
      </c>
      <c r="L85" s="29">
        <v>4344.95</v>
      </c>
      <c r="M85" s="29">
        <v>789804.43</v>
      </c>
      <c r="N85" s="29">
        <v>521248.65</v>
      </c>
      <c r="O85" s="29">
        <v>90795.31</v>
      </c>
      <c r="P85" s="29">
        <v>8984.61</v>
      </c>
      <c r="Q85" s="30"/>
    </row>
    <row r="86" spans="1:17">
      <c r="A86" s="28">
        <v>42488</v>
      </c>
      <c r="B86" s="29">
        <v>72863.03</v>
      </c>
      <c r="C86" s="29">
        <v>498.97</v>
      </c>
      <c r="D86" s="29">
        <v>14387.34</v>
      </c>
      <c r="E86" s="29">
        <v>437.41</v>
      </c>
      <c r="F86" s="29">
        <v>9005.0300000000007</v>
      </c>
      <c r="G86" s="29">
        <v>90798.25</v>
      </c>
      <c r="H86" s="29">
        <v>430416.55</v>
      </c>
      <c r="I86" s="29">
        <v>71391.850000000006</v>
      </c>
      <c r="J86" s="29">
        <v>198840.27</v>
      </c>
      <c r="K86" s="29">
        <v>235584.49</v>
      </c>
      <c r="L86" s="29">
        <v>4344.3</v>
      </c>
      <c r="M86" s="29">
        <v>783683.04</v>
      </c>
      <c r="N86" s="29">
        <v>519328.1</v>
      </c>
      <c r="O86" s="29">
        <v>90415.78</v>
      </c>
      <c r="P86" s="29">
        <v>9043.48</v>
      </c>
      <c r="Q86" s="30"/>
    </row>
    <row r="87" spans="1:17">
      <c r="A87" s="28">
        <v>42457</v>
      </c>
      <c r="B87" s="29">
        <v>71784.22</v>
      </c>
      <c r="C87" s="29">
        <v>501.7</v>
      </c>
      <c r="D87" s="29">
        <v>14729.26</v>
      </c>
      <c r="E87" s="29">
        <v>432.49</v>
      </c>
      <c r="F87" s="29">
        <v>9461.51</v>
      </c>
      <c r="G87" s="29">
        <v>92707.18</v>
      </c>
      <c r="H87" s="29">
        <v>423767.57</v>
      </c>
      <c r="I87" s="29">
        <v>70881.53</v>
      </c>
      <c r="J87" s="29">
        <v>201300.87</v>
      </c>
      <c r="K87" s="29">
        <v>246470.12</v>
      </c>
      <c r="L87" s="29">
        <v>4319.9799999999996</v>
      </c>
      <c r="M87" s="29">
        <v>788332.25</v>
      </c>
      <c r="N87" s="29">
        <v>518508.08</v>
      </c>
      <c r="O87" s="29">
        <v>91294.76</v>
      </c>
      <c r="P87" s="29">
        <v>9148.68</v>
      </c>
      <c r="Q87" s="30"/>
    </row>
    <row r="88" spans="1:17">
      <c r="A88" s="28">
        <v>42428</v>
      </c>
      <c r="B88" s="29">
        <v>71004.710000000006</v>
      </c>
      <c r="C88" s="29">
        <v>516.98</v>
      </c>
      <c r="D88" s="29">
        <v>14405.64</v>
      </c>
      <c r="E88" s="29">
        <v>430.7</v>
      </c>
      <c r="F88" s="29">
        <v>8887</v>
      </c>
      <c r="G88" s="29">
        <v>93548.13</v>
      </c>
      <c r="H88" s="29">
        <v>435250.13</v>
      </c>
      <c r="I88" s="29">
        <v>70940.72</v>
      </c>
      <c r="J88" s="29">
        <v>202516.69</v>
      </c>
      <c r="K88" s="29">
        <v>233120.52</v>
      </c>
      <c r="L88" s="29">
        <v>4403.42</v>
      </c>
      <c r="M88" s="29">
        <v>791406.34</v>
      </c>
      <c r="N88" s="29">
        <v>517106.33</v>
      </c>
      <c r="O88" s="29">
        <v>91232.15</v>
      </c>
      <c r="P88" s="29">
        <v>9268.42</v>
      </c>
      <c r="Q88" s="30"/>
    </row>
    <row r="89" spans="1:17">
      <c r="A89" s="28">
        <v>42397</v>
      </c>
      <c r="B89" s="29">
        <v>65890.820000000007</v>
      </c>
      <c r="C89" s="29">
        <v>508.48</v>
      </c>
      <c r="D89" s="29">
        <v>15864.06</v>
      </c>
      <c r="E89" s="29">
        <v>433.04</v>
      </c>
      <c r="F89" s="29">
        <v>7430.71</v>
      </c>
      <c r="G89" s="29">
        <v>97293.63</v>
      </c>
      <c r="H89" s="29">
        <v>425500.9</v>
      </c>
      <c r="I89" s="29">
        <v>70644.42</v>
      </c>
      <c r="J89" s="29">
        <v>202437.12</v>
      </c>
      <c r="K89" s="29">
        <v>231900.96</v>
      </c>
      <c r="L89" s="29">
        <v>4411.57</v>
      </c>
      <c r="M89" s="29">
        <v>791748.79</v>
      </c>
      <c r="N89" s="29">
        <v>517689.64</v>
      </c>
      <c r="O89" s="29">
        <v>91644.51</v>
      </c>
      <c r="P89" s="29">
        <v>9230.42</v>
      </c>
      <c r="Q89" s="30"/>
    </row>
    <row r="90" spans="1:17">
      <c r="A90" s="28">
        <v>42366</v>
      </c>
      <c r="B90" s="29">
        <v>70020.62</v>
      </c>
      <c r="C90" s="29">
        <v>533.23</v>
      </c>
      <c r="D90" s="29">
        <v>15169.82</v>
      </c>
      <c r="E90" s="29">
        <v>433.69</v>
      </c>
      <c r="F90" s="29">
        <v>7594.18</v>
      </c>
      <c r="G90" s="29">
        <v>97703.64</v>
      </c>
      <c r="H90" s="29">
        <v>419385.3</v>
      </c>
      <c r="I90" s="29">
        <v>69701.98</v>
      </c>
      <c r="J90" s="29">
        <v>201832.31</v>
      </c>
      <c r="K90" s="29">
        <v>224936.42</v>
      </c>
      <c r="L90" s="29">
        <v>4424.38</v>
      </c>
      <c r="M90" s="29">
        <v>793230.76</v>
      </c>
      <c r="N90" s="29">
        <v>518266.86</v>
      </c>
      <c r="O90" s="29">
        <v>92333.94</v>
      </c>
      <c r="P90" s="29">
        <v>9182.7000000000007</v>
      </c>
      <c r="Q90" s="30"/>
    </row>
    <row r="91" spans="1:17">
      <c r="A91" s="28">
        <v>42336</v>
      </c>
      <c r="B91" s="29">
        <v>72273.55</v>
      </c>
      <c r="C91" s="29">
        <v>619.01</v>
      </c>
      <c r="D91" s="29">
        <v>16102.49</v>
      </c>
      <c r="E91" s="29">
        <v>431.94</v>
      </c>
      <c r="F91" s="29">
        <v>7077.61</v>
      </c>
      <c r="G91" s="29">
        <v>98996.81</v>
      </c>
      <c r="H91" s="29">
        <v>409015.38</v>
      </c>
      <c r="I91" s="29">
        <v>70949.52</v>
      </c>
      <c r="J91" s="29">
        <v>196863.41</v>
      </c>
      <c r="K91" s="29">
        <v>230860.72</v>
      </c>
      <c r="L91" s="29">
        <v>4207.0600000000004</v>
      </c>
      <c r="M91" s="29">
        <v>804131.01</v>
      </c>
      <c r="N91" s="29">
        <v>518250.71</v>
      </c>
      <c r="O91" s="29">
        <v>92560.93</v>
      </c>
      <c r="P91" s="29">
        <v>9386.7000000000007</v>
      </c>
      <c r="Q91" s="30"/>
    </row>
    <row r="92" spans="1:17">
      <c r="A92" s="28">
        <v>42305</v>
      </c>
      <c r="B92" s="29">
        <v>71645.070000000007</v>
      </c>
      <c r="C92" s="29">
        <v>666.85</v>
      </c>
      <c r="D92" s="29">
        <v>15469.37</v>
      </c>
      <c r="E92" s="29">
        <v>430.91</v>
      </c>
      <c r="F92" s="29">
        <v>7316.35</v>
      </c>
      <c r="G92" s="29">
        <v>98521.71</v>
      </c>
      <c r="H92" s="29">
        <v>412837.34</v>
      </c>
      <c r="I92" s="29">
        <v>70353.58</v>
      </c>
      <c r="J92" s="29">
        <v>196472</v>
      </c>
      <c r="K92" s="29">
        <v>225745.34</v>
      </c>
      <c r="L92" s="29">
        <v>4167.29</v>
      </c>
      <c r="M92" s="29">
        <v>793961.01</v>
      </c>
      <c r="N92" s="29">
        <v>517368.15</v>
      </c>
      <c r="O92" s="29">
        <v>91772.3</v>
      </c>
      <c r="P92" s="29">
        <v>9307.17</v>
      </c>
      <c r="Q92" s="30"/>
    </row>
    <row r="93" spans="1:17">
      <c r="A93" s="28">
        <v>42275</v>
      </c>
      <c r="B93" s="29">
        <v>73092.89</v>
      </c>
      <c r="C93" s="29">
        <v>674.63</v>
      </c>
      <c r="D93" s="29">
        <v>15985.45</v>
      </c>
      <c r="E93" s="29">
        <v>426.48</v>
      </c>
      <c r="F93" s="29">
        <v>7396.83</v>
      </c>
      <c r="G93" s="29">
        <v>93885.35</v>
      </c>
      <c r="H93" s="29">
        <v>413173.45</v>
      </c>
      <c r="I93" s="29">
        <v>70623.070000000007</v>
      </c>
      <c r="J93" s="29">
        <v>198239.81</v>
      </c>
      <c r="K93" s="29">
        <v>229421.13</v>
      </c>
      <c r="L93" s="29">
        <v>4291.2700000000004</v>
      </c>
      <c r="M93" s="29">
        <v>803260.08</v>
      </c>
      <c r="N93" s="29">
        <v>506712.38</v>
      </c>
      <c r="O93" s="29">
        <v>92913.37</v>
      </c>
      <c r="P93" s="29">
        <v>9340.4599999999991</v>
      </c>
      <c r="Q93" s="30"/>
    </row>
    <row r="94" spans="1:17">
      <c r="A94" s="28">
        <v>42244</v>
      </c>
      <c r="B94" s="29">
        <v>77250.320000000007</v>
      </c>
      <c r="C94" s="29">
        <v>695.11</v>
      </c>
      <c r="D94" s="29">
        <v>15199.27</v>
      </c>
      <c r="E94" s="29">
        <v>418.86</v>
      </c>
      <c r="F94" s="29">
        <v>7389.95</v>
      </c>
      <c r="G94" s="29">
        <v>95714.57</v>
      </c>
      <c r="H94" s="29">
        <v>410740.37</v>
      </c>
      <c r="I94" s="29">
        <v>70849.48</v>
      </c>
      <c r="J94" s="29">
        <v>199835.35</v>
      </c>
      <c r="K94" s="29">
        <v>224108.53</v>
      </c>
      <c r="L94" s="29">
        <v>4270.41</v>
      </c>
      <c r="M94" s="29">
        <v>801444.47</v>
      </c>
      <c r="N94" s="29">
        <v>505470.53</v>
      </c>
      <c r="O94" s="29">
        <v>92643.48</v>
      </c>
      <c r="P94" s="29">
        <v>9307.4599999999991</v>
      </c>
      <c r="Q94" s="30"/>
    </row>
    <row r="95" spans="1:17">
      <c r="A95" s="28">
        <v>42213</v>
      </c>
      <c r="B95" s="29">
        <v>69700.95</v>
      </c>
      <c r="C95" s="29">
        <v>698.3</v>
      </c>
      <c r="D95" s="29">
        <v>16721.61</v>
      </c>
      <c r="E95" s="29">
        <v>421.77</v>
      </c>
      <c r="F95" s="29">
        <v>7611.28</v>
      </c>
      <c r="G95" s="29">
        <v>101718.23</v>
      </c>
      <c r="H95" s="29">
        <v>403988.96</v>
      </c>
      <c r="I95" s="29">
        <v>71249.45</v>
      </c>
      <c r="J95" s="29">
        <v>200089.72</v>
      </c>
      <c r="K95" s="29">
        <v>227974.68</v>
      </c>
      <c r="L95" s="29">
        <v>4219.43</v>
      </c>
      <c r="M95" s="29">
        <v>810495.63</v>
      </c>
      <c r="N95" s="29">
        <v>507248.91</v>
      </c>
      <c r="O95" s="29">
        <v>92867.54</v>
      </c>
      <c r="P95" s="29">
        <v>9299.5300000000007</v>
      </c>
      <c r="Q95" s="30"/>
    </row>
    <row r="96" spans="1:17">
      <c r="A96" s="28">
        <v>42183</v>
      </c>
      <c r="B96" s="29">
        <v>72677.81</v>
      </c>
      <c r="C96" s="29">
        <v>681.97</v>
      </c>
      <c r="D96" s="29">
        <v>17034.599999999999</v>
      </c>
      <c r="E96" s="29">
        <v>416.48</v>
      </c>
      <c r="F96" s="29">
        <v>7654.35</v>
      </c>
      <c r="G96" s="29">
        <v>100049.5</v>
      </c>
      <c r="H96" s="29">
        <v>404193.59</v>
      </c>
      <c r="I96" s="29">
        <v>72087.92</v>
      </c>
      <c r="J96" s="29">
        <v>203987.79</v>
      </c>
      <c r="K96" s="29">
        <v>235297.26</v>
      </c>
      <c r="L96" s="29">
        <v>4588.87</v>
      </c>
      <c r="M96" s="29">
        <v>810531.46</v>
      </c>
      <c r="N96" s="29">
        <v>505710.17</v>
      </c>
      <c r="O96" s="29">
        <v>93421.25</v>
      </c>
      <c r="P96" s="29">
        <v>9386.92</v>
      </c>
      <c r="Q96" s="30"/>
    </row>
    <row r="97" spans="1:17">
      <c r="A97" s="28">
        <v>42152</v>
      </c>
      <c r="B97" s="29">
        <v>69022.600000000006</v>
      </c>
      <c r="C97" s="29">
        <v>667.13</v>
      </c>
      <c r="D97" s="29">
        <v>17948.39</v>
      </c>
      <c r="E97" s="29">
        <v>414.04</v>
      </c>
      <c r="F97" s="29">
        <v>7105.4</v>
      </c>
      <c r="G97" s="29">
        <v>102760.44</v>
      </c>
      <c r="H97" s="29">
        <v>402303.15</v>
      </c>
      <c r="I97" s="29">
        <v>74272.31</v>
      </c>
      <c r="J97" s="29">
        <v>199061.9</v>
      </c>
      <c r="K97" s="29">
        <v>235796.42</v>
      </c>
      <c r="L97" s="29">
        <v>4266.7299999999996</v>
      </c>
      <c r="M97" s="29">
        <v>802821.56</v>
      </c>
      <c r="N97" s="29">
        <v>497548.3</v>
      </c>
      <c r="O97" s="29">
        <v>92284.62</v>
      </c>
      <c r="P97" s="29">
        <v>9467.9699999999993</v>
      </c>
      <c r="Q97" s="30"/>
    </row>
    <row r="98" spans="1:17">
      <c r="A98" s="28">
        <v>42122</v>
      </c>
      <c r="B98" s="29">
        <v>67853.31</v>
      </c>
      <c r="C98" s="29">
        <v>672.47</v>
      </c>
      <c r="D98" s="29">
        <v>17221.490000000002</v>
      </c>
      <c r="E98" s="29">
        <v>411.53</v>
      </c>
      <c r="F98" s="29">
        <v>7042.72</v>
      </c>
      <c r="G98" s="29">
        <v>108160.17</v>
      </c>
      <c r="H98" s="29">
        <v>405542.26</v>
      </c>
      <c r="I98" s="29">
        <v>73670.42</v>
      </c>
      <c r="J98" s="29">
        <v>197472.85</v>
      </c>
      <c r="K98" s="29">
        <v>233763.66</v>
      </c>
      <c r="L98" s="29">
        <v>4207.01</v>
      </c>
      <c r="M98" s="29">
        <v>806671.78</v>
      </c>
      <c r="N98" s="29">
        <v>496915.71</v>
      </c>
      <c r="O98" s="29">
        <v>92712.66</v>
      </c>
      <c r="P98" s="29">
        <v>9503.48</v>
      </c>
      <c r="Q98" s="30"/>
    </row>
    <row r="99" spans="1:17">
      <c r="A99" s="28">
        <v>42091</v>
      </c>
      <c r="B99" s="29">
        <v>69605.84</v>
      </c>
      <c r="C99" s="29">
        <v>664.51</v>
      </c>
      <c r="D99" s="29">
        <v>16789.12</v>
      </c>
      <c r="E99" s="29">
        <v>423.19</v>
      </c>
      <c r="F99" s="29">
        <v>7074.67</v>
      </c>
      <c r="G99" s="29">
        <v>108515.86</v>
      </c>
      <c r="H99" s="29">
        <v>396122.09</v>
      </c>
      <c r="I99" s="29">
        <v>73384.240000000005</v>
      </c>
      <c r="J99" s="29">
        <v>197533.68</v>
      </c>
      <c r="K99" s="29">
        <v>252944.59</v>
      </c>
      <c r="L99" s="29">
        <v>4201.03</v>
      </c>
      <c r="M99" s="29">
        <v>809769.25</v>
      </c>
      <c r="N99" s="29">
        <v>496300.18</v>
      </c>
      <c r="O99" s="29">
        <v>93079.71</v>
      </c>
      <c r="P99" s="29">
        <v>9564.69</v>
      </c>
      <c r="Q99" s="30"/>
    </row>
    <row r="100" spans="1:17">
      <c r="A100" s="28">
        <v>42063</v>
      </c>
      <c r="B100" s="29">
        <v>68071.12</v>
      </c>
      <c r="C100" s="29">
        <v>674.92</v>
      </c>
      <c r="D100" s="29">
        <v>18218.009999999998</v>
      </c>
      <c r="E100" s="29">
        <v>417.46</v>
      </c>
      <c r="F100" s="29">
        <v>6566.36</v>
      </c>
      <c r="G100" s="29">
        <v>102604.37</v>
      </c>
      <c r="H100" s="29">
        <v>390794.16</v>
      </c>
      <c r="I100" s="29">
        <v>72374.509999999995</v>
      </c>
      <c r="J100" s="29">
        <v>196737.72</v>
      </c>
      <c r="K100" s="29">
        <v>239652.71</v>
      </c>
      <c r="L100" s="29">
        <v>4225.8999999999996</v>
      </c>
      <c r="M100" s="29">
        <v>805841.37</v>
      </c>
      <c r="N100" s="29">
        <v>495428.29</v>
      </c>
      <c r="O100" s="29">
        <v>92654.07</v>
      </c>
      <c r="P100" s="29">
        <v>9581.07</v>
      </c>
      <c r="Q100" s="30"/>
    </row>
    <row r="101" spans="1:17">
      <c r="A101" s="28">
        <v>42032</v>
      </c>
      <c r="B101" s="29">
        <v>71639.62</v>
      </c>
      <c r="C101" s="29">
        <v>668.97</v>
      </c>
      <c r="D101" s="29">
        <v>17840.53</v>
      </c>
      <c r="E101" s="29">
        <v>427.45</v>
      </c>
      <c r="F101" s="29">
        <v>6578.72</v>
      </c>
      <c r="G101" s="29">
        <v>104513.95</v>
      </c>
      <c r="H101" s="29">
        <v>404050.53</v>
      </c>
      <c r="I101" s="29">
        <v>72631.37</v>
      </c>
      <c r="J101" s="29">
        <v>196489.83</v>
      </c>
      <c r="K101" s="29">
        <v>228271.71</v>
      </c>
      <c r="L101" s="29">
        <v>4341.7700000000004</v>
      </c>
      <c r="M101" s="29">
        <v>810417.43</v>
      </c>
      <c r="N101" s="29">
        <v>495938.21</v>
      </c>
      <c r="O101" s="29">
        <v>92911.94</v>
      </c>
      <c r="P101" s="29">
        <v>9680.69</v>
      </c>
      <c r="Q101" s="30"/>
    </row>
    <row r="102" spans="1:17">
      <c r="A102" s="28">
        <v>42001</v>
      </c>
      <c r="B102" s="29">
        <v>71665.240000000005</v>
      </c>
      <c r="C102" s="29">
        <v>611.74</v>
      </c>
      <c r="D102" s="29">
        <v>17010.27</v>
      </c>
      <c r="E102" s="29">
        <v>429.99</v>
      </c>
      <c r="F102" s="29">
        <v>6486.88</v>
      </c>
      <c r="G102" s="29">
        <v>96260.47</v>
      </c>
      <c r="H102" s="29">
        <v>394366.01</v>
      </c>
      <c r="I102" s="29">
        <v>72340.759999999995</v>
      </c>
      <c r="J102" s="29">
        <v>198151.34</v>
      </c>
      <c r="K102" s="29">
        <v>240597.09</v>
      </c>
      <c r="L102" s="29">
        <v>4189.05</v>
      </c>
      <c r="M102" s="29">
        <v>807641.02</v>
      </c>
      <c r="N102" s="29">
        <v>493837.62</v>
      </c>
      <c r="O102" s="29">
        <v>93242.53</v>
      </c>
      <c r="P102" s="29">
        <v>9472.16</v>
      </c>
      <c r="Q102" s="30"/>
    </row>
    <row r="103" spans="1:17">
      <c r="A103" s="28">
        <v>41971</v>
      </c>
      <c r="B103" s="29">
        <v>70120.58</v>
      </c>
      <c r="C103" s="29">
        <v>673.56</v>
      </c>
      <c r="D103" s="29">
        <v>16763.919999999998</v>
      </c>
      <c r="E103" s="29">
        <v>432.56</v>
      </c>
      <c r="F103" s="29">
        <v>6253.17</v>
      </c>
      <c r="G103" s="29">
        <v>91788.02</v>
      </c>
      <c r="H103" s="29">
        <v>395794.27</v>
      </c>
      <c r="I103" s="29">
        <v>74171.210000000006</v>
      </c>
      <c r="J103" s="29">
        <v>191416.49</v>
      </c>
      <c r="K103" s="29">
        <v>228003.47</v>
      </c>
      <c r="L103" s="29">
        <v>4184.8</v>
      </c>
      <c r="M103" s="29">
        <v>817548.9</v>
      </c>
      <c r="N103" s="29">
        <v>493724.95</v>
      </c>
      <c r="O103" s="29">
        <v>92821.71</v>
      </c>
      <c r="P103" s="29">
        <v>9719.7199999999993</v>
      </c>
      <c r="Q103" s="30"/>
    </row>
    <row r="104" spans="1:17">
      <c r="A104" s="28">
        <v>41940</v>
      </c>
      <c r="B104" s="29">
        <v>69313.070000000007</v>
      </c>
      <c r="C104" s="29">
        <v>600.76</v>
      </c>
      <c r="D104" s="29">
        <v>17147.89</v>
      </c>
      <c r="E104" s="29">
        <v>429.79</v>
      </c>
      <c r="F104" s="29">
        <v>6204.89</v>
      </c>
      <c r="G104" s="29">
        <v>93621.03</v>
      </c>
      <c r="H104" s="29">
        <v>385222.08</v>
      </c>
      <c r="I104" s="29">
        <v>73611.73</v>
      </c>
      <c r="J104" s="29">
        <v>186855.13</v>
      </c>
      <c r="K104" s="29">
        <v>214822.93</v>
      </c>
      <c r="L104" s="29">
        <v>4099.6099999999997</v>
      </c>
      <c r="M104" s="29">
        <v>819485.46</v>
      </c>
      <c r="N104" s="29">
        <v>493964.42</v>
      </c>
      <c r="O104" s="29">
        <v>93156.22</v>
      </c>
      <c r="P104" s="29">
        <v>9667.7999999999993</v>
      </c>
      <c r="Q104" s="30"/>
    </row>
    <row r="105" spans="1:17">
      <c r="A105" s="28">
        <v>41910</v>
      </c>
      <c r="B105" s="29">
        <v>65074.3</v>
      </c>
      <c r="C105" s="29">
        <v>652.12</v>
      </c>
      <c r="D105" s="29">
        <v>18242.759999999998</v>
      </c>
      <c r="E105" s="29">
        <v>422.84</v>
      </c>
      <c r="F105" s="29">
        <v>6531.9</v>
      </c>
      <c r="G105" s="29">
        <v>100191.66</v>
      </c>
      <c r="H105" s="29">
        <v>391290.91</v>
      </c>
      <c r="I105" s="29">
        <v>74730.87</v>
      </c>
      <c r="J105" s="29">
        <v>188922.44</v>
      </c>
      <c r="K105" s="29">
        <v>217529.21</v>
      </c>
      <c r="L105" s="29">
        <v>3835</v>
      </c>
      <c r="M105" s="29">
        <v>823688.89</v>
      </c>
      <c r="N105" s="29">
        <v>493765.53</v>
      </c>
      <c r="O105" s="29">
        <v>93586.68</v>
      </c>
      <c r="P105" s="29">
        <v>9812.25</v>
      </c>
      <c r="Q105" s="30"/>
    </row>
    <row r="106" spans="1:17">
      <c r="A106" s="28">
        <v>41879</v>
      </c>
      <c r="B106" s="29">
        <v>63498.42</v>
      </c>
      <c r="C106" s="29">
        <v>657.26</v>
      </c>
      <c r="D106" s="29">
        <v>16948.68</v>
      </c>
      <c r="E106" s="29">
        <v>425.12</v>
      </c>
      <c r="F106" s="29">
        <v>6627.17</v>
      </c>
      <c r="G106" s="29">
        <v>92765.6</v>
      </c>
      <c r="H106" s="29">
        <v>386288.7</v>
      </c>
      <c r="I106" s="29">
        <v>75263.72</v>
      </c>
      <c r="J106" s="29">
        <v>188385.59</v>
      </c>
      <c r="K106" s="29">
        <v>215485.31</v>
      </c>
      <c r="L106" s="29">
        <v>3587.38</v>
      </c>
      <c r="M106" s="29">
        <v>819489.43</v>
      </c>
      <c r="N106" s="29">
        <v>493524.64</v>
      </c>
      <c r="O106" s="29">
        <v>93098.83</v>
      </c>
      <c r="P106" s="29">
        <v>9794.44</v>
      </c>
      <c r="Q106" s="30"/>
    </row>
    <row r="107" spans="1:17">
      <c r="A107" s="28">
        <v>41848</v>
      </c>
      <c r="B107" s="29">
        <v>61769.4</v>
      </c>
      <c r="C107" s="29">
        <v>655.33000000000004</v>
      </c>
      <c r="D107" s="29">
        <v>18019.97</v>
      </c>
      <c r="E107" s="29">
        <v>416.17</v>
      </c>
      <c r="F107" s="29">
        <v>6736.55</v>
      </c>
      <c r="G107" s="29">
        <v>94862.75</v>
      </c>
      <c r="H107" s="29">
        <v>390360.54</v>
      </c>
      <c r="I107" s="29">
        <v>75667.839999999997</v>
      </c>
      <c r="J107" s="29">
        <v>189925.74</v>
      </c>
      <c r="K107" s="29">
        <v>215637.31</v>
      </c>
      <c r="L107" s="29">
        <v>3654.75</v>
      </c>
      <c r="M107" s="29">
        <v>831003.49</v>
      </c>
      <c r="N107" s="29">
        <v>495430.01</v>
      </c>
      <c r="O107" s="29">
        <v>93581.74</v>
      </c>
      <c r="P107" s="29">
        <v>9812.82</v>
      </c>
      <c r="Q107" s="30"/>
    </row>
    <row r="108" spans="1:17">
      <c r="A108" s="28">
        <v>41818</v>
      </c>
      <c r="B108" s="29">
        <v>64589.25</v>
      </c>
      <c r="C108" s="29">
        <v>651.85</v>
      </c>
      <c r="D108" s="29">
        <v>18220.669999999998</v>
      </c>
      <c r="E108" s="29">
        <v>416.84</v>
      </c>
      <c r="F108" s="29">
        <v>6594.59</v>
      </c>
      <c r="G108" s="29">
        <v>93382.04</v>
      </c>
      <c r="H108" s="29">
        <v>386543.37</v>
      </c>
      <c r="I108" s="29">
        <v>75337.3</v>
      </c>
      <c r="J108" s="29">
        <v>192562.4</v>
      </c>
      <c r="K108" s="29">
        <v>222832.04</v>
      </c>
      <c r="L108" s="29">
        <v>3671.61</v>
      </c>
      <c r="M108" s="29">
        <v>827473.02</v>
      </c>
      <c r="N108" s="29">
        <v>495050.11</v>
      </c>
      <c r="O108" s="29">
        <v>93794.45</v>
      </c>
      <c r="P108" s="29">
        <v>9817.06</v>
      </c>
      <c r="Q108" s="30"/>
    </row>
    <row r="109" spans="1:17">
      <c r="A109" s="28">
        <v>41787</v>
      </c>
      <c r="B109" s="29">
        <v>64727.88</v>
      </c>
      <c r="C109" s="29">
        <v>672.73</v>
      </c>
      <c r="D109" s="29">
        <v>19182.68</v>
      </c>
      <c r="E109" s="29">
        <v>426.52</v>
      </c>
      <c r="F109" s="29">
        <v>6767.85</v>
      </c>
      <c r="G109" s="29">
        <v>91027.78</v>
      </c>
      <c r="H109" s="29">
        <v>382551.52</v>
      </c>
      <c r="I109" s="29">
        <v>77639.59</v>
      </c>
      <c r="J109" s="29">
        <v>189524</v>
      </c>
      <c r="K109" s="29">
        <v>201274.39</v>
      </c>
      <c r="L109" s="29">
        <v>4397.5600000000004</v>
      </c>
      <c r="M109" s="29">
        <v>821969.88</v>
      </c>
      <c r="N109" s="29">
        <v>494730.76</v>
      </c>
      <c r="O109" s="29">
        <v>93525.86</v>
      </c>
      <c r="P109" s="29">
        <v>9832.48</v>
      </c>
      <c r="Q109" s="30"/>
    </row>
    <row r="110" spans="1:17">
      <c r="A110" s="28">
        <v>41757</v>
      </c>
      <c r="B110" s="29">
        <v>61187.86</v>
      </c>
      <c r="C110" s="29">
        <v>668.09</v>
      </c>
      <c r="D110" s="29">
        <v>17307.490000000002</v>
      </c>
      <c r="E110" s="29">
        <v>426.27</v>
      </c>
      <c r="F110" s="29">
        <v>7001.89</v>
      </c>
      <c r="G110" s="29">
        <v>87794.03</v>
      </c>
      <c r="H110" s="29">
        <v>391335.94</v>
      </c>
      <c r="I110" s="29">
        <v>78467.460000000006</v>
      </c>
      <c r="J110" s="29">
        <v>187715.29</v>
      </c>
      <c r="K110" s="29">
        <v>204193.8</v>
      </c>
      <c r="L110" s="29">
        <v>4306.66</v>
      </c>
      <c r="M110" s="29">
        <v>828989.88</v>
      </c>
      <c r="N110" s="29">
        <v>494564.66</v>
      </c>
      <c r="O110" s="29">
        <v>94403.839999999997</v>
      </c>
      <c r="P110" s="29">
        <v>9821.1299999999992</v>
      </c>
      <c r="Q110" s="30"/>
    </row>
    <row r="111" spans="1:17">
      <c r="A111" s="28">
        <v>41726</v>
      </c>
      <c r="B111" s="29">
        <v>63220.54</v>
      </c>
      <c r="C111" s="29">
        <v>671.89</v>
      </c>
      <c r="D111" s="29">
        <v>19147.560000000001</v>
      </c>
      <c r="E111" s="29">
        <v>432.6</v>
      </c>
      <c r="F111" s="29">
        <v>7099.74</v>
      </c>
      <c r="G111" s="29">
        <v>90180.83</v>
      </c>
      <c r="H111" s="29">
        <v>397542.69</v>
      </c>
      <c r="I111" s="29">
        <v>78280.66</v>
      </c>
      <c r="J111" s="29">
        <v>189710.47</v>
      </c>
      <c r="K111" s="29">
        <v>221140.86</v>
      </c>
      <c r="L111" s="29">
        <v>5017.88</v>
      </c>
      <c r="M111" s="29">
        <v>831835.13</v>
      </c>
      <c r="N111" s="29">
        <v>493968.49</v>
      </c>
      <c r="O111" s="29">
        <v>95541.74</v>
      </c>
      <c r="P111" s="29">
        <v>9926.9</v>
      </c>
      <c r="Q111" s="30"/>
    </row>
    <row r="112" spans="1:17">
      <c r="A112" s="28">
        <v>41698</v>
      </c>
      <c r="B112" s="29">
        <v>64413.760000000002</v>
      </c>
      <c r="C112" s="29">
        <v>684.21</v>
      </c>
      <c r="D112" s="29">
        <v>17280.439999999999</v>
      </c>
      <c r="E112" s="29">
        <v>435.66</v>
      </c>
      <c r="F112" s="29">
        <v>7084.94</v>
      </c>
      <c r="G112" s="29">
        <v>87010.9</v>
      </c>
      <c r="H112" s="29">
        <v>396454.11</v>
      </c>
      <c r="I112" s="29">
        <v>78562.06</v>
      </c>
      <c r="J112" s="29">
        <v>186162.72</v>
      </c>
      <c r="K112" s="29">
        <v>211050.84</v>
      </c>
      <c r="L112" s="29">
        <v>4961.6099999999997</v>
      </c>
      <c r="M112" s="29">
        <v>834797.64</v>
      </c>
      <c r="N112" s="29">
        <v>493973.04</v>
      </c>
      <c r="O112" s="29">
        <v>95598.73</v>
      </c>
      <c r="P112" s="29">
        <v>9927.7000000000007</v>
      </c>
      <c r="Q112" s="30"/>
    </row>
    <row r="113" spans="1:17">
      <c r="A113" s="28">
        <v>41667</v>
      </c>
      <c r="B113" s="29">
        <v>65128.15</v>
      </c>
      <c r="C113" s="29">
        <v>679.06</v>
      </c>
      <c r="D113" s="29">
        <v>18409.98</v>
      </c>
      <c r="E113" s="29">
        <v>434.63</v>
      </c>
      <c r="F113" s="29">
        <v>7345.15</v>
      </c>
      <c r="G113" s="29">
        <v>92512.320000000007</v>
      </c>
      <c r="H113" s="29">
        <v>390314.15</v>
      </c>
      <c r="I113" s="29">
        <v>79772.570000000007</v>
      </c>
      <c r="J113" s="29">
        <v>184949.95</v>
      </c>
      <c r="K113" s="29">
        <v>209941.06</v>
      </c>
      <c r="L113" s="29">
        <v>4938.57</v>
      </c>
      <c r="M113" s="29">
        <v>838004.89</v>
      </c>
      <c r="N113" s="29">
        <v>495801.93</v>
      </c>
      <c r="O113" s="29">
        <v>95971.62</v>
      </c>
      <c r="P113" s="29">
        <v>9931.1</v>
      </c>
      <c r="Q113" s="30"/>
    </row>
    <row r="114" spans="1:17">
      <c r="A114" s="28">
        <v>41636</v>
      </c>
      <c r="B114" s="29">
        <v>67271.41</v>
      </c>
      <c r="C114" s="29">
        <v>576.32000000000005</v>
      </c>
      <c r="D114" s="29">
        <v>17039.54</v>
      </c>
      <c r="E114" s="29">
        <v>421.28</v>
      </c>
      <c r="F114" s="29">
        <v>7390.68</v>
      </c>
      <c r="G114" s="29">
        <v>90167.12</v>
      </c>
      <c r="H114" s="29">
        <v>357935.19</v>
      </c>
      <c r="I114" s="29">
        <v>77427.19</v>
      </c>
      <c r="J114" s="29">
        <v>185028.84</v>
      </c>
      <c r="K114" s="29">
        <v>247324.02</v>
      </c>
      <c r="L114" s="29">
        <v>4661.3</v>
      </c>
      <c r="M114" s="29">
        <v>814108.34</v>
      </c>
      <c r="N114" s="29">
        <v>496968.09</v>
      </c>
      <c r="O114" s="29">
        <v>95362.94</v>
      </c>
      <c r="P114" s="29">
        <v>9833.76</v>
      </c>
      <c r="Q114" s="30"/>
    </row>
    <row r="115" spans="1:17">
      <c r="A115" s="28">
        <v>41606</v>
      </c>
      <c r="B115" s="29">
        <v>69360.990000000005</v>
      </c>
      <c r="C115" s="29">
        <v>582.65</v>
      </c>
      <c r="D115" s="29">
        <v>17752.34</v>
      </c>
      <c r="E115" s="29">
        <v>424.04</v>
      </c>
      <c r="F115" s="29">
        <v>7126</v>
      </c>
      <c r="G115" s="29">
        <v>91069.119999999995</v>
      </c>
      <c r="H115" s="29">
        <v>367436.31</v>
      </c>
      <c r="I115" s="29">
        <v>78828.960000000006</v>
      </c>
      <c r="J115" s="29">
        <v>179283.89</v>
      </c>
      <c r="K115" s="29">
        <v>258223.65</v>
      </c>
      <c r="L115" s="29">
        <v>4715.43</v>
      </c>
      <c r="M115" s="29">
        <v>817003.99</v>
      </c>
      <c r="N115" s="29">
        <v>496972.53</v>
      </c>
      <c r="O115" s="29">
        <v>95071.41</v>
      </c>
      <c r="P115" s="29">
        <v>9988.0300000000007</v>
      </c>
      <c r="Q115" s="30"/>
    </row>
    <row r="116" spans="1:17">
      <c r="A116" s="28">
        <v>41575</v>
      </c>
      <c r="B116" s="29">
        <v>70353.48</v>
      </c>
      <c r="C116" s="29">
        <v>582.62</v>
      </c>
      <c r="D116" s="29">
        <v>20268.59</v>
      </c>
      <c r="E116" s="29">
        <v>425.81</v>
      </c>
      <c r="F116" s="29">
        <v>8422.4599999999991</v>
      </c>
      <c r="G116" s="29">
        <v>99104.31</v>
      </c>
      <c r="H116" s="29">
        <v>376585.65</v>
      </c>
      <c r="I116" s="29">
        <v>79165.16</v>
      </c>
      <c r="J116" s="29">
        <v>178709.28</v>
      </c>
      <c r="K116" s="29">
        <v>238847.43</v>
      </c>
      <c r="L116" s="29">
        <v>4712.74</v>
      </c>
      <c r="M116" s="29">
        <v>822929.02</v>
      </c>
      <c r="N116" s="29">
        <v>497637.61</v>
      </c>
      <c r="O116" s="29">
        <v>95655.64</v>
      </c>
      <c r="P116" s="29">
        <v>9930.42</v>
      </c>
      <c r="Q116" s="30"/>
    </row>
    <row r="117" spans="1:17">
      <c r="A117" s="28">
        <v>41545</v>
      </c>
      <c r="B117" s="29">
        <v>68922.679999999993</v>
      </c>
      <c r="C117" s="29">
        <v>578.41</v>
      </c>
      <c r="D117" s="29">
        <v>21258.44</v>
      </c>
      <c r="E117" s="29">
        <v>425.48</v>
      </c>
      <c r="F117" s="29">
        <v>8772.9699999999993</v>
      </c>
      <c r="G117" s="29">
        <v>99040.48</v>
      </c>
      <c r="H117" s="29">
        <v>372677.76</v>
      </c>
      <c r="I117" s="29">
        <v>80492.17</v>
      </c>
      <c r="J117" s="29">
        <v>179549.29</v>
      </c>
      <c r="K117" s="29">
        <v>240280.34</v>
      </c>
      <c r="L117" s="29">
        <v>4630.43</v>
      </c>
      <c r="M117" s="29">
        <v>828982.43</v>
      </c>
      <c r="N117" s="29">
        <v>497767.3</v>
      </c>
      <c r="O117" s="29">
        <v>96018.59</v>
      </c>
      <c r="P117" s="29">
        <v>10041.35</v>
      </c>
      <c r="Q117" s="30"/>
    </row>
    <row r="118" spans="1:17">
      <c r="A118" s="28">
        <v>41514</v>
      </c>
      <c r="B118" s="29">
        <v>67750.210000000006</v>
      </c>
      <c r="C118" s="29">
        <v>583.38</v>
      </c>
      <c r="D118" s="29">
        <v>20424.39</v>
      </c>
      <c r="E118" s="29">
        <v>419</v>
      </c>
      <c r="F118" s="29">
        <v>8838.9</v>
      </c>
      <c r="G118" s="29">
        <v>95188.28</v>
      </c>
      <c r="H118" s="29">
        <v>363166.33</v>
      </c>
      <c r="I118" s="29">
        <v>80180.67</v>
      </c>
      <c r="J118" s="29">
        <v>179634.38</v>
      </c>
      <c r="K118" s="29">
        <v>239265.57</v>
      </c>
      <c r="L118" s="29">
        <v>4798.6099999999997</v>
      </c>
      <c r="M118" s="29">
        <v>830082.83</v>
      </c>
      <c r="N118" s="29">
        <v>498004.05</v>
      </c>
      <c r="O118" s="29">
        <v>95663.4</v>
      </c>
      <c r="P118" s="29">
        <v>9948.66</v>
      </c>
      <c r="Q118" s="30"/>
    </row>
    <row r="119" spans="1:17">
      <c r="A119" s="28">
        <v>41483</v>
      </c>
      <c r="B119" s="29">
        <v>70357</v>
      </c>
      <c r="C119" s="29">
        <v>583.36</v>
      </c>
      <c r="D119" s="29">
        <v>21848.71</v>
      </c>
      <c r="E119" s="29">
        <v>417.72</v>
      </c>
      <c r="F119" s="29">
        <v>9018.7999999999993</v>
      </c>
      <c r="G119" s="29">
        <v>98235.54</v>
      </c>
      <c r="H119" s="29">
        <v>364383.1</v>
      </c>
      <c r="I119" s="29">
        <v>80148.039999999994</v>
      </c>
      <c r="J119" s="29">
        <v>180104.19</v>
      </c>
      <c r="K119" s="29">
        <v>227028.24</v>
      </c>
      <c r="L119" s="29">
        <v>4584.6899999999996</v>
      </c>
      <c r="M119" s="29">
        <v>842543.02</v>
      </c>
      <c r="N119" s="29">
        <v>499692.2</v>
      </c>
      <c r="O119" s="29">
        <v>96211.17</v>
      </c>
      <c r="P119" s="29">
        <v>9955.66</v>
      </c>
      <c r="Q119" s="30"/>
    </row>
    <row r="120" spans="1:17">
      <c r="A120" s="28">
        <v>41453</v>
      </c>
      <c r="B120" s="29">
        <v>70273.67</v>
      </c>
      <c r="C120" s="29">
        <v>589.99</v>
      </c>
      <c r="D120" s="29">
        <v>22154.41</v>
      </c>
      <c r="E120" s="29">
        <v>428.59</v>
      </c>
      <c r="F120" s="29">
        <v>9119.2900000000009</v>
      </c>
      <c r="G120" s="29">
        <v>104167.9</v>
      </c>
      <c r="H120" s="29">
        <v>369071.27</v>
      </c>
      <c r="I120" s="29">
        <v>81789.679999999993</v>
      </c>
      <c r="J120" s="29">
        <v>181100.7</v>
      </c>
      <c r="K120" s="29">
        <v>236034.62</v>
      </c>
      <c r="L120" s="29">
        <v>4734.91</v>
      </c>
      <c r="M120" s="29">
        <v>840175.94</v>
      </c>
      <c r="N120" s="29">
        <v>499902.5</v>
      </c>
      <c r="O120" s="29">
        <v>96378.36</v>
      </c>
      <c r="P120" s="29">
        <v>10003.27</v>
      </c>
      <c r="Q120" s="30"/>
    </row>
    <row r="121" spans="1:17">
      <c r="A121" s="28">
        <v>41422</v>
      </c>
      <c r="B121" s="29">
        <v>70009.52</v>
      </c>
      <c r="C121" s="29">
        <v>602.13</v>
      </c>
      <c r="D121" s="29">
        <v>22284.91</v>
      </c>
      <c r="E121" s="29">
        <v>430.79</v>
      </c>
      <c r="F121" s="29">
        <v>9020.44</v>
      </c>
      <c r="G121" s="29">
        <v>104249.31</v>
      </c>
      <c r="H121" s="29">
        <v>369680.9</v>
      </c>
      <c r="I121" s="29">
        <v>82936.53</v>
      </c>
      <c r="J121" s="29">
        <v>183098.69</v>
      </c>
      <c r="K121" s="29">
        <v>247376.5</v>
      </c>
      <c r="L121" s="29">
        <v>4844.8599999999997</v>
      </c>
      <c r="M121" s="29">
        <v>848353.4</v>
      </c>
      <c r="N121" s="29">
        <v>500016.43</v>
      </c>
      <c r="O121" s="29">
        <v>97011.61</v>
      </c>
      <c r="P121" s="29">
        <v>9769.34</v>
      </c>
      <c r="Q121" s="30"/>
    </row>
    <row r="122" spans="1:17">
      <c r="A122" s="28">
        <v>41392</v>
      </c>
      <c r="B122" s="29">
        <v>78168.39</v>
      </c>
      <c r="C122" s="29">
        <v>604.59</v>
      </c>
      <c r="D122" s="29">
        <v>23009.14</v>
      </c>
      <c r="E122" s="29">
        <v>431.68</v>
      </c>
      <c r="F122" s="29">
        <v>9076.31</v>
      </c>
      <c r="G122" s="29">
        <v>109975.29</v>
      </c>
      <c r="H122" s="29">
        <v>389217.16</v>
      </c>
      <c r="I122" s="29">
        <v>82873.52</v>
      </c>
      <c r="J122" s="29">
        <v>182217.87</v>
      </c>
      <c r="K122" s="29">
        <v>238759.97</v>
      </c>
      <c r="L122" s="29">
        <v>4755.8599999999997</v>
      </c>
      <c r="M122" s="29">
        <v>852453.19</v>
      </c>
      <c r="N122" s="29">
        <v>498960.57</v>
      </c>
      <c r="O122" s="29">
        <v>96528.15</v>
      </c>
      <c r="P122" s="29">
        <v>10119.129999999999</v>
      </c>
      <c r="Q122" s="30"/>
    </row>
    <row r="123" spans="1:17">
      <c r="A123" s="28">
        <v>41361</v>
      </c>
      <c r="B123" s="29">
        <v>75984.98</v>
      </c>
      <c r="C123" s="29">
        <v>605.33000000000004</v>
      </c>
      <c r="D123" s="29">
        <v>23895.46</v>
      </c>
      <c r="E123" s="29">
        <v>436.48</v>
      </c>
      <c r="F123" s="29">
        <v>9455.17</v>
      </c>
      <c r="G123" s="29">
        <v>107844.43</v>
      </c>
      <c r="H123" s="29">
        <v>377660.81</v>
      </c>
      <c r="I123" s="29">
        <v>82832.649999999994</v>
      </c>
      <c r="J123" s="29">
        <v>184846.14</v>
      </c>
      <c r="K123" s="29">
        <v>242214.39999999999</v>
      </c>
      <c r="L123" s="29">
        <v>4818.63</v>
      </c>
      <c r="M123" s="29">
        <v>855311.31</v>
      </c>
      <c r="N123" s="29">
        <v>499598.64</v>
      </c>
      <c r="O123" s="29">
        <v>96667.01</v>
      </c>
      <c r="P123" s="29">
        <v>10219.56</v>
      </c>
      <c r="Q123" s="30"/>
    </row>
    <row r="124" spans="1:17">
      <c r="A124" s="28">
        <v>41333</v>
      </c>
      <c r="B124" s="29">
        <v>74116.789999999994</v>
      </c>
      <c r="C124" s="29">
        <v>667.54</v>
      </c>
      <c r="D124" s="29">
        <v>23460.25</v>
      </c>
      <c r="E124" s="29">
        <v>440.92</v>
      </c>
      <c r="F124" s="29">
        <v>9533.41</v>
      </c>
      <c r="G124" s="29">
        <v>102728.9</v>
      </c>
      <c r="H124" s="29">
        <v>383225.08</v>
      </c>
      <c r="I124" s="29">
        <v>82523.59</v>
      </c>
      <c r="J124" s="29">
        <v>182364.79</v>
      </c>
      <c r="K124" s="29">
        <v>252106.41</v>
      </c>
      <c r="L124" s="29">
        <v>4760.16</v>
      </c>
      <c r="M124" s="29">
        <v>865145.22</v>
      </c>
      <c r="N124" s="29">
        <v>499533.78</v>
      </c>
      <c r="O124" s="29">
        <v>97182.28</v>
      </c>
      <c r="P124" s="29">
        <v>10221.84</v>
      </c>
      <c r="Q124" s="30"/>
    </row>
    <row r="125" spans="1:17">
      <c r="A125" s="28">
        <v>41302</v>
      </c>
      <c r="B125" s="29">
        <v>78619.3</v>
      </c>
      <c r="C125" s="29">
        <v>668.84</v>
      </c>
      <c r="D125" s="29">
        <v>23975.79</v>
      </c>
      <c r="E125" s="29">
        <v>449.35</v>
      </c>
      <c r="F125" s="29">
        <v>9529.51</v>
      </c>
      <c r="G125" s="29">
        <v>104150.31</v>
      </c>
      <c r="H125" s="29">
        <v>370399.86</v>
      </c>
      <c r="I125" s="29">
        <v>82130.95</v>
      </c>
      <c r="J125" s="29">
        <v>184323.31</v>
      </c>
      <c r="K125" s="29">
        <v>237702.6</v>
      </c>
      <c r="L125" s="29">
        <v>4675.8999999999996</v>
      </c>
      <c r="M125" s="29">
        <v>865697.63</v>
      </c>
      <c r="N125" s="29">
        <v>500659.87</v>
      </c>
      <c r="O125" s="29">
        <v>97593.27</v>
      </c>
      <c r="P125" s="29">
        <v>10235.790000000001</v>
      </c>
      <c r="Q125" s="30"/>
    </row>
    <row r="126" spans="1:17">
      <c r="A126" s="28">
        <v>41271</v>
      </c>
      <c r="B126" s="29">
        <v>78286.039999999994</v>
      </c>
      <c r="C126" s="29">
        <v>673.84</v>
      </c>
      <c r="D126" s="29">
        <v>23409.85</v>
      </c>
      <c r="E126" s="29">
        <v>455.69</v>
      </c>
      <c r="F126" s="29">
        <v>10343.99</v>
      </c>
      <c r="G126" s="29">
        <v>107785.23</v>
      </c>
      <c r="H126" s="29">
        <v>361011.9</v>
      </c>
      <c r="I126" s="29">
        <v>81447.59</v>
      </c>
      <c r="J126" s="29">
        <v>186327.16</v>
      </c>
      <c r="K126" s="29">
        <v>248170.61</v>
      </c>
      <c r="L126" s="29">
        <v>4711.84</v>
      </c>
      <c r="M126" s="29">
        <v>864654.5</v>
      </c>
      <c r="N126" s="29">
        <v>502054.13</v>
      </c>
      <c r="O126" s="29">
        <v>97852.51</v>
      </c>
      <c r="P126" s="29">
        <v>10142.959999999999</v>
      </c>
      <c r="Q126" s="30"/>
    </row>
    <row r="127" spans="1:17">
      <c r="A127" s="28">
        <v>41241</v>
      </c>
      <c r="B127" s="29">
        <v>79007.19</v>
      </c>
      <c r="C127" s="29">
        <v>687.24</v>
      </c>
      <c r="D127" s="29">
        <v>15279.4</v>
      </c>
      <c r="E127" s="29">
        <v>451.58</v>
      </c>
      <c r="F127" s="29">
        <v>11109.52</v>
      </c>
      <c r="G127" s="29">
        <v>105032.4</v>
      </c>
      <c r="H127" s="29">
        <v>397692.82</v>
      </c>
      <c r="I127" s="29">
        <v>83993.29</v>
      </c>
      <c r="J127" s="29">
        <v>182769.08</v>
      </c>
      <c r="K127" s="29">
        <v>236968.76</v>
      </c>
      <c r="L127" s="29">
        <v>4736.01</v>
      </c>
      <c r="M127" s="29">
        <v>874080.39</v>
      </c>
      <c r="N127" s="29">
        <v>502442.03</v>
      </c>
      <c r="O127" s="29">
        <v>98490.61</v>
      </c>
      <c r="P127" s="29">
        <v>10229.48</v>
      </c>
      <c r="Q127" s="30"/>
    </row>
    <row r="128" spans="1:17">
      <c r="A128" s="28">
        <v>41210</v>
      </c>
      <c r="B128" s="29">
        <v>81485.62</v>
      </c>
      <c r="C128" s="29">
        <v>687.21</v>
      </c>
      <c r="D128" s="29">
        <v>16563.080000000002</v>
      </c>
      <c r="E128" s="29">
        <v>455.94</v>
      </c>
      <c r="F128" s="29">
        <v>11252.72</v>
      </c>
      <c r="G128" s="29">
        <v>109366.61</v>
      </c>
      <c r="H128" s="29">
        <v>388759.45</v>
      </c>
      <c r="I128" s="29">
        <v>83536.41</v>
      </c>
      <c r="J128" s="29">
        <v>185880.11</v>
      </c>
      <c r="K128" s="29">
        <v>233202.68</v>
      </c>
      <c r="L128" s="29">
        <v>4752.8599999999997</v>
      </c>
      <c r="M128" s="29">
        <v>870578.18</v>
      </c>
      <c r="N128" s="29">
        <v>501931.64</v>
      </c>
      <c r="O128" s="29">
        <v>98221.47</v>
      </c>
      <c r="P128" s="29">
        <v>10177</v>
      </c>
      <c r="Q128" s="30"/>
    </row>
    <row r="129" spans="1:17">
      <c r="A129" s="28">
        <v>41180</v>
      </c>
      <c r="B129" s="29">
        <v>82573.11</v>
      </c>
      <c r="C129" s="29">
        <v>687.91</v>
      </c>
      <c r="D129" s="29">
        <v>16939.79</v>
      </c>
      <c r="E129" s="29">
        <v>455.63</v>
      </c>
      <c r="F129" s="29">
        <v>11317.18</v>
      </c>
      <c r="G129" s="29">
        <v>109384.4</v>
      </c>
      <c r="H129" s="29">
        <v>399223.28</v>
      </c>
      <c r="I129" s="29">
        <v>83630.33</v>
      </c>
      <c r="J129" s="29">
        <v>186637.94</v>
      </c>
      <c r="K129" s="29">
        <v>245226.34</v>
      </c>
      <c r="L129" s="29">
        <v>4773.01</v>
      </c>
      <c r="M129" s="29">
        <v>869852.9</v>
      </c>
      <c r="N129" s="29">
        <v>501412.42</v>
      </c>
      <c r="O129" s="29">
        <v>98218.67</v>
      </c>
      <c r="P129" s="29">
        <v>10210.200000000001</v>
      </c>
      <c r="Q129" s="30"/>
    </row>
    <row r="130" spans="1:17">
      <c r="A130" s="28">
        <v>41149</v>
      </c>
      <c r="B130" s="29">
        <v>84859.65</v>
      </c>
      <c r="C130" s="29">
        <v>692.87</v>
      </c>
      <c r="D130" s="29">
        <v>16567.87</v>
      </c>
      <c r="E130" s="29">
        <v>454.92</v>
      </c>
      <c r="F130" s="29">
        <v>11601.94</v>
      </c>
      <c r="G130" s="29">
        <v>108989.68</v>
      </c>
      <c r="H130" s="29">
        <v>383299.34</v>
      </c>
      <c r="I130" s="29">
        <v>82738.559999999998</v>
      </c>
      <c r="J130" s="29">
        <v>184258.22</v>
      </c>
      <c r="K130" s="29">
        <v>225266.77</v>
      </c>
      <c r="L130" s="29">
        <v>4805.75</v>
      </c>
      <c r="M130" s="29">
        <v>875593.55</v>
      </c>
      <c r="N130" s="29">
        <v>501356.52</v>
      </c>
      <c r="O130" s="29">
        <v>98713.54</v>
      </c>
      <c r="P130" s="29">
        <v>10197.700000000001</v>
      </c>
      <c r="Q130" s="30"/>
    </row>
    <row r="131" spans="1:17">
      <c r="A131" s="28">
        <v>41118</v>
      </c>
      <c r="B131" s="29">
        <v>86743.2</v>
      </c>
      <c r="C131" s="29">
        <v>717.85</v>
      </c>
      <c r="D131" s="29">
        <v>18664.68</v>
      </c>
      <c r="E131" s="29">
        <v>456.9</v>
      </c>
      <c r="F131" s="29">
        <v>11740.23</v>
      </c>
      <c r="G131" s="29">
        <v>107844</v>
      </c>
      <c r="H131" s="29">
        <v>383138.01</v>
      </c>
      <c r="I131" s="29">
        <v>83136.399999999994</v>
      </c>
      <c r="J131" s="29">
        <v>183101.41</v>
      </c>
      <c r="K131" s="29">
        <v>227973.29</v>
      </c>
      <c r="L131" s="29">
        <v>4921.2299999999996</v>
      </c>
      <c r="M131" s="29">
        <v>884198.04</v>
      </c>
      <c r="N131" s="29">
        <v>503066.62</v>
      </c>
      <c r="O131" s="29">
        <v>98856.99</v>
      </c>
      <c r="P131" s="29">
        <v>10222.07</v>
      </c>
      <c r="Q131" s="30"/>
    </row>
    <row r="132" spans="1:17">
      <c r="A132" s="28">
        <v>41088</v>
      </c>
      <c r="B132" s="29">
        <v>86371.67</v>
      </c>
      <c r="C132" s="29">
        <v>718.56</v>
      </c>
      <c r="D132" s="29">
        <v>17742.439999999999</v>
      </c>
      <c r="E132" s="29">
        <v>492.85</v>
      </c>
      <c r="F132" s="29">
        <v>11495.1</v>
      </c>
      <c r="G132" s="29">
        <v>111409.25</v>
      </c>
      <c r="H132" s="29">
        <v>389582.02</v>
      </c>
      <c r="I132" s="29">
        <v>83385.81</v>
      </c>
      <c r="J132" s="29">
        <v>181653.48</v>
      </c>
      <c r="K132" s="29">
        <v>213118</v>
      </c>
      <c r="L132" s="29">
        <v>5323.03</v>
      </c>
      <c r="M132" s="29">
        <v>883203.07</v>
      </c>
      <c r="N132" s="29">
        <v>505427.91</v>
      </c>
      <c r="O132" s="29">
        <v>99128.86</v>
      </c>
      <c r="P132" s="29">
        <v>10187.370000000001</v>
      </c>
      <c r="Q132" s="30"/>
    </row>
    <row r="133" spans="1:17">
      <c r="A133" s="28">
        <v>41057</v>
      </c>
      <c r="B133" s="29">
        <v>80703.710000000006</v>
      </c>
      <c r="C133" s="29">
        <v>730.49</v>
      </c>
      <c r="D133" s="29">
        <v>17440.46</v>
      </c>
      <c r="E133" s="29">
        <v>481.52</v>
      </c>
      <c r="F133" s="29">
        <v>11296.41</v>
      </c>
      <c r="G133" s="29">
        <v>111835.12</v>
      </c>
      <c r="H133" s="29">
        <v>385569</v>
      </c>
      <c r="I133" s="29">
        <v>83656.31</v>
      </c>
      <c r="J133" s="29">
        <v>182472.18</v>
      </c>
      <c r="K133" s="29">
        <v>205324.74</v>
      </c>
      <c r="L133" s="29">
        <v>5298.83</v>
      </c>
      <c r="M133" s="29">
        <v>887140.69</v>
      </c>
      <c r="N133" s="29">
        <v>505222.24</v>
      </c>
      <c r="O133" s="29">
        <v>99703.01</v>
      </c>
      <c r="P133" s="29">
        <v>10198.83</v>
      </c>
      <c r="Q133" s="30"/>
    </row>
    <row r="134" spans="1:17">
      <c r="A134" s="28">
        <v>41027</v>
      </c>
      <c r="B134" s="29">
        <v>81872.210000000006</v>
      </c>
      <c r="C134" s="29">
        <v>737.53</v>
      </c>
      <c r="D134" s="29">
        <v>17061.97</v>
      </c>
      <c r="E134" s="29">
        <v>471.97</v>
      </c>
      <c r="F134" s="29">
        <v>11327.28</v>
      </c>
      <c r="G134" s="29">
        <v>101850.92</v>
      </c>
      <c r="H134" s="29">
        <v>388879</v>
      </c>
      <c r="I134" s="29">
        <v>84088.75</v>
      </c>
      <c r="J134" s="29">
        <v>183628.29</v>
      </c>
      <c r="K134" s="29">
        <v>204236.17</v>
      </c>
      <c r="L134" s="29">
        <v>5286.63</v>
      </c>
      <c r="M134" s="29">
        <v>890351.77</v>
      </c>
      <c r="N134" s="29">
        <v>504467.56</v>
      </c>
      <c r="O134" s="29">
        <v>99918.34</v>
      </c>
      <c r="P134" s="29">
        <v>10155.16</v>
      </c>
      <c r="Q134" s="30"/>
    </row>
    <row r="135" spans="1:17">
      <c r="A135" s="28">
        <v>40996</v>
      </c>
      <c r="B135" s="29">
        <v>81998.16</v>
      </c>
      <c r="C135" s="29">
        <v>688.19</v>
      </c>
      <c r="D135" s="29">
        <v>16849.580000000002</v>
      </c>
      <c r="E135" s="29">
        <v>471.93</v>
      </c>
      <c r="F135" s="29">
        <v>10331.36</v>
      </c>
      <c r="G135" s="29">
        <v>102237.04</v>
      </c>
      <c r="H135" s="29">
        <v>383218</v>
      </c>
      <c r="I135" s="29">
        <v>83002.77</v>
      </c>
      <c r="J135" s="29">
        <v>184589.84</v>
      </c>
      <c r="K135" s="29">
        <v>208470.43</v>
      </c>
      <c r="L135" s="29">
        <v>5612.12</v>
      </c>
      <c r="M135" s="29">
        <v>884376.34</v>
      </c>
      <c r="N135" s="29">
        <v>505063.51</v>
      </c>
      <c r="O135" s="29">
        <v>99876.49</v>
      </c>
      <c r="P135" s="29">
        <v>10233.86</v>
      </c>
      <c r="Q135" s="30"/>
    </row>
    <row r="136" spans="1:17">
      <c r="A136" s="28">
        <v>40967</v>
      </c>
      <c r="B136" s="29">
        <v>76335.44</v>
      </c>
      <c r="C136" s="29">
        <v>700.29</v>
      </c>
      <c r="D136" s="29">
        <v>16743.669999999998</v>
      </c>
      <c r="E136" s="29">
        <v>461.17</v>
      </c>
      <c r="F136" s="29">
        <v>10618.21</v>
      </c>
      <c r="G136" s="29">
        <v>97934.26</v>
      </c>
      <c r="H136" s="29">
        <v>380711</v>
      </c>
      <c r="I136" s="29">
        <v>83436.78</v>
      </c>
      <c r="J136" s="29">
        <v>173862.92</v>
      </c>
      <c r="K136" s="29">
        <v>192567.25</v>
      </c>
      <c r="L136" s="29">
        <v>5803.77</v>
      </c>
      <c r="M136" s="29">
        <v>895151.4</v>
      </c>
      <c r="N136" s="29">
        <v>504670.13</v>
      </c>
      <c r="O136" s="29">
        <v>100804.33</v>
      </c>
      <c r="P136" s="29">
        <v>10334.620000000001</v>
      </c>
      <c r="Q136" s="30"/>
    </row>
    <row r="137" spans="1:17">
      <c r="A137" s="28">
        <v>40936</v>
      </c>
      <c r="B137" s="29">
        <v>75162.710000000006</v>
      </c>
      <c r="C137" s="29">
        <v>699.32</v>
      </c>
      <c r="D137" s="29">
        <v>16703.12</v>
      </c>
      <c r="E137" s="29">
        <v>474.51</v>
      </c>
      <c r="F137" s="29">
        <v>10770.38</v>
      </c>
      <c r="G137" s="29">
        <v>98675.23</v>
      </c>
      <c r="H137" s="29">
        <v>389733</v>
      </c>
      <c r="I137" s="29">
        <v>83389.2</v>
      </c>
      <c r="J137" s="29">
        <v>171158.83</v>
      </c>
      <c r="K137" s="29">
        <v>201439.84</v>
      </c>
      <c r="L137" s="29">
        <v>5870.53</v>
      </c>
      <c r="M137" s="29">
        <v>898933.95</v>
      </c>
      <c r="N137" s="29">
        <v>505852.4</v>
      </c>
      <c r="O137" s="29">
        <v>101262.69</v>
      </c>
      <c r="P137" s="29">
        <v>10274.06</v>
      </c>
      <c r="Q137" s="30"/>
    </row>
    <row r="138" spans="1:17">
      <c r="A138" s="28">
        <v>40905</v>
      </c>
      <c r="B138" s="29">
        <v>84999.13</v>
      </c>
      <c r="C138" s="29">
        <v>689.27</v>
      </c>
      <c r="D138" s="29">
        <v>17158.52</v>
      </c>
      <c r="E138" s="29">
        <v>477.84</v>
      </c>
      <c r="F138" s="29">
        <v>11022.3</v>
      </c>
      <c r="G138" s="29">
        <v>100093.85</v>
      </c>
      <c r="H138" s="29">
        <v>402276</v>
      </c>
      <c r="I138" s="29">
        <v>82322.490000000005</v>
      </c>
      <c r="J138" s="29">
        <v>175150.27</v>
      </c>
      <c r="K138" s="29">
        <v>196672.94</v>
      </c>
      <c r="L138" s="29">
        <v>6071.19</v>
      </c>
      <c r="M138" s="29">
        <v>893577.12</v>
      </c>
      <c r="N138" s="29">
        <v>507196.92</v>
      </c>
      <c r="O138" s="29">
        <v>101175.81</v>
      </c>
      <c r="P138" s="29">
        <v>10126.33</v>
      </c>
      <c r="Q138" s="30"/>
    </row>
    <row r="139" spans="1:17">
      <c r="A139" s="28">
        <v>40875</v>
      </c>
      <c r="B139" s="29">
        <v>80341.41</v>
      </c>
      <c r="C139" s="29">
        <v>696.51</v>
      </c>
      <c r="D139" s="29">
        <v>17325.919999999998</v>
      </c>
      <c r="E139" s="29">
        <v>485.85</v>
      </c>
      <c r="F139" s="29">
        <v>11593.93</v>
      </c>
      <c r="G139" s="29">
        <v>94527.34</v>
      </c>
      <c r="H139" s="29">
        <v>413900.12</v>
      </c>
      <c r="I139" s="29">
        <v>84646.080000000002</v>
      </c>
      <c r="J139" s="29">
        <v>172459.5</v>
      </c>
      <c r="K139" s="29">
        <v>186690.38</v>
      </c>
      <c r="L139" s="29">
        <v>6210.28</v>
      </c>
      <c r="M139" s="29">
        <v>914847.95</v>
      </c>
      <c r="N139" s="29">
        <v>506335.05</v>
      </c>
      <c r="O139" s="29">
        <v>102011.89</v>
      </c>
      <c r="P139" s="29">
        <v>10164.17</v>
      </c>
      <c r="Q139" s="30"/>
    </row>
    <row r="140" spans="1:17">
      <c r="A140" s="28">
        <v>40844</v>
      </c>
      <c r="B140" s="29">
        <v>84332.05</v>
      </c>
      <c r="C140" s="29">
        <v>625.55999999999995</v>
      </c>
      <c r="D140" s="29">
        <v>17626.580000000002</v>
      </c>
      <c r="E140" s="29">
        <v>481.38</v>
      </c>
      <c r="F140" s="29">
        <v>11671.29</v>
      </c>
      <c r="G140" s="29">
        <v>93552.11</v>
      </c>
      <c r="H140" s="29">
        <v>406582.06</v>
      </c>
      <c r="I140" s="29">
        <v>84671.18</v>
      </c>
      <c r="J140" s="29">
        <v>172754.52</v>
      </c>
      <c r="K140" s="29">
        <v>197461.72</v>
      </c>
      <c r="L140" s="29">
        <v>6293.92</v>
      </c>
      <c r="M140" s="29">
        <v>905951.54</v>
      </c>
      <c r="N140" s="29">
        <v>504695.25</v>
      </c>
      <c r="O140" s="29">
        <v>101443.97</v>
      </c>
      <c r="P140" s="29">
        <v>10076.950000000001</v>
      </c>
      <c r="Q140" s="30"/>
    </row>
    <row r="141" spans="1:17">
      <c r="A141" s="28">
        <v>40814</v>
      </c>
      <c r="B141" s="29">
        <v>85018.81</v>
      </c>
      <c r="C141" s="29">
        <v>616.25</v>
      </c>
      <c r="D141" s="29">
        <v>16973.080000000002</v>
      </c>
      <c r="E141" s="29">
        <v>472.46</v>
      </c>
      <c r="F141" s="29">
        <v>11501.58</v>
      </c>
      <c r="G141" s="29">
        <v>95210.07</v>
      </c>
      <c r="H141" s="29">
        <v>404309.77</v>
      </c>
      <c r="I141" s="29">
        <v>84333.49</v>
      </c>
      <c r="J141" s="29">
        <v>173726.93</v>
      </c>
      <c r="K141" s="29">
        <v>197809.05</v>
      </c>
      <c r="L141" s="29">
        <v>6258.34</v>
      </c>
      <c r="M141" s="29">
        <v>908658.64</v>
      </c>
      <c r="N141" s="29">
        <v>503366.87</v>
      </c>
      <c r="O141" s="29">
        <v>101645.94</v>
      </c>
      <c r="P141" s="29">
        <v>10038.85</v>
      </c>
      <c r="Q141" s="30"/>
    </row>
    <row r="142" spans="1:17">
      <c r="A142" s="28">
        <v>40783</v>
      </c>
      <c r="B142" s="29">
        <v>71183.100000000006</v>
      </c>
      <c r="C142" s="29">
        <v>621.19000000000005</v>
      </c>
      <c r="D142" s="29">
        <v>16695.400000000001</v>
      </c>
      <c r="E142" s="29">
        <v>469.64</v>
      </c>
      <c r="F142" s="29">
        <v>11095.7</v>
      </c>
      <c r="G142" s="29">
        <v>91008.21</v>
      </c>
      <c r="H142" s="29">
        <v>378375.61</v>
      </c>
      <c r="I142" s="29">
        <v>84234.25</v>
      </c>
      <c r="J142" s="29">
        <v>174664.12</v>
      </c>
      <c r="K142" s="29">
        <v>191596.25</v>
      </c>
      <c r="L142" s="29">
        <v>6465.62</v>
      </c>
      <c r="M142" s="29">
        <v>900370.78</v>
      </c>
      <c r="N142" s="29">
        <v>501561.98</v>
      </c>
      <c r="O142" s="29">
        <v>101222.73</v>
      </c>
      <c r="P142" s="29">
        <v>10018.52</v>
      </c>
      <c r="Q142" s="30"/>
    </row>
    <row r="143" spans="1:17">
      <c r="A143" s="28">
        <v>40752</v>
      </c>
      <c r="B143" s="29">
        <v>73083.8</v>
      </c>
      <c r="C143" s="29">
        <v>611.15</v>
      </c>
      <c r="D143" s="29">
        <v>18072.919999999998</v>
      </c>
      <c r="E143" s="29">
        <v>484.06</v>
      </c>
      <c r="F143" s="29">
        <v>11026.82</v>
      </c>
      <c r="G143" s="29">
        <v>87549.41</v>
      </c>
      <c r="H143" s="29">
        <v>377933.05</v>
      </c>
      <c r="I143" s="29">
        <v>85481.38</v>
      </c>
      <c r="J143" s="29">
        <v>175307.32</v>
      </c>
      <c r="K143" s="29">
        <v>191398</v>
      </c>
      <c r="L143" s="29">
        <v>6514.46</v>
      </c>
      <c r="M143" s="29">
        <v>900250.98</v>
      </c>
      <c r="N143" s="29">
        <v>502409.03</v>
      </c>
      <c r="O143" s="29">
        <v>100515.36</v>
      </c>
      <c r="P143" s="29">
        <v>9992.93</v>
      </c>
      <c r="Q143" s="30"/>
    </row>
    <row r="144" spans="1:17">
      <c r="A144" s="28">
        <v>40722</v>
      </c>
      <c r="B144" s="29">
        <v>68242.06</v>
      </c>
      <c r="C144" s="29">
        <v>611.47</v>
      </c>
      <c r="D144" s="29">
        <v>19535.849999999999</v>
      </c>
      <c r="E144" s="29">
        <v>474.15</v>
      </c>
      <c r="F144" s="29">
        <v>11065.94</v>
      </c>
      <c r="G144" s="29">
        <v>84180.36</v>
      </c>
      <c r="H144" s="29">
        <v>373054.21</v>
      </c>
      <c r="I144" s="29">
        <v>84258.38</v>
      </c>
      <c r="J144" s="29">
        <v>179352.18</v>
      </c>
      <c r="K144" s="29">
        <v>200283.67</v>
      </c>
      <c r="L144" s="29">
        <v>6612</v>
      </c>
      <c r="M144" s="29">
        <v>903073.92</v>
      </c>
      <c r="N144" s="29">
        <v>499359.42</v>
      </c>
      <c r="O144" s="29">
        <v>101347.62</v>
      </c>
      <c r="P144" s="29">
        <v>9855.32</v>
      </c>
      <c r="Q144" s="30"/>
    </row>
    <row r="145" spans="1:17">
      <c r="A145" s="28">
        <v>40691</v>
      </c>
      <c r="B145" s="29">
        <v>67666.84</v>
      </c>
      <c r="C145" s="29">
        <v>570.94000000000005</v>
      </c>
      <c r="D145" s="29">
        <v>18918.87</v>
      </c>
      <c r="E145" s="29">
        <v>474.56</v>
      </c>
      <c r="F145" s="29">
        <v>10770.99</v>
      </c>
      <c r="G145" s="29">
        <v>83076.289999999994</v>
      </c>
      <c r="H145" s="29">
        <v>385225.22</v>
      </c>
      <c r="I145" s="29">
        <v>85975.61</v>
      </c>
      <c r="J145" s="29">
        <v>177355.54</v>
      </c>
      <c r="K145" s="29">
        <v>197624.51</v>
      </c>
      <c r="L145" s="29">
        <v>6707.11</v>
      </c>
      <c r="M145" s="29">
        <v>897911.33</v>
      </c>
      <c r="N145" s="29">
        <v>497180.75</v>
      </c>
      <c r="O145" s="29">
        <v>101125.06</v>
      </c>
      <c r="P145" s="29">
        <v>9822.2000000000007</v>
      </c>
      <c r="Q145" s="30"/>
    </row>
    <row r="146" spans="1:17">
      <c r="A146" s="28">
        <v>40661</v>
      </c>
      <c r="B146" s="29">
        <v>72932.63</v>
      </c>
      <c r="C146" s="29">
        <v>572.96</v>
      </c>
      <c r="D146" s="29">
        <v>21083.97</v>
      </c>
      <c r="E146" s="29">
        <v>476.08</v>
      </c>
      <c r="F146" s="29">
        <v>10840.52</v>
      </c>
      <c r="G146" s="29">
        <v>80631.73</v>
      </c>
      <c r="H146" s="29">
        <v>381028.96</v>
      </c>
      <c r="I146" s="29">
        <v>85306.76</v>
      </c>
      <c r="J146" s="29">
        <v>177237.68</v>
      </c>
      <c r="K146" s="29">
        <v>201467.29</v>
      </c>
      <c r="L146" s="29">
        <v>6673.99</v>
      </c>
      <c r="M146" s="29">
        <v>885509.8</v>
      </c>
      <c r="N146" s="29">
        <v>494825.74</v>
      </c>
      <c r="O146" s="29">
        <v>100304.79</v>
      </c>
      <c r="P146" s="29">
        <v>9744.15</v>
      </c>
      <c r="Q146" s="30"/>
    </row>
    <row r="147" spans="1:17">
      <c r="A147" s="28">
        <v>40630</v>
      </c>
      <c r="B147" s="29">
        <v>73199.5</v>
      </c>
      <c r="C147" s="29">
        <v>535.4</v>
      </c>
      <c r="D147" s="29">
        <v>24868.78</v>
      </c>
      <c r="E147" s="29">
        <v>467.31</v>
      </c>
      <c r="F147" s="29">
        <v>11460.95</v>
      </c>
      <c r="G147" s="29">
        <v>80961.399999999994</v>
      </c>
      <c r="H147" s="29">
        <v>377939.65</v>
      </c>
      <c r="I147" s="29">
        <v>83843.88</v>
      </c>
      <c r="J147" s="29">
        <v>177425.01</v>
      </c>
      <c r="K147" s="29">
        <v>202297.63</v>
      </c>
      <c r="L147" s="29">
        <v>6906.94</v>
      </c>
      <c r="M147" s="29">
        <v>891790.04</v>
      </c>
      <c r="N147" s="29">
        <v>492375.2</v>
      </c>
      <c r="O147" s="29">
        <v>100926.53</v>
      </c>
      <c r="P147" s="29">
        <v>9906.2199999999993</v>
      </c>
      <c r="Q147" s="30"/>
    </row>
    <row r="148" spans="1:17">
      <c r="A148" s="28">
        <v>40602</v>
      </c>
      <c r="B148" s="29">
        <v>72944.649999999994</v>
      </c>
      <c r="C148" s="29">
        <v>490.31</v>
      </c>
      <c r="D148" s="29">
        <v>21251.59</v>
      </c>
      <c r="E148" s="29">
        <v>484.86</v>
      </c>
      <c r="F148" s="29">
        <v>11798.02</v>
      </c>
      <c r="G148" s="29">
        <v>77723.570000000007</v>
      </c>
      <c r="H148" s="29">
        <v>381747.33</v>
      </c>
      <c r="I148" s="29">
        <v>84244.35</v>
      </c>
      <c r="J148" s="29">
        <v>177110</v>
      </c>
      <c r="K148" s="29">
        <v>213711.2</v>
      </c>
      <c r="L148" s="29">
        <v>7214.06</v>
      </c>
      <c r="M148" s="29">
        <v>894320.54</v>
      </c>
      <c r="N148" s="29">
        <v>489188.7</v>
      </c>
      <c r="O148" s="29">
        <v>100773.6</v>
      </c>
      <c r="P148" s="29">
        <v>9849.69</v>
      </c>
      <c r="Q148" s="30"/>
    </row>
    <row r="149" spans="1:17">
      <c r="A149" s="28">
        <v>40571</v>
      </c>
      <c r="B149" s="29">
        <v>72741.55</v>
      </c>
      <c r="C149" s="29">
        <v>490.26</v>
      </c>
      <c r="D149" s="29">
        <v>21923.88</v>
      </c>
      <c r="E149" s="29">
        <v>497.3</v>
      </c>
      <c r="F149" s="29">
        <v>11532.86</v>
      </c>
      <c r="G149" s="29">
        <v>79039.62</v>
      </c>
      <c r="H149" s="29">
        <v>374395.95</v>
      </c>
      <c r="I149" s="29">
        <v>83571.539999999994</v>
      </c>
      <c r="J149" s="29">
        <v>178314</v>
      </c>
      <c r="K149" s="29">
        <v>209727.55</v>
      </c>
      <c r="L149" s="29">
        <v>7360.39</v>
      </c>
      <c r="M149" s="29">
        <v>890803.36</v>
      </c>
      <c r="N149" s="29">
        <v>488654.55</v>
      </c>
      <c r="O149" s="29">
        <v>99654.09</v>
      </c>
      <c r="P149" s="29">
        <v>9716.59</v>
      </c>
      <c r="Q149" s="30"/>
    </row>
    <row r="150" spans="1:17">
      <c r="A150" s="28">
        <v>40540</v>
      </c>
      <c r="B150" s="29">
        <v>72450.06</v>
      </c>
      <c r="C150" s="29">
        <v>465.54</v>
      </c>
      <c r="D150" s="29">
        <v>22151.41</v>
      </c>
      <c r="E150" s="29">
        <v>504.33</v>
      </c>
      <c r="F150" s="29">
        <v>11718.36</v>
      </c>
      <c r="G150" s="29">
        <v>75019.34</v>
      </c>
      <c r="H150" s="29">
        <v>372549.06</v>
      </c>
      <c r="I150" s="29">
        <v>80602</v>
      </c>
      <c r="J150" s="29">
        <v>178264.79</v>
      </c>
      <c r="K150" s="29">
        <v>219840.69</v>
      </c>
      <c r="L150" s="29">
        <v>7481.02</v>
      </c>
      <c r="M150" s="29">
        <v>867122.34</v>
      </c>
      <c r="N150" s="29">
        <v>483717.23</v>
      </c>
      <c r="O150" s="29">
        <v>99410.21</v>
      </c>
      <c r="P150" s="29">
        <v>9440.2999999999993</v>
      </c>
      <c r="Q150" s="30"/>
    </row>
    <row r="151" spans="1:17">
      <c r="A151" s="28">
        <v>40510</v>
      </c>
      <c r="B151" s="29">
        <v>67342.27</v>
      </c>
      <c r="C151" s="29">
        <v>413.46</v>
      </c>
      <c r="D151" s="29">
        <v>22185.67</v>
      </c>
      <c r="E151" s="29">
        <v>495.87</v>
      </c>
      <c r="F151" s="29">
        <v>11189.26</v>
      </c>
      <c r="G151" s="29">
        <v>73935.05</v>
      </c>
      <c r="H151" s="29">
        <v>378326.65</v>
      </c>
      <c r="I151" s="29">
        <v>82097.03</v>
      </c>
      <c r="J151" s="29">
        <v>174755.68</v>
      </c>
      <c r="K151" s="29">
        <v>209810.42</v>
      </c>
      <c r="L151" s="29">
        <v>8302.0300000000007</v>
      </c>
      <c r="M151" s="29">
        <v>872688.85</v>
      </c>
      <c r="N151" s="29">
        <v>483421.88</v>
      </c>
      <c r="O151" s="29">
        <v>97119.15</v>
      </c>
      <c r="P151" s="29">
        <v>9595.7800000000007</v>
      </c>
      <c r="Q151" s="30"/>
    </row>
    <row r="152" spans="1:17">
      <c r="A152" s="28">
        <v>40479</v>
      </c>
      <c r="B152" s="29">
        <v>67516.149999999994</v>
      </c>
      <c r="C152" s="29">
        <v>413.4</v>
      </c>
      <c r="D152" s="29">
        <v>21960.2</v>
      </c>
      <c r="E152" s="29">
        <v>462.54</v>
      </c>
      <c r="F152" s="29">
        <v>10877.98</v>
      </c>
      <c r="G152" s="29">
        <v>75892.990000000005</v>
      </c>
      <c r="H152" s="29">
        <v>526424.94999999995</v>
      </c>
      <c r="I152" s="29">
        <v>82354.009999999995</v>
      </c>
      <c r="J152" s="29">
        <v>171761.67</v>
      </c>
      <c r="K152" s="29">
        <v>201836.92</v>
      </c>
      <c r="L152" s="29">
        <v>8168.46</v>
      </c>
      <c r="M152" s="29">
        <v>856142.55</v>
      </c>
      <c r="N152" s="29">
        <v>478955.58</v>
      </c>
      <c r="O152" s="29">
        <v>97065.14</v>
      </c>
      <c r="P152" s="29">
        <v>9096.65</v>
      </c>
      <c r="Q152" s="30"/>
    </row>
    <row r="153" spans="1:17">
      <c r="A153" s="28">
        <v>40449</v>
      </c>
      <c r="B153" s="29">
        <v>68654.8</v>
      </c>
      <c r="C153" s="29">
        <v>424.04</v>
      </c>
      <c r="D153" s="29">
        <v>21371.34</v>
      </c>
      <c r="E153" s="29">
        <v>447.89</v>
      </c>
      <c r="F153" s="29">
        <v>11523.06</v>
      </c>
      <c r="G153" s="29">
        <v>75921.759999999995</v>
      </c>
      <c r="H153" s="29">
        <v>528871.87</v>
      </c>
      <c r="I153" s="29">
        <v>83383.199999999997</v>
      </c>
      <c r="J153" s="29">
        <v>171697.04</v>
      </c>
      <c r="K153" s="29">
        <v>208466.35</v>
      </c>
      <c r="L153" s="29">
        <v>8636.5400000000009</v>
      </c>
      <c r="M153" s="29">
        <v>863351.96</v>
      </c>
      <c r="N153" s="29">
        <v>476516</v>
      </c>
      <c r="O153" s="29">
        <v>97448.61</v>
      </c>
      <c r="P153" s="29">
        <v>8963.17</v>
      </c>
      <c r="Q153" s="30"/>
    </row>
    <row r="154" spans="1:17">
      <c r="A154" s="28">
        <v>40418</v>
      </c>
      <c r="B154" s="29">
        <v>71120.38</v>
      </c>
      <c r="C154" s="29">
        <v>423.97</v>
      </c>
      <c r="D154" s="29">
        <v>20233.18</v>
      </c>
      <c r="E154" s="29">
        <v>448.03</v>
      </c>
      <c r="F154" s="29">
        <v>11095.01</v>
      </c>
      <c r="G154" s="29">
        <v>77338.14</v>
      </c>
      <c r="H154" s="29">
        <v>527021.38</v>
      </c>
      <c r="I154" s="29">
        <v>83491.77</v>
      </c>
      <c r="J154" s="29">
        <v>169771.88</v>
      </c>
      <c r="K154" s="29">
        <v>197355.9</v>
      </c>
      <c r="L154" s="29">
        <v>8267.01</v>
      </c>
      <c r="M154" s="29">
        <v>857032.34</v>
      </c>
      <c r="N154" s="29">
        <v>475583.81</v>
      </c>
      <c r="O154" s="29">
        <v>95359.95</v>
      </c>
      <c r="P154" s="29">
        <v>8868.4500000000007</v>
      </c>
      <c r="Q154" s="30"/>
    </row>
    <row r="155" spans="1:17">
      <c r="A155" s="28">
        <v>40387</v>
      </c>
      <c r="B155" s="29">
        <v>80615.23</v>
      </c>
      <c r="C155" s="29">
        <v>423.9</v>
      </c>
      <c r="D155" s="29">
        <v>19118.68</v>
      </c>
      <c r="E155" s="29">
        <v>453.75</v>
      </c>
      <c r="F155" s="29">
        <v>11007.22</v>
      </c>
      <c r="G155" s="29">
        <v>72779.759999999995</v>
      </c>
      <c r="H155" s="29">
        <v>535135.81999999995</v>
      </c>
      <c r="I155" s="29">
        <v>83373.8</v>
      </c>
      <c r="J155" s="29">
        <v>169290.38</v>
      </c>
      <c r="K155" s="29">
        <v>193315.71</v>
      </c>
      <c r="L155" s="29">
        <v>8428.09</v>
      </c>
      <c r="M155" s="29">
        <v>856045.37</v>
      </c>
      <c r="N155" s="29">
        <v>476095.73</v>
      </c>
      <c r="O155" s="29">
        <v>94541.95</v>
      </c>
      <c r="P155" s="29">
        <v>8891.41</v>
      </c>
      <c r="Q155" s="30"/>
    </row>
    <row r="156" spans="1:17">
      <c r="A156" s="28">
        <v>40357</v>
      </c>
      <c r="B156" s="29">
        <v>79402.649999999994</v>
      </c>
      <c r="C156" s="29">
        <v>425.13</v>
      </c>
      <c r="D156" s="29">
        <v>20883.97</v>
      </c>
      <c r="E156" s="29">
        <v>454.88</v>
      </c>
      <c r="F156" s="29">
        <v>11551.98</v>
      </c>
      <c r="G156" s="29">
        <v>71899.55</v>
      </c>
      <c r="H156" s="29">
        <v>546638.32999999996</v>
      </c>
      <c r="I156" s="29">
        <v>82531.31</v>
      </c>
      <c r="J156" s="29">
        <v>170178.09</v>
      </c>
      <c r="K156" s="29">
        <v>197913.27</v>
      </c>
      <c r="L156" s="29">
        <v>8222.23</v>
      </c>
      <c r="M156" s="29">
        <v>857058.82</v>
      </c>
      <c r="N156" s="29">
        <v>473146.43</v>
      </c>
      <c r="O156" s="29">
        <v>94546.05</v>
      </c>
      <c r="P156" s="29">
        <v>8746.16</v>
      </c>
      <c r="Q156" s="30"/>
    </row>
    <row r="157" spans="1:17">
      <c r="A157" s="28">
        <v>40326</v>
      </c>
      <c r="B157" s="29">
        <v>87822.11</v>
      </c>
      <c r="C157" s="29">
        <v>411.24</v>
      </c>
      <c r="D157" s="29">
        <v>19664.53</v>
      </c>
      <c r="E157" s="29">
        <v>462.33</v>
      </c>
      <c r="F157" s="29">
        <v>11050.48</v>
      </c>
      <c r="G157" s="29">
        <v>70774.38</v>
      </c>
      <c r="H157" s="29">
        <v>559581.14</v>
      </c>
      <c r="I157" s="29">
        <v>85370.2</v>
      </c>
      <c r="J157" s="29">
        <v>167666.64000000001</v>
      </c>
      <c r="K157" s="29">
        <v>185526.32</v>
      </c>
      <c r="L157" s="29">
        <v>8562.11</v>
      </c>
      <c r="M157" s="29">
        <v>846407.5</v>
      </c>
      <c r="N157" s="29">
        <v>413270.82</v>
      </c>
      <c r="O157" s="29">
        <v>91049.71</v>
      </c>
      <c r="P157" s="29">
        <v>8539.11</v>
      </c>
      <c r="Q157" s="30"/>
    </row>
    <row r="158" spans="1:17">
      <c r="A158" s="28">
        <v>40296</v>
      </c>
      <c r="B158" s="29">
        <v>84754.16</v>
      </c>
      <c r="C158" s="29">
        <v>378.26</v>
      </c>
      <c r="D158" s="29">
        <v>19672.099999999999</v>
      </c>
      <c r="E158" s="29">
        <v>453.8</v>
      </c>
      <c r="F158" s="29">
        <v>11459.32</v>
      </c>
      <c r="G158" s="29">
        <v>68570.789999999994</v>
      </c>
      <c r="H158" s="29">
        <v>551723.49</v>
      </c>
      <c r="I158" s="29">
        <v>84472.639999999999</v>
      </c>
      <c r="J158" s="29">
        <v>169870.9</v>
      </c>
      <c r="K158" s="29">
        <v>193131.36</v>
      </c>
      <c r="L158" s="29">
        <v>8552.4</v>
      </c>
      <c r="M158" s="29">
        <v>838816.35</v>
      </c>
      <c r="N158" s="29">
        <v>408175.3</v>
      </c>
      <c r="O158" s="29">
        <v>90780.65</v>
      </c>
      <c r="P158" s="29">
        <v>8465.6</v>
      </c>
      <c r="Q158" s="30"/>
    </row>
    <row r="159" spans="1:17">
      <c r="A159" s="28">
        <v>40265</v>
      </c>
      <c r="B159" s="29">
        <v>78602.34</v>
      </c>
      <c r="C159" s="29">
        <v>383.48</v>
      </c>
      <c r="D159" s="29">
        <v>21264.02</v>
      </c>
      <c r="E159" s="29">
        <v>457.55</v>
      </c>
      <c r="F159" s="29">
        <v>11623.62</v>
      </c>
      <c r="G159" s="29">
        <v>66279.97</v>
      </c>
      <c r="H159" s="29">
        <v>547038.84</v>
      </c>
      <c r="I159" s="29">
        <v>83968.52</v>
      </c>
      <c r="J159" s="29">
        <v>168684.69</v>
      </c>
      <c r="K159" s="29">
        <v>192446.02</v>
      </c>
      <c r="L159" s="29">
        <v>8521.11</v>
      </c>
      <c r="M159" s="29">
        <v>845604.47</v>
      </c>
      <c r="N159" s="29">
        <v>406273.47</v>
      </c>
      <c r="O159" s="29">
        <v>91368</v>
      </c>
      <c r="P159" s="29">
        <v>8453.58</v>
      </c>
      <c r="Q159" s="30"/>
    </row>
    <row r="160" spans="1:17">
      <c r="A160" s="28">
        <v>40237</v>
      </c>
      <c r="B160" s="29">
        <v>84706.68</v>
      </c>
      <c r="C160" s="29">
        <v>333.41</v>
      </c>
      <c r="D160" s="29">
        <v>19674.68</v>
      </c>
      <c r="E160" s="29">
        <v>438.36</v>
      </c>
      <c r="F160" s="29">
        <v>11636.78</v>
      </c>
      <c r="G160" s="29">
        <v>66062.570000000007</v>
      </c>
      <c r="H160" s="29">
        <v>561171.37</v>
      </c>
      <c r="I160" s="29">
        <v>83738.75</v>
      </c>
      <c r="J160" s="29">
        <v>167587.9</v>
      </c>
      <c r="K160" s="29">
        <v>183954.43</v>
      </c>
      <c r="L160" s="29">
        <v>8591.4500000000007</v>
      </c>
      <c r="M160" s="29">
        <v>846984.16</v>
      </c>
      <c r="N160" s="29">
        <v>402550.47</v>
      </c>
      <c r="O160" s="29">
        <v>91055.39</v>
      </c>
      <c r="P160" s="29">
        <v>8542.91</v>
      </c>
      <c r="Q160" s="30"/>
    </row>
    <row r="161" spans="1:17">
      <c r="A161" s="28">
        <v>40206</v>
      </c>
      <c r="B161" s="29">
        <v>92346.58</v>
      </c>
      <c r="C161" s="29">
        <v>365.07</v>
      </c>
      <c r="D161" s="29">
        <v>19494.77</v>
      </c>
      <c r="E161" s="29">
        <v>436.37</v>
      </c>
      <c r="F161" s="29">
        <v>11656.94</v>
      </c>
      <c r="G161" s="29">
        <v>62822.17</v>
      </c>
      <c r="H161" s="29">
        <v>565843.03</v>
      </c>
      <c r="I161" s="29">
        <v>83416.289999999994</v>
      </c>
      <c r="J161" s="29">
        <v>167997.87</v>
      </c>
      <c r="K161" s="29">
        <v>185722.94</v>
      </c>
      <c r="L161" s="29">
        <v>8445.83</v>
      </c>
      <c r="M161" s="29">
        <v>846444.21</v>
      </c>
      <c r="N161" s="29">
        <v>400129.13</v>
      </c>
      <c r="O161" s="29">
        <v>90758.87</v>
      </c>
      <c r="P161" s="29">
        <v>8491.64</v>
      </c>
      <c r="Q161" s="30"/>
    </row>
    <row r="162" spans="1:17">
      <c r="A162" s="28">
        <v>40175</v>
      </c>
      <c r="B162" s="29">
        <v>79275.31</v>
      </c>
      <c r="C162" s="29">
        <v>367.02</v>
      </c>
      <c r="D162" s="29">
        <v>20438.09</v>
      </c>
      <c r="E162" s="29">
        <v>445.68</v>
      </c>
      <c r="F162" s="29">
        <v>11844.4</v>
      </c>
      <c r="G162" s="29">
        <v>62905.58</v>
      </c>
      <c r="H162" s="29">
        <v>574182.85</v>
      </c>
      <c r="I162" s="29">
        <v>79928.78</v>
      </c>
      <c r="J162" s="29">
        <v>167749.46</v>
      </c>
      <c r="K162" s="29">
        <v>199221.7</v>
      </c>
      <c r="L162" s="29">
        <v>7946.85</v>
      </c>
      <c r="M162" s="29">
        <v>849024.71</v>
      </c>
      <c r="N162" s="29">
        <v>397218.06</v>
      </c>
      <c r="O162" s="29">
        <v>90910.47</v>
      </c>
      <c r="P162" s="29">
        <v>8270.7999999999993</v>
      </c>
      <c r="Q162" s="30"/>
    </row>
    <row r="163" spans="1:17">
      <c r="A163" s="28">
        <v>40145</v>
      </c>
      <c r="B163" s="29">
        <v>93614</v>
      </c>
      <c r="C163" s="29">
        <v>261.27</v>
      </c>
      <c r="D163" s="29">
        <v>21520.85</v>
      </c>
      <c r="E163" s="29">
        <v>426.38</v>
      </c>
      <c r="F163" s="29">
        <v>10612.6</v>
      </c>
      <c r="G163" s="29">
        <v>58236.78</v>
      </c>
      <c r="H163" s="29">
        <v>576267.24</v>
      </c>
      <c r="I163" s="29">
        <v>80915.97</v>
      </c>
      <c r="J163" s="29">
        <v>166326.91</v>
      </c>
      <c r="K163" s="29">
        <v>179209.11</v>
      </c>
      <c r="L163" s="29">
        <v>8231.92</v>
      </c>
      <c r="M163" s="29">
        <v>857791.76</v>
      </c>
      <c r="N163" s="29">
        <v>393623.11</v>
      </c>
      <c r="O163" s="29">
        <v>90754.18</v>
      </c>
      <c r="P163" s="29">
        <v>8515.8700000000008</v>
      </c>
      <c r="Q163" s="30"/>
    </row>
    <row r="164" spans="1:17">
      <c r="A164" s="28">
        <v>40114</v>
      </c>
      <c r="B164" s="29">
        <v>93161.09</v>
      </c>
      <c r="C164" s="29">
        <v>263.61</v>
      </c>
      <c r="D164" s="29">
        <v>22446.81</v>
      </c>
      <c r="E164" s="29">
        <v>424.35</v>
      </c>
      <c r="F164" s="29">
        <v>10544.79</v>
      </c>
      <c r="G164" s="29">
        <v>59644.01</v>
      </c>
      <c r="H164" s="29">
        <v>565895.32999999996</v>
      </c>
      <c r="I164" s="29">
        <v>80680.240000000005</v>
      </c>
      <c r="J164" s="29">
        <v>165421.1</v>
      </c>
      <c r="K164" s="29">
        <v>172061.66</v>
      </c>
      <c r="L164" s="29">
        <v>8097.1</v>
      </c>
      <c r="M164" s="29">
        <v>848501.2</v>
      </c>
      <c r="N164" s="29">
        <v>388984.55</v>
      </c>
      <c r="O164" s="29">
        <v>89635.61</v>
      </c>
      <c r="P164" s="29">
        <v>8375.9500000000007</v>
      </c>
      <c r="Q164" s="30"/>
    </row>
    <row r="165" spans="1:17">
      <c r="A165" s="28">
        <v>40084</v>
      </c>
      <c r="B165" s="29">
        <v>92330.09</v>
      </c>
      <c r="C165" s="29">
        <v>263.83</v>
      </c>
      <c r="D165" s="29">
        <v>23981.54</v>
      </c>
      <c r="E165" s="29">
        <v>504.29</v>
      </c>
      <c r="F165" s="29">
        <v>10863.94</v>
      </c>
      <c r="G165" s="29">
        <v>57287.94</v>
      </c>
      <c r="H165" s="29">
        <v>555284.27</v>
      </c>
      <c r="I165" s="29">
        <v>80301.440000000002</v>
      </c>
      <c r="J165" s="29">
        <v>163599.74</v>
      </c>
      <c r="K165" s="29">
        <v>176467.64</v>
      </c>
      <c r="L165" s="29">
        <v>8086</v>
      </c>
      <c r="M165" s="29">
        <v>856525.92</v>
      </c>
      <c r="N165" s="29">
        <v>385148.4</v>
      </c>
      <c r="O165" s="29">
        <v>89865.36</v>
      </c>
      <c r="P165" s="29">
        <v>8271.98</v>
      </c>
      <c r="Q165" s="30"/>
    </row>
    <row r="166" spans="1:17">
      <c r="A166" s="28">
        <v>40053</v>
      </c>
      <c r="B166" s="29">
        <v>93883.4</v>
      </c>
      <c r="C166" s="29">
        <v>162.97999999999999</v>
      </c>
      <c r="D166" s="29">
        <v>23869</v>
      </c>
      <c r="E166" s="29">
        <v>492.94</v>
      </c>
      <c r="F166" s="29">
        <v>11026.68</v>
      </c>
      <c r="G166" s="29">
        <v>55300.06</v>
      </c>
      <c r="H166" s="29">
        <v>549293.56999999995</v>
      </c>
      <c r="I166" s="29">
        <v>80094.03</v>
      </c>
      <c r="J166" s="29">
        <v>162717.4</v>
      </c>
      <c r="K166" s="29">
        <v>173929.78</v>
      </c>
      <c r="L166" s="29">
        <v>7983.35</v>
      </c>
      <c r="M166" s="29">
        <v>856736.85</v>
      </c>
      <c r="N166" s="29">
        <v>382130.96</v>
      </c>
      <c r="O166" s="29">
        <v>89256.55</v>
      </c>
      <c r="P166" s="29">
        <v>8199.43</v>
      </c>
      <c r="Q166" s="30"/>
    </row>
    <row r="167" spans="1:17">
      <c r="A167" s="28">
        <v>40022</v>
      </c>
      <c r="B167" s="29">
        <v>99326.28</v>
      </c>
      <c r="C167" s="29">
        <v>137.91</v>
      </c>
      <c r="D167" s="29">
        <v>22018.59</v>
      </c>
      <c r="E167" s="29">
        <v>491.22</v>
      </c>
      <c r="F167" s="29">
        <v>11106.12</v>
      </c>
      <c r="G167" s="29">
        <v>59988.63</v>
      </c>
      <c r="H167" s="29">
        <v>551888.18999999994</v>
      </c>
      <c r="I167" s="29">
        <v>79920.399999999994</v>
      </c>
      <c r="J167" s="29">
        <v>162140.42000000001</v>
      </c>
      <c r="K167" s="29">
        <v>179592.27</v>
      </c>
      <c r="L167" s="29">
        <v>8114.22</v>
      </c>
      <c r="M167" s="29">
        <v>863440.44</v>
      </c>
      <c r="N167" s="29">
        <v>382442.4</v>
      </c>
      <c r="O167" s="29">
        <v>88996.66</v>
      </c>
      <c r="P167" s="29">
        <v>8338.1299999999992</v>
      </c>
      <c r="Q167" s="30"/>
    </row>
    <row r="168" spans="1:17">
      <c r="A168" s="28">
        <v>39992</v>
      </c>
      <c r="B168" s="29">
        <v>104195.55</v>
      </c>
      <c r="C168" s="29">
        <v>138.11000000000001</v>
      </c>
      <c r="D168" s="29">
        <v>20340.05</v>
      </c>
      <c r="E168" s="29">
        <v>494.16</v>
      </c>
      <c r="F168" s="29">
        <v>11114.83</v>
      </c>
      <c r="G168" s="29">
        <v>60089.09</v>
      </c>
      <c r="H168" s="29">
        <v>565640.68000000005</v>
      </c>
      <c r="I168" s="29">
        <v>79648.66</v>
      </c>
      <c r="J168" s="29">
        <v>170502.29</v>
      </c>
      <c r="K168" s="29">
        <v>178830.69</v>
      </c>
      <c r="L168" s="29">
        <v>8186.12</v>
      </c>
      <c r="M168" s="29">
        <v>864263.99</v>
      </c>
      <c r="N168" s="29">
        <v>383026.15</v>
      </c>
      <c r="O168" s="29">
        <v>89975.35</v>
      </c>
      <c r="P168" s="29">
        <v>8482.33</v>
      </c>
      <c r="Q168" s="30"/>
    </row>
    <row r="169" spans="1:17">
      <c r="A169" s="28">
        <v>39961</v>
      </c>
      <c r="B169" s="29">
        <v>104864.39</v>
      </c>
      <c r="C169" s="29">
        <v>129.28</v>
      </c>
      <c r="D169" s="29">
        <v>20985.55</v>
      </c>
      <c r="E169" s="29">
        <v>490.54</v>
      </c>
      <c r="F169" s="29">
        <v>11260.98</v>
      </c>
      <c r="G169" s="29">
        <v>60356.25</v>
      </c>
      <c r="H169" s="29">
        <v>571763.66</v>
      </c>
      <c r="I169" s="29">
        <v>80113.3</v>
      </c>
      <c r="J169" s="29">
        <v>164571.96</v>
      </c>
      <c r="K169" s="29">
        <v>172326.95</v>
      </c>
      <c r="L169" s="29">
        <v>8209.84</v>
      </c>
      <c r="M169" s="29">
        <v>859371.11</v>
      </c>
      <c r="N169" s="29">
        <v>377635.42</v>
      </c>
      <c r="O169" s="29">
        <v>89641.48</v>
      </c>
      <c r="P169" s="29">
        <v>8272.51</v>
      </c>
      <c r="Q169" s="30"/>
    </row>
    <row r="170" spans="1:17">
      <c r="A170" s="28">
        <v>39931</v>
      </c>
      <c r="B170" s="29">
        <v>117666.32</v>
      </c>
      <c r="C170" s="29">
        <v>136.35</v>
      </c>
      <c r="D170" s="29">
        <v>20353.23</v>
      </c>
      <c r="E170" s="29">
        <v>494.11</v>
      </c>
      <c r="F170" s="29">
        <v>11291.2</v>
      </c>
      <c r="G170" s="29">
        <v>62434.99</v>
      </c>
      <c r="H170" s="29">
        <v>565451.78</v>
      </c>
      <c r="I170" s="29">
        <v>79666.559999999998</v>
      </c>
      <c r="J170" s="29">
        <v>165710.6</v>
      </c>
      <c r="K170" s="29">
        <v>172944.52</v>
      </c>
      <c r="L170" s="29">
        <v>8390.67</v>
      </c>
      <c r="M170" s="29">
        <v>862647.16</v>
      </c>
      <c r="N170" s="29">
        <v>375223.92</v>
      </c>
      <c r="O170" s="29">
        <v>89099.01</v>
      </c>
      <c r="P170" s="29">
        <v>8266.42</v>
      </c>
      <c r="Q170" s="30"/>
    </row>
    <row r="171" spans="1:17">
      <c r="A171" s="28">
        <v>39900</v>
      </c>
      <c r="B171" s="29">
        <v>107472.28</v>
      </c>
      <c r="C171" s="29">
        <v>135.47</v>
      </c>
      <c r="D171" s="29">
        <v>20580.509999999998</v>
      </c>
      <c r="E171" s="29">
        <v>500.26</v>
      </c>
      <c r="F171" s="29">
        <v>11153.94</v>
      </c>
      <c r="G171" s="29">
        <v>60279.25</v>
      </c>
      <c r="H171" s="29">
        <v>588240.68999999994</v>
      </c>
      <c r="I171" s="29">
        <v>78844</v>
      </c>
      <c r="J171" s="29">
        <v>163451.26999999999</v>
      </c>
      <c r="K171" s="29">
        <v>170928.48</v>
      </c>
      <c r="L171" s="29">
        <v>8255.51</v>
      </c>
      <c r="M171" s="29">
        <v>865088.77</v>
      </c>
      <c r="N171" s="29">
        <v>372839.99</v>
      </c>
      <c r="O171" s="29">
        <v>89107.98</v>
      </c>
      <c r="P171" s="29">
        <v>8184.79</v>
      </c>
      <c r="Q171" s="30"/>
    </row>
    <row r="172" spans="1:17">
      <c r="A172" s="28">
        <v>39872</v>
      </c>
      <c r="B172" s="29">
        <v>111499.43</v>
      </c>
      <c r="C172" s="29">
        <v>134.43</v>
      </c>
      <c r="D172" s="29">
        <v>21045.47</v>
      </c>
      <c r="E172" s="29">
        <v>527.92999999999995</v>
      </c>
      <c r="F172" s="29">
        <v>11252.86</v>
      </c>
      <c r="G172" s="29">
        <v>61989.21</v>
      </c>
      <c r="H172" s="29">
        <v>582229.27</v>
      </c>
      <c r="I172" s="29">
        <v>79186.83</v>
      </c>
      <c r="J172" s="29">
        <v>161993.60000000001</v>
      </c>
      <c r="K172" s="29">
        <v>176435.71</v>
      </c>
      <c r="L172" s="29">
        <v>8610.2000000000007</v>
      </c>
      <c r="M172" s="29">
        <v>871659.61</v>
      </c>
      <c r="N172" s="29">
        <v>370227.17</v>
      </c>
      <c r="O172" s="29">
        <v>88873.51</v>
      </c>
      <c r="P172" s="29">
        <v>8217.1200000000008</v>
      </c>
      <c r="Q172" s="30"/>
    </row>
    <row r="173" spans="1:17">
      <c r="A173" s="28">
        <v>39841</v>
      </c>
      <c r="B173" s="29">
        <v>124550.18</v>
      </c>
      <c r="C173" s="29">
        <v>134.34</v>
      </c>
      <c r="D173" s="29">
        <v>19979.12</v>
      </c>
      <c r="E173" s="29">
        <v>536.67999999999995</v>
      </c>
      <c r="F173" s="29">
        <v>11140.59</v>
      </c>
      <c r="G173" s="29">
        <v>62135.35</v>
      </c>
      <c r="H173" s="29">
        <v>571869.38</v>
      </c>
      <c r="I173" s="29">
        <v>78643.179999999993</v>
      </c>
      <c r="J173" s="29">
        <v>159865.79999999999</v>
      </c>
      <c r="K173" s="29">
        <v>174602.51</v>
      </c>
      <c r="L173" s="29">
        <v>8515.01</v>
      </c>
      <c r="M173" s="29">
        <v>873073.75</v>
      </c>
      <c r="N173" s="29">
        <v>371664.76</v>
      </c>
      <c r="O173" s="29">
        <v>89007.67</v>
      </c>
      <c r="P173" s="29">
        <v>8121.14</v>
      </c>
      <c r="Q173" s="30"/>
    </row>
    <row r="174" spans="1:17">
      <c r="A174" s="28">
        <v>39810</v>
      </c>
      <c r="B174" s="29">
        <v>121705</v>
      </c>
      <c r="C174" s="29">
        <v>133.51</v>
      </c>
      <c r="D174" s="29">
        <v>20392.09</v>
      </c>
      <c r="E174" s="29">
        <v>534.97</v>
      </c>
      <c r="F174" s="29">
        <v>10857.56</v>
      </c>
      <c r="G174" s="29">
        <v>62829</v>
      </c>
      <c r="H174" s="29">
        <v>560840.66</v>
      </c>
      <c r="I174" s="29">
        <v>75388.78</v>
      </c>
      <c r="J174" s="29">
        <v>159843.29999999999</v>
      </c>
      <c r="K174" s="29">
        <v>179496.06</v>
      </c>
      <c r="L174" s="29">
        <v>8842.82</v>
      </c>
      <c r="M174" s="29">
        <v>869431.08</v>
      </c>
      <c r="N174" s="29">
        <v>371387.09</v>
      </c>
      <c r="O174" s="29">
        <v>89117.53</v>
      </c>
      <c r="P174" s="29">
        <v>8121.43</v>
      </c>
      <c r="Q174" s="30"/>
    </row>
    <row r="175" spans="1:17">
      <c r="A175" s="28">
        <v>39780</v>
      </c>
      <c r="B175" s="29">
        <v>130473.97</v>
      </c>
      <c r="C175" s="29">
        <v>132.1</v>
      </c>
      <c r="D175" s="29">
        <v>24644.38</v>
      </c>
      <c r="E175" s="29">
        <v>529.41999999999996</v>
      </c>
      <c r="F175" s="29">
        <v>10782.44</v>
      </c>
      <c r="G175" s="29">
        <v>76254.03</v>
      </c>
      <c r="H175" s="29">
        <v>605610.27</v>
      </c>
      <c r="I175" s="29">
        <v>76715.11</v>
      </c>
      <c r="J175" s="29">
        <v>157243.43</v>
      </c>
      <c r="K175" s="29">
        <v>171301.7</v>
      </c>
      <c r="L175" s="29">
        <v>8984.31</v>
      </c>
      <c r="M175" s="29">
        <v>861737.64</v>
      </c>
      <c r="N175" s="29">
        <v>369071.81</v>
      </c>
      <c r="O175" s="29">
        <v>88015.64</v>
      </c>
      <c r="P175" s="29">
        <v>8791.1299999999992</v>
      </c>
      <c r="Q175" s="30"/>
    </row>
    <row r="176" spans="1:17">
      <c r="A176" s="28">
        <v>39749</v>
      </c>
      <c r="B176" s="29">
        <v>137615.34</v>
      </c>
      <c r="C176" s="29">
        <v>133.85</v>
      </c>
      <c r="D176" s="29">
        <v>23230.240000000002</v>
      </c>
      <c r="E176" s="29">
        <v>539.58000000000004</v>
      </c>
      <c r="F176" s="29">
        <v>10736.62</v>
      </c>
      <c r="G176" s="29">
        <v>71629.84</v>
      </c>
      <c r="H176" s="29">
        <v>750937.22</v>
      </c>
      <c r="I176" s="29">
        <v>76509.03</v>
      </c>
      <c r="J176" s="29">
        <v>155632.89000000001</v>
      </c>
      <c r="K176" s="29">
        <v>175782.43</v>
      </c>
      <c r="L176" s="29">
        <v>9128.32</v>
      </c>
      <c r="M176" s="29">
        <v>862423.82</v>
      </c>
      <c r="N176" s="29">
        <v>369472.28</v>
      </c>
      <c r="O176" s="29">
        <v>88562.12</v>
      </c>
      <c r="P176" s="29">
        <v>8450.44</v>
      </c>
      <c r="Q176" s="30"/>
    </row>
    <row r="177" spans="1:17">
      <c r="A177" s="28">
        <v>39719</v>
      </c>
      <c r="B177" s="29">
        <v>144888.34</v>
      </c>
      <c r="C177" s="29">
        <v>164.96</v>
      </c>
      <c r="D177" s="29">
        <v>23491.73</v>
      </c>
      <c r="E177" s="29">
        <v>540.41</v>
      </c>
      <c r="F177" s="29">
        <v>10308.790000000001</v>
      </c>
      <c r="G177" s="29">
        <v>74506.509999999995</v>
      </c>
      <c r="H177" s="29">
        <v>531611.25</v>
      </c>
      <c r="I177" s="29">
        <v>75759.92</v>
      </c>
      <c r="J177" s="29">
        <v>154029.94</v>
      </c>
      <c r="K177" s="29">
        <v>170945.78</v>
      </c>
      <c r="L177" s="29">
        <v>9716.59</v>
      </c>
      <c r="M177" s="29">
        <v>857961.59</v>
      </c>
      <c r="N177" s="29">
        <v>368407.24</v>
      </c>
      <c r="O177" s="29">
        <v>89447.57</v>
      </c>
      <c r="P177" s="29">
        <v>8691.26</v>
      </c>
      <c r="Q177" s="30"/>
    </row>
    <row r="178" spans="1:17">
      <c r="A178" s="28">
        <v>39688</v>
      </c>
      <c r="B178" s="29">
        <v>136574.68</v>
      </c>
      <c r="C178" s="29">
        <v>128.91</v>
      </c>
      <c r="D178" s="29">
        <v>25020.65</v>
      </c>
      <c r="E178" s="29">
        <v>524.86</v>
      </c>
      <c r="F178" s="29">
        <v>10117.43</v>
      </c>
      <c r="G178" s="29">
        <v>71283.679999999993</v>
      </c>
      <c r="H178" s="29">
        <v>520887.99</v>
      </c>
      <c r="I178" s="29">
        <v>75339.81</v>
      </c>
      <c r="J178" s="29">
        <v>153005.98000000001</v>
      </c>
      <c r="K178" s="29">
        <v>169184.71</v>
      </c>
      <c r="L178" s="29">
        <v>9745.8799999999992</v>
      </c>
      <c r="M178" s="29">
        <v>848982.43</v>
      </c>
      <c r="N178" s="29">
        <v>364850.72</v>
      </c>
      <c r="O178" s="29">
        <v>89072.23</v>
      </c>
      <c r="P178" s="29">
        <v>8817.43</v>
      </c>
      <c r="Q178" s="30"/>
    </row>
    <row r="179" spans="1:17">
      <c r="A179" s="28">
        <v>39657</v>
      </c>
      <c r="B179" s="29">
        <v>144948.76</v>
      </c>
      <c r="C179" s="29">
        <v>98.22</v>
      </c>
      <c r="D179" s="29">
        <v>23273.53</v>
      </c>
      <c r="E179" s="29">
        <v>516.03</v>
      </c>
      <c r="F179" s="29">
        <v>10110.51</v>
      </c>
      <c r="G179" s="29">
        <v>73406.080000000002</v>
      </c>
      <c r="H179" s="29">
        <v>498216.95</v>
      </c>
      <c r="I179" s="29">
        <v>75650.070000000007</v>
      </c>
      <c r="J179" s="29">
        <v>152577.18</v>
      </c>
      <c r="K179" s="29">
        <v>177064.19</v>
      </c>
      <c r="L179" s="29">
        <v>10125.59</v>
      </c>
      <c r="M179" s="29">
        <v>855818.07</v>
      </c>
      <c r="N179" s="29">
        <v>364459.66</v>
      </c>
      <c r="O179" s="29">
        <v>90238.76</v>
      </c>
      <c r="P179" s="29">
        <v>8810.5400000000009</v>
      </c>
      <c r="Q179" s="30"/>
    </row>
    <row r="180" spans="1:17">
      <c r="A180" s="28">
        <v>39627</v>
      </c>
      <c r="B180" s="29">
        <v>161142.82</v>
      </c>
      <c r="C180" s="29">
        <v>101.03</v>
      </c>
      <c r="D180" s="29">
        <v>22518.720000000001</v>
      </c>
      <c r="E180" s="29">
        <v>512.96</v>
      </c>
      <c r="F180" s="29">
        <v>10227.02</v>
      </c>
      <c r="G180" s="29">
        <v>65537.45</v>
      </c>
      <c r="H180" s="29">
        <v>502279.35</v>
      </c>
      <c r="I180" s="29">
        <v>76082.09</v>
      </c>
      <c r="J180" s="29">
        <v>157558.32999999999</v>
      </c>
      <c r="K180" s="29">
        <v>172525.85</v>
      </c>
      <c r="L180" s="29">
        <v>10573.83</v>
      </c>
      <c r="M180" s="29">
        <v>849947.88</v>
      </c>
      <c r="N180" s="29">
        <v>362692.03</v>
      </c>
      <c r="O180" s="29">
        <v>88911.43</v>
      </c>
      <c r="P180" s="29">
        <v>8686.33</v>
      </c>
      <c r="Q180" s="30"/>
    </row>
    <row r="181" spans="1:17">
      <c r="A181" s="28">
        <v>39596</v>
      </c>
      <c r="B181" s="29">
        <v>158730.19</v>
      </c>
      <c r="C181" s="29">
        <v>102.03</v>
      </c>
      <c r="D181" s="29">
        <v>23348.95</v>
      </c>
      <c r="E181" s="29">
        <v>500.94</v>
      </c>
      <c r="F181" s="29">
        <v>10019.11</v>
      </c>
      <c r="G181" s="29">
        <v>74959.53</v>
      </c>
      <c r="H181" s="29">
        <v>514815.81</v>
      </c>
      <c r="I181" s="29">
        <v>76112</v>
      </c>
      <c r="J181" s="29">
        <v>151339.82999999999</v>
      </c>
      <c r="K181" s="29">
        <v>173899.5</v>
      </c>
      <c r="L181" s="29">
        <v>10718.41</v>
      </c>
      <c r="M181" s="29">
        <v>837747.9</v>
      </c>
      <c r="N181" s="29">
        <v>361693.28</v>
      </c>
      <c r="O181" s="29">
        <v>88660.07</v>
      </c>
      <c r="P181" s="29">
        <v>8344.52</v>
      </c>
      <c r="Q181" s="30"/>
    </row>
    <row r="182" spans="1:17">
      <c r="A182" s="28">
        <v>39566</v>
      </c>
      <c r="B182" s="29">
        <v>159566.32</v>
      </c>
      <c r="C182" s="29">
        <v>105.67</v>
      </c>
      <c r="D182" s="29">
        <v>21357.38</v>
      </c>
      <c r="E182" s="29">
        <v>513.33000000000004</v>
      </c>
      <c r="F182" s="29">
        <v>9800.2199999999993</v>
      </c>
      <c r="G182" s="29">
        <v>69919.759999999995</v>
      </c>
      <c r="H182" s="29">
        <v>471107.69</v>
      </c>
      <c r="I182" s="29">
        <v>75484.17</v>
      </c>
      <c r="J182" s="29">
        <v>152167.87</v>
      </c>
      <c r="K182" s="29">
        <v>177753.16</v>
      </c>
      <c r="L182" s="29">
        <v>10791.31</v>
      </c>
      <c r="M182" s="29">
        <v>834115.87</v>
      </c>
      <c r="N182" s="29">
        <v>360087.94</v>
      </c>
      <c r="O182" s="29">
        <v>88923.64</v>
      </c>
      <c r="P182" s="29">
        <v>8204.2800000000007</v>
      </c>
      <c r="Q182" s="30"/>
    </row>
    <row r="183" spans="1:17">
      <c r="A183" s="28">
        <v>39535</v>
      </c>
      <c r="B183" s="29">
        <v>146226.32</v>
      </c>
      <c r="C183" s="29">
        <v>145.03</v>
      </c>
      <c r="D183" s="29">
        <v>17067.919999999998</v>
      </c>
      <c r="E183" s="29">
        <v>502.88</v>
      </c>
      <c r="F183" s="29">
        <v>9568.6</v>
      </c>
      <c r="G183" s="29">
        <v>71822.429999999993</v>
      </c>
      <c r="H183" s="29">
        <v>474170.26</v>
      </c>
      <c r="I183" s="29">
        <v>75877.23</v>
      </c>
      <c r="J183" s="29">
        <v>151820.87</v>
      </c>
      <c r="K183" s="29">
        <v>173737.66</v>
      </c>
      <c r="L183" s="29">
        <v>11286.62</v>
      </c>
      <c r="M183" s="29">
        <v>832195.34</v>
      </c>
      <c r="N183" s="29">
        <v>363147.23</v>
      </c>
      <c r="O183" s="29">
        <v>89479.83</v>
      </c>
      <c r="P183" s="29">
        <v>8448.48</v>
      </c>
      <c r="Q183" s="30"/>
    </row>
    <row r="184" spans="1:17">
      <c r="A184" s="28">
        <v>39506</v>
      </c>
      <c r="B184" s="29">
        <v>146078.46</v>
      </c>
      <c r="C184" s="29">
        <v>144.30000000000001</v>
      </c>
      <c r="D184" s="29">
        <v>17355.919999999998</v>
      </c>
      <c r="E184" s="29">
        <v>497.82</v>
      </c>
      <c r="F184" s="29">
        <v>9481.4699999999993</v>
      </c>
      <c r="G184" s="29">
        <v>76176.34</v>
      </c>
      <c r="H184" s="29">
        <v>474577.86</v>
      </c>
      <c r="I184" s="29">
        <v>75421.31</v>
      </c>
      <c r="J184" s="29">
        <v>149708.45000000001</v>
      </c>
      <c r="K184" s="29">
        <v>161807.6</v>
      </c>
      <c r="L184" s="29">
        <v>11624.05</v>
      </c>
      <c r="M184" s="29">
        <v>829939.05</v>
      </c>
      <c r="N184" s="29">
        <v>369895.78</v>
      </c>
      <c r="O184" s="29">
        <v>90749.65</v>
      </c>
      <c r="P184" s="29">
        <v>8317.73</v>
      </c>
      <c r="Q184" s="30"/>
    </row>
    <row r="185" spans="1:17">
      <c r="A185" s="28">
        <v>39475</v>
      </c>
      <c r="B185" s="29">
        <v>150101.46</v>
      </c>
      <c r="C185" s="29">
        <v>143.21</v>
      </c>
      <c r="D185" s="29">
        <v>17420.61</v>
      </c>
      <c r="E185" s="29">
        <v>503.76</v>
      </c>
      <c r="F185" s="29">
        <v>9513.36</v>
      </c>
      <c r="G185" s="29">
        <v>81783.990000000005</v>
      </c>
      <c r="H185" s="29">
        <v>450730.78</v>
      </c>
      <c r="I185" s="29">
        <v>75108.53</v>
      </c>
      <c r="J185" s="29">
        <v>150113.4</v>
      </c>
      <c r="K185" s="29">
        <v>166274.54999999999</v>
      </c>
      <c r="L185" s="29">
        <v>11076.01</v>
      </c>
      <c r="M185" s="29">
        <v>821807.43</v>
      </c>
      <c r="N185" s="29">
        <v>367320.46</v>
      </c>
      <c r="O185" s="29">
        <v>90305.35</v>
      </c>
      <c r="P185" s="29">
        <v>8232.9599999999991</v>
      </c>
      <c r="Q185" s="30"/>
    </row>
    <row r="186" spans="1:17">
      <c r="A186" s="28">
        <v>39444</v>
      </c>
      <c r="B186" s="29">
        <v>137374.12</v>
      </c>
      <c r="C186" s="29">
        <v>109.78</v>
      </c>
      <c r="D186" s="29">
        <v>18208.22</v>
      </c>
      <c r="E186" s="29">
        <v>513.87</v>
      </c>
      <c r="F186" s="29">
        <v>9147.52</v>
      </c>
      <c r="G186" s="29">
        <v>76185.69</v>
      </c>
      <c r="H186" s="29">
        <v>482407.79</v>
      </c>
      <c r="I186" s="29">
        <v>73269.279999999999</v>
      </c>
      <c r="J186" s="29">
        <v>149806.78</v>
      </c>
      <c r="K186" s="29">
        <v>166217.26</v>
      </c>
      <c r="L186" s="29">
        <v>10090.379999999999</v>
      </c>
      <c r="M186" s="29">
        <v>814484.39</v>
      </c>
      <c r="N186" s="29">
        <v>366897.85</v>
      </c>
      <c r="O186" s="29">
        <v>89372.09</v>
      </c>
      <c r="P186" s="29">
        <v>8028.39</v>
      </c>
      <c r="Q186" s="30"/>
    </row>
    <row r="187" spans="1:17">
      <c r="A187" s="28">
        <v>39414</v>
      </c>
      <c r="B187" s="29">
        <v>147169.34</v>
      </c>
      <c r="C187" s="29">
        <v>72.75</v>
      </c>
      <c r="D187" s="29">
        <v>21828.36</v>
      </c>
      <c r="E187" s="29">
        <v>506.36</v>
      </c>
      <c r="F187" s="29">
        <v>9090.19</v>
      </c>
      <c r="G187" s="29">
        <v>90975.12</v>
      </c>
      <c r="H187" s="29">
        <v>462023.22</v>
      </c>
      <c r="I187" s="29">
        <v>75220.649999999994</v>
      </c>
      <c r="J187" s="29">
        <v>142056.94</v>
      </c>
      <c r="K187" s="29">
        <v>159191.57</v>
      </c>
      <c r="L187" s="29">
        <v>11139.68</v>
      </c>
      <c r="M187" s="29">
        <v>812812.71</v>
      </c>
      <c r="N187" s="29">
        <v>370254.9</v>
      </c>
      <c r="O187" s="29">
        <v>90362.16</v>
      </c>
      <c r="P187" s="29">
        <v>7967.25</v>
      </c>
      <c r="Q187" s="30"/>
    </row>
    <row r="188" spans="1:17">
      <c r="A188" s="28">
        <v>39383</v>
      </c>
      <c r="B188" s="29">
        <v>147605.63</v>
      </c>
      <c r="C188" s="29">
        <v>72.75</v>
      </c>
      <c r="D188" s="29">
        <v>21816.82</v>
      </c>
      <c r="E188" s="29">
        <v>477.07</v>
      </c>
      <c r="F188" s="29">
        <v>8838.84</v>
      </c>
      <c r="G188" s="29">
        <v>89946.240000000005</v>
      </c>
      <c r="H188" s="29">
        <v>461167.91</v>
      </c>
      <c r="I188" s="29">
        <v>74644.52</v>
      </c>
      <c r="J188" s="29">
        <v>139268.32999999999</v>
      </c>
      <c r="K188" s="29">
        <v>159266.5</v>
      </c>
      <c r="L188" s="29">
        <v>10975.16</v>
      </c>
      <c r="M188" s="29">
        <v>795436.67</v>
      </c>
      <c r="N188" s="29">
        <v>367477.26</v>
      </c>
      <c r="O188" s="29">
        <v>88803.66</v>
      </c>
      <c r="P188" s="29">
        <v>7905.54</v>
      </c>
      <c r="Q188" s="30"/>
    </row>
    <row r="189" spans="1:17">
      <c r="A189" s="28">
        <v>39353</v>
      </c>
      <c r="B189" s="29">
        <v>137211.09</v>
      </c>
      <c r="C189" s="29">
        <v>72.92</v>
      </c>
      <c r="D189" s="29">
        <v>21633.7</v>
      </c>
      <c r="E189" s="29">
        <v>478.19</v>
      </c>
      <c r="F189" s="29">
        <v>9729.5499999999993</v>
      </c>
      <c r="G189" s="29">
        <v>81248.28</v>
      </c>
      <c r="H189" s="29">
        <v>456189.02</v>
      </c>
      <c r="I189" s="29">
        <v>33712.07</v>
      </c>
      <c r="J189" s="29">
        <v>26072.16</v>
      </c>
      <c r="K189" s="29">
        <v>159205.39000000001</v>
      </c>
      <c r="L189" s="29">
        <v>10992.69</v>
      </c>
      <c r="M189" s="29">
        <v>774676.94</v>
      </c>
      <c r="N189" s="29">
        <v>362777.2</v>
      </c>
      <c r="O189" s="29">
        <v>88399.360000000001</v>
      </c>
      <c r="P189" s="29">
        <v>7944.72</v>
      </c>
      <c r="Q189" s="30"/>
    </row>
    <row r="190" spans="1:17">
      <c r="A190" s="28">
        <v>39322</v>
      </c>
      <c r="B190" s="29">
        <v>131488.10999999999</v>
      </c>
      <c r="C190" s="29">
        <v>72.92</v>
      </c>
      <c r="D190" s="29">
        <v>20104.650000000001</v>
      </c>
      <c r="E190" s="29">
        <v>472.57</v>
      </c>
      <c r="F190" s="29">
        <v>9538.57</v>
      </c>
      <c r="G190" s="29">
        <v>88947.65</v>
      </c>
      <c r="H190" s="29">
        <v>451666.75</v>
      </c>
      <c r="I190" s="29">
        <v>33789.440000000002</v>
      </c>
      <c r="J190" s="29">
        <v>25531.49</v>
      </c>
      <c r="K190" s="29">
        <v>155958.1</v>
      </c>
      <c r="L190" s="29">
        <v>11533.65</v>
      </c>
      <c r="M190" s="29">
        <v>771264.58</v>
      </c>
      <c r="N190" s="29">
        <v>359122.89</v>
      </c>
      <c r="O190" s="29">
        <v>88101.26</v>
      </c>
      <c r="P190" s="29">
        <v>7770.47</v>
      </c>
      <c r="Q190" s="30"/>
    </row>
    <row r="191" spans="1:17">
      <c r="A191" s="28">
        <v>39291</v>
      </c>
      <c r="B191" s="29">
        <v>136090.9</v>
      </c>
      <c r="C191" s="29">
        <v>72.930000000000007</v>
      </c>
      <c r="D191" s="29">
        <v>20237.400000000001</v>
      </c>
      <c r="E191" s="29">
        <v>505.27</v>
      </c>
      <c r="F191" s="29">
        <v>9139.81</v>
      </c>
      <c r="G191" s="29">
        <v>89154.08</v>
      </c>
      <c r="H191" s="29">
        <v>446762.27</v>
      </c>
      <c r="I191" s="29">
        <v>34878.07</v>
      </c>
      <c r="J191" s="29">
        <v>24822.58</v>
      </c>
      <c r="K191" s="29">
        <v>160052.59</v>
      </c>
      <c r="L191" s="29">
        <v>12869.96</v>
      </c>
      <c r="M191" s="29">
        <v>771667.47</v>
      </c>
      <c r="N191" s="29">
        <v>357322.35</v>
      </c>
      <c r="O191" s="29">
        <v>87664.48</v>
      </c>
      <c r="P191" s="29">
        <v>7909.22</v>
      </c>
      <c r="Q191" s="30"/>
    </row>
    <row r="192" spans="1:17">
      <c r="A192" s="28">
        <v>39261</v>
      </c>
      <c r="B192" s="29">
        <v>134256.4</v>
      </c>
      <c r="C192" s="29">
        <v>73.069999999999993</v>
      </c>
      <c r="D192" s="29">
        <v>16750.759999999998</v>
      </c>
      <c r="E192" s="29">
        <v>486.64</v>
      </c>
      <c r="F192" s="29">
        <v>8973.4500000000007</v>
      </c>
      <c r="G192" s="29">
        <v>84102.89</v>
      </c>
      <c r="H192" s="29">
        <v>437265.6</v>
      </c>
      <c r="I192" s="29">
        <v>34562.269999999997</v>
      </c>
      <c r="J192" s="29">
        <v>26065.94</v>
      </c>
      <c r="K192" s="29">
        <v>172468.03</v>
      </c>
      <c r="L192" s="29">
        <v>13643.18</v>
      </c>
      <c r="M192" s="29">
        <v>758251.38</v>
      </c>
      <c r="N192" s="29">
        <v>353393.11</v>
      </c>
      <c r="O192" s="29">
        <v>87228.9</v>
      </c>
      <c r="P192" s="29">
        <v>7742.47</v>
      </c>
      <c r="Q192" s="30"/>
    </row>
    <row r="193" spans="1:17">
      <c r="A193" s="28">
        <v>39230</v>
      </c>
      <c r="B193" s="29">
        <v>128948.83</v>
      </c>
      <c r="C193" s="29">
        <v>73.069999999999993</v>
      </c>
      <c r="D193" s="29">
        <v>14212.36</v>
      </c>
      <c r="E193" s="29">
        <v>471.58</v>
      </c>
      <c r="F193" s="29">
        <v>8710.64</v>
      </c>
      <c r="G193" s="29">
        <v>94008.19</v>
      </c>
      <c r="H193" s="29">
        <v>434413.3</v>
      </c>
      <c r="I193" s="29">
        <v>34735.300000000003</v>
      </c>
      <c r="J193" s="29">
        <v>25711.08</v>
      </c>
      <c r="K193" s="29">
        <v>167764.23000000001</v>
      </c>
      <c r="L193" s="29">
        <v>14120.9</v>
      </c>
      <c r="M193" s="29">
        <v>743996.56</v>
      </c>
      <c r="N193" s="29">
        <v>349030.88</v>
      </c>
      <c r="O193" s="29">
        <v>86811.65</v>
      </c>
      <c r="P193" s="29">
        <v>7684.93</v>
      </c>
      <c r="Q193" s="30"/>
    </row>
    <row r="194" spans="1:17">
      <c r="A194" s="28">
        <v>39200</v>
      </c>
      <c r="B194" s="29">
        <v>125566.78</v>
      </c>
      <c r="C194" s="29">
        <v>73.069999999999993</v>
      </c>
      <c r="D194" s="29">
        <v>14278.2</v>
      </c>
      <c r="E194" s="29">
        <v>463.01</v>
      </c>
      <c r="F194" s="29">
        <v>8227.89</v>
      </c>
      <c r="G194" s="29">
        <v>88523.69</v>
      </c>
      <c r="H194" s="29">
        <v>415359.24</v>
      </c>
      <c r="I194" s="29">
        <v>35322.81</v>
      </c>
      <c r="J194" s="29">
        <v>27744.61</v>
      </c>
      <c r="K194" s="29">
        <v>169930.01</v>
      </c>
      <c r="L194" s="29">
        <v>14202.22</v>
      </c>
      <c r="M194" s="29">
        <v>742680.39</v>
      </c>
      <c r="N194" s="29">
        <v>343895.18</v>
      </c>
      <c r="O194" s="29">
        <v>86722.61</v>
      </c>
      <c r="P194" s="29">
        <v>7639.28</v>
      </c>
      <c r="Q194" s="30"/>
    </row>
    <row r="195" spans="1:17">
      <c r="A195" s="28">
        <v>39169</v>
      </c>
      <c r="B195" s="29">
        <v>120561.9</v>
      </c>
      <c r="C195" s="29">
        <v>78.239999999999995</v>
      </c>
      <c r="D195" s="29">
        <v>11479.43</v>
      </c>
      <c r="E195" s="29">
        <v>442.88</v>
      </c>
      <c r="F195" s="29">
        <v>8500.35</v>
      </c>
      <c r="G195" s="29">
        <v>85172.54</v>
      </c>
      <c r="H195" s="29">
        <v>426866.19</v>
      </c>
      <c r="I195" s="29">
        <v>35000.32</v>
      </c>
      <c r="J195" s="29">
        <v>25216.35</v>
      </c>
      <c r="K195" s="29">
        <v>164462.66</v>
      </c>
      <c r="L195" s="29">
        <v>14550.03</v>
      </c>
      <c r="M195" s="29">
        <v>735736.69</v>
      </c>
      <c r="N195" s="29">
        <v>344809.45</v>
      </c>
      <c r="O195" s="29">
        <v>86453.96</v>
      </c>
      <c r="P195" s="29">
        <v>7712.67</v>
      </c>
      <c r="Q195" s="30"/>
    </row>
    <row r="196" spans="1:17">
      <c r="A196" s="28">
        <v>39141</v>
      </c>
      <c r="B196" s="29">
        <v>114583.05</v>
      </c>
      <c r="C196" s="29">
        <v>78.239999999999995</v>
      </c>
      <c r="D196" s="29">
        <v>11312.31</v>
      </c>
      <c r="E196" s="29">
        <v>424.87</v>
      </c>
      <c r="F196" s="29">
        <v>8505.9699999999993</v>
      </c>
      <c r="G196" s="29">
        <v>80730.25</v>
      </c>
      <c r="H196" s="29">
        <v>412902.40000000002</v>
      </c>
      <c r="I196" s="29">
        <v>34470.230000000003</v>
      </c>
      <c r="J196" s="29">
        <v>25998.26</v>
      </c>
      <c r="K196" s="29">
        <v>156835.22</v>
      </c>
      <c r="L196" s="29">
        <v>14957.95</v>
      </c>
      <c r="M196" s="29">
        <v>732880.28</v>
      </c>
      <c r="N196" s="29">
        <v>343500.74</v>
      </c>
      <c r="O196" s="29">
        <v>86280.77</v>
      </c>
      <c r="P196" s="29">
        <v>7681.24</v>
      </c>
      <c r="Q196" s="30"/>
    </row>
    <row r="197" spans="1:17">
      <c r="A197" s="28">
        <v>39110</v>
      </c>
      <c r="B197" s="29">
        <v>110501.61</v>
      </c>
      <c r="C197" s="29">
        <v>78.239999999999995</v>
      </c>
      <c r="D197" s="29">
        <v>10980.75</v>
      </c>
      <c r="E197" s="29">
        <v>431.09</v>
      </c>
      <c r="F197" s="29">
        <v>8646.8799999999992</v>
      </c>
      <c r="G197" s="29">
        <v>78578.649999999994</v>
      </c>
      <c r="H197" s="29">
        <v>418221.55</v>
      </c>
      <c r="I197" s="29">
        <v>34406.69</v>
      </c>
      <c r="J197" s="29">
        <v>25572.46</v>
      </c>
      <c r="K197" s="29">
        <v>155306.97</v>
      </c>
      <c r="L197" s="29">
        <v>17074.43</v>
      </c>
      <c r="M197" s="29">
        <v>727776.1</v>
      </c>
      <c r="N197" s="29">
        <v>339612.88</v>
      </c>
      <c r="O197" s="29">
        <v>85886.73</v>
      </c>
      <c r="P197" s="29">
        <v>7644.69</v>
      </c>
      <c r="Q197" s="30"/>
    </row>
    <row r="198" spans="1:17">
      <c r="A198" s="28">
        <v>39079</v>
      </c>
      <c r="B198" s="29">
        <v>129942.53</v>
      </c>
      <c r="C198" s="29">
        <v>78.41</v>
      </c>
      <c r="D198" s="29">
        <v>12101.79</v>
      </c>
      <c r="E198" s="29">
        <v>415.36</v>
      </c>
      <c r="F198" s="29">
        <v>8516.0499999999993</v>
      </c>
      <c r="G198" s="29">
        <v>74839.070000000007</v>
      </c>
      <c r="H198" s="29">
        <v>420414.67</v>
      </c>
      <c r="I198" s="29">
        <v>33297.800000000003</v>
      </c>
      <c r="J198" s="29">
        <v>26315.29</v>
      </c>
      <c r="K198" s="29">
        <v>157211.95000000001</v>
      </c>
      <c r="L198" s="29">
        <v>17084.169999999998</v>
      </c>
      <c r="M198" s="29">
        <v>719759.69</v>
      </c>
      <c r="N198" s="29">
        <v>337663.49</v>
      </c>
      <c r="O198" s="29">
        <v>85372.93</v>
      </c>
      <c r="P198" s="29">
        <v>7634.68</v>
      </c>
      <c r="Q198" s="30"/>
    </row>
    <row r="199" spans="1:17">
      <c r="A199" s="28">
        <v>39049</v>
      </c>
      <c r="B199" s="29">
        <v>131350.92000000001</v>
      </c>
      <c r="C199" s="29">
        <v>78.38</v>
      </c>
      <c r="D199" s="29">
        <v>11020.73</v>
      </c>
      <c r="E199" s="29">
        <v>434.91</v>
      </c>
      <c r="F199" s="29">
        <v>8181.22</v>
      </c>
      <c r="G199" s="29">
        <v>82931.240000000005</v>
      </c>
      <c r="H199" s="29">
        <v>415944.1</v>
      </c>
      <c r="I199" s="29">
        <v>32823.35</v>
      </c>
      <c r="J199" s="29">
        <v>24120.14</v>
      </c>
      <c r="K199" s="29">
        <v>155517.04999999999</v>
      </c>
      <c r="L199" s="29">
        <v>16657.900000000001</v>
      </c>
      <c r="M199" s="29">
        <v>710180.72</v>
      </c>
      <c r="N199" s="29">
        <v>337791.7</v>
      </c>
      <c r="O199" s="29">
        <v>85199.55</v>
      </c>
      <c r="P199" s="29">
        <v>7589.17</v>
      </c>
      <c r="Q199" s="30"/>
    </row>
    <row r="200" spans="1:17">
      <c r="A200" s="28">
        <v>39018</v>
      </c>
      <c r="B200" s="29">
        <v>123284.02</v>
      </c>
      <c r="C200" s="29">
        <v>78.38</v>
      </c>
      <c r="D200" s="29">
        <v>9811.4599999999991</v>
      </c>
      <c r="E200" s="29">
        <v>437.27</v>
      </c>
      <c r="F200" s="29">
        <v>8198.7099999999991</v>
      </c>
      <c r="G200" s="29">
        <v>74936.2</v>
      </c>
      <c r="H200" s="29">
        <v>403094.66</v>
      </c>
      <c r="I200" s="29">
        <v>35560.22</v>
      </c>
      <c r="J200" s="29">
        <v>23856</v>
      </c>
      <c r="K200" s="29">
        <v>150953.57</v>
      </c>
      <c r="L200" s="29">
        <v>16336.22</v>
      </c>
      <c r="M200" s="29">
        <v>693198.48</v>
      </c>
      <c r="N200" s="29">
        <v>332875.99</v>
      </c>
      <c r="O200" s="29">
        <v>83665.33</v>
      </c>
      <c r="P200" s="29">
        <v>7401.56</v>
      </c>
      <c r="Q200" s="30"/>
    </row>
    <row r="201" spans="1:17">
      <c r="A201" s="28">
        <v>38988</v>
      </c>
      <c r="B201" s="29">
        <v>127420.93</v>
      </c>
      <c r="C201" s="29">
        <v>78.510000000000005</v>
      </c>
      <c r="D201" s="29">
        <v>9606.7199999999993</v>
      </c>
      <c r="E201" s="29">
        <v>389.82</v>
      </c>
      <c r="F201" s="29">
        <v>8149.65</v>
      </c>
      <c r="G201" s="29">
        <v>74912.320000000007</v>
      </c>
      <c r="H201" s="29">
        <v>395297.99</v>
      </c>
      <c r="I201" s="29">
        <v>34807.74</v>
      </c>
      <c r="J201" s="29">
        <v>23843.01</v>
      </c>
      <c r="K201" s="29">
        <v>156153.88</v>
      </c>
      <c r="L201" s="29">
        <v>15216.27</v>
      </c>
      <c r="M201" s="29">
        <v>687321.17</v>
      </c>
      <c r="N201" s="29">
        <v>332097.58</v>
      </c>
      <c r="O201" s="29">
        <v>83425.97</v>
      </c>
      <c r="P201" s="29">
        <v>7346.25</v>
      </c>
      <c r="Q201" s="30"/>
    </row>
    <row r="202" spans="1:17">
      <c r="A202" s="28">
        <v>38957</v>
      </c>
      <c r="B202" s="29">
        <v>115742.09</v>
      </c>
      <c r="C202" s="29">
        <v>78.47</v>
      </c>
      <c r="D202" s="29">
        <v>9083.86</v>
      </c>
      <c r="E202" s="29">
        <v>407.05</v>
      </c>
      <c r="F202" s="29">
        <v>7900.44</v>
      </c>
      <c r="G202" s="29">
        <v>71643.06</v>
      </c>
      <c r="H202" s="29">
        <v>384024.67</v>
      </c>
      <c r="I202" s="29">
        <v>33714.9</v>
      </c>
      <c r="J202" s="29">
        <v>23608.17</v>
      </c>
      <c r="K202" s="29">
        <v>151463.09</v>
      </c>
      <c r="L202" s="29">
        <v>15900.66</v>
      </c>
      <c r="M202" s="29">
        <v>683642.99</v>
      </c>
      <c r="N202" s="29">
        <v>327796.42</v>
      </c>
      <c r="O202" s="29">
        <v>82966.34</v>
      </c>
      <c r="P202" s="29">
        <v>7277.22</v>
      </c>
      <c r="Q202" s="30"/>
    </row>
    <row r="203" spans="1:17">
      <c r="A203" s="28">
        <v>38926</v>
      </c>
      <c r="B203" s="29">
        <v>110836.92</v>
      </c>
      <c r="C203" s="29">
        <v>78.47</v>
      </c>
      <c r="D203" s="29">
        <v>9768.9500000000007</v>
      </c>
      <c r="E203" s="29">
        <v>358.16</v>
      </c>
      <c r="F203" s="29">
        <v>7547.1</v>
      </c>
      <c r="G203" s="29">
        <v>74234</v>
      </c>
      <c r="H203" s="29">
        <v>384518.69</v>
      </c>
      <c r="I203" s="29">
        <v>33786.01</v>
      </c>
      <c r="J203" s="29">
        <v>23774.89</v>
      </c>
      <c r="K203" s="29">
        <v>149557.95000000001</v>
      </c>
      <c r="L203" s="29">
        <v>15609.16</v>
      </c>
      <c r="M203" s="29">
        <v>685488.41</v>
      </c>
      <c r="N203" s="29">
        <v>329264.13</v>
      </c>
      <c r="O203" s="29">
        <v>82697.149999999994</v>
      </c>
      <c r="P203" s="29">
        <v>7481.43</v>
      </c>
      <c r="Q203" s="30"/>
    </row>
    <row r="204" spans="1:17">
      <c r="A204" s="28">
        <v>38896</v>
      </c>
      <c r="B204" s="29">
        <v>110887.59</v>
      </c>
      <c r="C204" s="29">
        <v>78.61</v>
      </c>
      <c r="D204" s="29">
        <v>9441.6</v>
      </c>
      <c r="E204" s="29">
        <v>348.91</v>
      </c>
      <c r="F204" s="29">
        <v>7546.08</v>
      </c>
      <c r="G204" s="29">
        <v>67537.679999999993</v>
      </c>
      <c r="H204" s="29">
        <v>364166.34</v>
      </c>
      <c r="I204" s="29">
        <v>33532.300000000003</v>
      </c>
      <c r="J204" s="29">
        <v>25098.13</v>
      </c>
      <c r="K204" s="29">
        <v>155323.73000000001</v>
      </c>
      <c r="L204" s="29">
        <v>15128.66</v>
      </c>
      <c r="M204" s="29">
        <v>676623.69</v>
      </c>
      <c r="N204" s="29">
        <v>324255.11</v>
      </c>
      <c r="O204" s="29">
        <v>82010.570000000007</v>
      </c>
      <c r="P204" s="29">
        <v>7441.72</v>
      </c>
      <c r="Q204" s="30"/>
    </row>
    <row r="205" spans="1:17">
      <c r="A205" s="28">
        <v>38865</v>
      </c>
      <c r="B205" s="29">
        <v>110294.38</v>
      </c>
      <c r="C205" s="29">
        <v>78.59</v>
      </c>
      <c r="D205" s="29">
        <v>11058.54</v>
      </c>
      <c r="E205" s="29">
        <v>330.3</v>
      </c>
      <c r="F205" s="29">
        <v>7762.14</v>
      </c>
      <c r="G205" s="29">
        <v>69093.52</v>
      </c>
      <c r="H205" s="29">
        <v>378374.06</v>
      </c>
      <c r="I205" s="29">
        <v>33684.019999999997</v>
      </c>
      <c r="J205" s="29">
        <v>24552.09</v>
      </c>
      <c r="K205" s="29">
        <v>151980.25</v>
      </c>
      <c r="L205" s="29">
        <v>14740.14</v>
      </c>
      <c r="M205" s="29">
        <v>666018.59</v>
      </c>
      <c r="N205" s="29">
        <v>320793.96999999997</v>
      </c>
      <c r="O205" s="29">
        <v>81299.16</v>
      </c>
      <c r="P205" s="29">
        <v>7598.14</v>
      </c>
      <c r="Q205" s="30"/>
    </row>
    <row r="206" spans="1:17">
      <c r="A206" s="28">
        <v>38835</v>
      </c>
      <c r="B206" s="29">
        <v>114232.78</v>
      </c>
      <c r="C206" s="29">
        <v>78.59</v>
      </c>
      <c r="D206" s="29">
        <v>10868.38</v>
      </c>
      <c r="E206" s="29">
        <v>313.94</v>
      </c>
      <c r="F206" s="29">
        <v>8125.65</v>
      </c>
      <c r="G206" s="29">
        <v>62942.1</v>
      </c>
      <c r="H206" s="29">
        <v>360053.17</v>
      </c>
      <c r="I206" s="29">
        <v>33835.25</v>
      </c>
      <c r="J206" s="29">
        <v>25540.26</v>
      </c>
      <c r="K206" s="29">
        <v>149617.32</v>
      </c>
      <c r="L206" s="29">
        <v>14412.23</v>
      </c>
      <c r="M206" s="29">
        <v>660819.78</v>
      </c>
      <c r="N206" s="29">
        <v>318839.74</v>
      </c>
      <c r="O206" s="29">
        <v>81074.94</v>
      </c>
      <c r="P206" s="29">
        <v>7693.86</v>
      </c>
      <c r="Q206" s="30"/>
    </row>
    <row r="207" spans="1:17">
      <c r="A207" s="28">
        <v>38804</v>
      </c>
      <c r="B207" s="29">
        <v>114216.47</v>
      </c>
      <c r="C207" s="29">
        <v>83.69</v>
      </c>
      <c r="D207" s="29">
        <v>10534.73</v>
      </c>
      <c r="E207" s="29">
        <v>306.62</v>
      </c>
      <c r="F207" s="29">
        <v>8033.34</v>
      </c>
      <c r="G207" s="29">
        <v>62006.78</v>
      </c>
      <c r="H207" s="29">
        <v>354196.56</v>
      </c>
      <c r="I207" s="29">
        <v>33988.620000000003</v>
      </c>
      <c r="J207" s="29">
        <v>24816.799999999999</v>
      </c>
      <c r="K207" s="29">
        <v>142176.22</v>
      </c>
      <c r="L207" s="29">
        <v>14329.19</v>
      </c>
      <c r="M207" s="29">
        <v>657336.54</v>
      </c>
      <c r="N207" s="29">
        <v>315265.77</v>
      </c>
      <c r="O207" s="29">
        <v>80857.97</v>
      </c>
      <c r="P207" s="29">
        <v>7620.21</v>
      </c>
      <c r="Q207" s="30"/>
    </row>
    <row r="208" spans="1:17">
      <c r="A208" s="28">
        <v>38776</v>
      </c>
      <c r="B208" s="29">
        <v>95857.97</v>
      </c>
      <c r="C208" s="29">
        <v>83.69</v>
      </c>
      <c r="D208" s="29">
        <v>10935.94</v>
      </c>
      <c r="E208" s="29">
        <v>300.79000000000002</v>
      </c>
      <c r="F208" s="29">
        <v>7923</v>
      </c>
      <c r="G208" s="29">
        <v>57924.160000000003</v>
      </c>
      <c r="H208" s="29">
        <v>345796.89</v>
      </c>
      <c r="I208" s="29">
        <v>32836.75</v>
      </c>
      <c r="J208" s="29">
        <v>24369.66</v>
      </c>
      <c r="K208" s="29">
        <v>143054.35999999999</v>
      </c>
      <c r="L208" s="29">
        <v>13729.9</v>
      </c>
      <c r="M208" s="29">
        <v>653079.1</v>
      </c>
      <c r="N208" s="29">
        <v>309734.76</v>
      </c>
      <c r="O208" s="29">
        <v>80110</v>
      </c>
      <c r="P208" s="29">
        <v>7617.01</v>
      </c>
      <c r="Q208" s="30"/>
    </row>
    <row r="209" spans="1:17">
      <c r="A209" s="28">
        <v>38745</v>
      </c>
      <c r="B209" s="29">
        <v>103976.66</v>
      </c>
      <c r="C209" s="29">
        <v>83.69</v>
      </c>
      <c r="D209" s="29">
        <v>9707.92</v>
      </c>
      <c r="E209" s="29">
        <v>290.47000000000003</v>
      </c>
      <c r="F209" s="29">
        <v>7386.83</v>
      </c>
      <c r="G209" s="29">
        <v>65825.929999999993</v>
      </c>
      <c r="H209" s="29">
        <v>363453.13</v>
      </c>
      <c r="I209" s="29">
        <v>33397.79</v>
      </c>
      <c r="J209" s="29">
        <v>23471.19</v>
      </c>
      <c r="K209" s="29">
        <v>146224.79</v>
      </c>
      <c r="L209" s="29">
        <v>13634.07</v>
      </c>
      <c r="M209" s="29">
        <v>650111.06999999995</v>
      </c>
      <c r="N209" s="29">
        <v>305678.40000000002</v>
      </c>
      <c r="O209" s="29">
        <v>79824.44</v>
      </c>
      <c r="P209" s="29">
        <v>7597</v>
      </c>
      <c r="Q209" s="30"/>
    </row>
    <row r="210" spans="1:17">
      <c r="A210" s="28">
        <v>38714</v>
      </c>
      <c r="B210" s="29">
        <v>103505</v>
      </c>
      <c r="C210" s="29">
        <v>83.84</v>
      </c>
      <c r="D210" s="29">
        <v>8897.1</v>
      </c>
      <c r="E210" s="29">
        <v>291.79000000000002</v>
      </c>
      <c r="F210" s="29">
        <v>7276.2</v>
      </c>
      <c r="G210" s="29">
        <v>63588.160000000003</v>
      </c>
      <c r="H210" s="29">
        <v>356557.68</v>
      </c>
      <c r="I210" s="29">
        <v>32257.99</v>
      </c>
      <c r="J210" s="29">
        <v>24810.84</v>
      </c>
      <c r="K210" s="29">
        <v>148128.46</v>
      </c>
      <c r="L210" s="29">
        <v>12663.76</v>
      </c>
      <c r="M210" s="29">
        <v>640182.35</v>
      </c>
      <c r="N210" s="29">
        <v>305569.81</v>
      </c>
      <c r="O210" s="29">
        <v>79229.039999999994</v>
      </c>
      <c r="P210" s="29">
        <v>7358.99</v>
      </c>
      <c r="Q210" s="30"/>
    </row>
    <row r="211" spans="1:17">
      <c r="A211" s="28">
        <v>38684</v>
      </c>
      <c r="B211" s="29">
        <v>99390.3</v>
      </c>
      <c r="C211" s="29">
        <v>83.84</v>
      </c>
      <c r="D211" s="29">
        <v>9530.64</v>
      </c>
      <c r="E211" s="29">
        <v>277.32</v>
      </c>
      <c r="F211" s="29">
        <v>6764.82</v>
      </c>
      <c r="G211" s="29">
        <v>68201.42</v>
      </c>
      <c r="H211" s="29">
        <v>355681.66</v>
      </c>
      <c r="I211" s="29">
        <v>31233.59</v>
      </c>
      <c r="J211" s="29">
        <v>23554.03</v>
      </c>
      <c r="K211" s="29">
        <v>138286.39000000001</v>
      </c>
      <c r="L211" s="29">
        <v>13771.47</v>
      </c>
      <c r="M211" s="29">
        <v>642450.84</v>
      </c>
      <c r="N211" s="29">
        <v>302856.33</v>
      </c>
      <c r="O211" s="29">
        <v>80912.09</v>
      </c>
      <c r="P211" s="29">
        <v>7137.58</v>
      </c>
      <c r="Q211" s="30"/>
    </row>
    <row r="212" spans="1:17">
      <c r="A212" s="28">
        <v>38653</v>
      </c>
      <c r="B212" s="29">
        <v>95166.31</v>
      </c>
      <c r="C212" s="29">
        <v>83.97</v>
      </c>
      <c r="D212" s="29">
        <v>9025.76</v>
      </c>
      <c r="E212" s="29">
        <v>281.67</v>
      </c>
      <c r="F212" s="29">
        <v>6221.46</v>
      </c>
      <c r="G212" s="29">
        <v>66810.259999999995</v>
      </c>
      <c r="H212" s="29">
        <v>360611.28</v>
      </c>
      <c r="I212" s="29">
        <v>32322.02</v>
      </c>
      <c r="J212" s="29">
        <v>23524.12</v>
      </c>
      <c r="K212" s="29">
        <v>138291.06</v>
      </c>
      <c r="L212" s="29">
        <v>13386.73</v>
      </c>
      <c r="M212" s="29">
        <v>630732.72</v>
      </c>
      <c r="N212" s="29">
        <v>299253.67</v>
      </c>
      <c r="O212" s="29">
        <v>79743.240000000005</v>
      </c>
      <c r="P212" s="29">
        <v>7039.31</v>
      </c>
      <c r="Q212" s="30"/>
    </row>
    <row r="213" spans="1:17">
      <c r="A213" s="28">
        <v>38623</v>
      </c>
      <c r="B213" s="29">
        <v>96078.15</v>
      </c>
      <c r="C213" s="29">
        <v>83.99</v>
      </c>
      <c r="D213" s="29">
        <v>8879.48</v>
      </c>
      <c r="E213" s="29">
        <v>297.67</v>
      </c>
      <c r="F213" s="29">
        <v>6460.27</v>
      </c>
      <c r="G213" s="29">
        <v>69140.94</v>
      </c>
      <c r="H213" s="29">
        <v>349735.73</v>
      </c>
      <c r="I213" s="29">
        <v>32165.64</v>
      </c>
      <c r="J213" s="29">
        <v>23364.400000000001</v>
      </c>
      <c r="K213" s="29">
        <v>136240.85</v>
      </c>
      <c r="L213" s="29">
        <v>12795.44</v>
      </c>
      <c r="M213" s="29">
        <v>629116.94999999995</v>
      </c>
      <c r="N213" s="29">
        <v>295460.56</v>
      </c>
      <c r="O213" s="29">
        <v>79396.3</v>
      </c>
      <c r="P213" s="29">
        <v>6954.08</v>
      </c>
      <c r="Q213" s="30"/>
    </row>
    <row r="214" spans="1:17">
      <c r="A214" s="28">
        <v>38592</v>
      </c>
      <c r="B214" s="29">
        <v>99654.02</v>
      </c>
      <c r="C214" s="29">
        <v>84.01</v>
      </c>
      <c r="D214" s="29">
        <v>9176.66</v>
      </c>
      <c r="E214" s="29">
        <v>297.01</v>
      </c>
      <c r="F214" s="29">
        <v>6190.39</v>
      </c>
      <c r="G214" s="29">
        <v>60233.49</v>
      </c>
      <c r="H214" s="29">
        <v>342796.08</v>
      </c>
      <c r="I214" s="29">
        <v>31117.69</v>
      </c>
      <c r="J214" s="29">
        <v>22547.29</v>
      </c>
      <c r="K214" s="29">
        <v>132451.23000000001</v>
      </c>
      <c r="L214" s="29">
        <v>12682.13</v>
      </c>
      <c r="M214" s="29">
        <v>630061.9</v>
      </c>
      <c r="N214" s="29">
        <v>292823.87</v>
      </c>
      <c r="O214" s="29">
        <v>78869.960000000006</v>
      </c>
      <c r="P214" s="29">
        <v>6882.77</v>
      </c>
      <c r="Q214" s="30"/>
    </row>
    <row r="215" spans="1:17">
      <c r="A215" s="28">
        <v>38561</v>
      </c>
      <c r="B215" s="29">
        <v>96116.96</v>
      </c>
      <c r="C215" s="29">
        <v>84.01</v>
      </c>
      <c r="D215" s="29">
        <v>6574.32</v>
      </c>
      <c r="E215" s="29">
        <v>283.92</v>
      </c>
      <c r="F215" s="29">
        <v>5696.01</v>
      </c>
      <c r="G215" s="29">
        <v>65976.52</v>
      </c>
      <c r="H215" s="29">
        <v>335681.12</v>
      </c>
      <c r="I215" s="29">
        <v>31323.22</v>
      </c>
      <c r="J215" s="29">
        <v>23540.55</v>
      </c>
      <c r="K215" s="29">
        <v>135332.25</v>
      </c>
      <c r="L215" s="29">
        <v>12668.59</v>
      </c>
      <c r="M215" s="29">
        <v>633476.09</v>
      </c>
      <c r="N215" s="29">
        <v>291879.96999999997</v>
      </c>
      <c r="O215" s="29">
        <v>78560.850000000006</v>
      </c>
      <c r="P215" s="29">
        <v>7083.3</v>
      </c>
      <c r="Q215" s="30"/>
    </row>
    <row r="216" spans="1:17">
      <c r="A216" s="28">
        <v>38531</v>
      </c>
      <c r="B216" s="29">
        <v>97527.95</v>
      </c>
      <c r="C216" s="29">
        <v>84.15</v>
      </c>
      <c r="D216" s="29">
        <v>6460.7</v>
      </c>
      <c r="E216" s="29">
        <v>279.05</v>
      </c>
      <c r="F216" s="29">
        <v>5388.87</v>
      </c>
      <c r="G216" s="29">
        <v>65535.95</v>
      </c>
      <c r="H216" s="29">
        <v>347962.97</v>
      </c>
      <c r="I216" s="29">
        <v>31676.78</v>
      </c>
      <c r="J216" s="29">
        <v>23726.48</v>
      </c>
      <c r="K216" s="29">
        <v>140148.75</v>
      </c>
      <c r="L216" s="29">
        <v>12073.26</v>
      </c>
      <c r="M216" s="29">
        <v>631197.43000000005</v>
      </c>
      <c r="N216" s="29">
        <v>287195.25</v>
      </c>
      <c r="O216" s="29">
        <v>78228.14</v>
      </c>
      <c r="P216" s="29">
        <v>6942.61</v>
      </c>
      <c r="Q216" s="30"/>
    </row>
    <row r="217" spans="1:17">
      <c r="A217" s="28">
        <v>38500</v>
      </c>
      <c r="B217" s="29">
        <v>98826.02</v>
      </c>
      <c r="C217" s="29">
        <v>84.15</v>
      </c>
      <c r="D217" s="29">
        <v>5915.54</v>
      </c>
      <c r="E217" s="29">
        <v>276.95</v>
      </c>
      <c r="F217" s="29">
        <v>5427.26</v>
      </c>
      <c r="G217" s="29">
        <v>63102.73</v>
      </c>
      <c r="H217" s="29">
        <v>343086.59</v>
      </c>
      <c r="I217" s="29">
        <v>31934.82</v>
      </c>
      <c r="J217" s="29">
        <v>23113.119999999999</v>
      </c>
      <c r="K217" s="29">
        <v>138228.81</v>
      </c>
      <c r="L217" s="29">
        <v>11475.75</v>
      </c>
      <c r="M217" s="29">
        <v>619552.24</v>
      </c>
      <c r="N217" s="29">
        <v>282253.62</v>
      </c>
      <c r="O217" s="29">
        <v>77506.320000000007</v>
      </c>
      <c r="P217" s="29">
        <v>6674.9</v>
      </c>
      <c r="Q217" s="30"/>
    </row>
    <row r="218" spans="1:17">
      <c r="A218" s="28">
        <v>38470</v>
      </c>
      <c r="B218" s="29">
        <v>92691.94</v>
      </c>
      <c r="C218" s="29">
        <v>84.18</v>
      </c>
      <c r="D218" s="29">
        <v>7019.44</v>
      </c>
      <c r="E218" s="29">
        <v>281.42</v>
      </c>
      <c r="F218" s="29">
        <v>5472.65</v>
      </c>
      <c r="G218" s="29">
        <v>59430.75</v>
      </c>
      <c r="H218" s="29">
        <v>326889.65000000002</v>
      </c>
      <c r="I218" s="29">
        <v>31413.11</v>
      </c>
      <c r="J218" s="29">
        <v>23335.25</v>
      </c>
      <c r="K218" s="29">
        <v>139153.39000000001</v>
      </c>
      <c r="L218" s="29">
        <v>11595.9</v>
      </c>
      <c r="M218" s="29">
        <v>616627.63</v>
      </c>
      <c r="N218" s="29">
        <v>277016.39</v>
      </c>
      <c r="O218" s="29">
        <v>77031.11</v>
      </c>
      <c r="P218" s="29">
        <v>6606.67</v>
      </c>
      <c r="Q218" s="30"/>
    </row>
    <row r="219" spans="1:17">
      <c r="A219" s="28">
        <v>38439</v>
      </c>
      <c r="B219" s="29">
        <v>88883.72</v>
      </c>
      <c r="C219" s="29">
        <v>89.35</v>
      </c>
      <c r="D219" s="29">
        <v>6503.02</v>
      </c>
      <c r="E219" s="29">
        <v>284.74</v>
      </c>
      <c r="F219" s="29">
        <v>5834.59</v>
      </c>
      <c r="G219" s="29">
        <v>56838.54</v>
      </c>
      <c r="H219" s="29">
        <v>322100.81</v>
      </c>
      <c r="I219" s="29">
        <v>31547.22</v>
      </c>
      <c r="J219" s="29">
        <v>21778.03</v>
      </c>
      <c r="K219" s="29">
        <v>140813.26</v>
      </c>
      <c r="L219" s="29">
        <v>10854.9</v>
      </c>
      <c r="M219" s="29">
        <v>618511.11</v>
      </c>
      <c r="N219" s="29">
        <v>274409.93</v>
      </c>
      <c r="O219" s="29">
        <v>76644.95</v>
      </c>
      <c r="P219" s="29">
        <v>6811.62</v>
      </c>
      <c r="Q219" s="30"/>
    </row>
    <row r="220" spans="1:17">
      <c r="A220" s="28">
        <v>38411</v>
      </c>
      <c r="B220" s="29">
        <v>86556.41</v>
      </c>
      <c r="C220" s="29">
        <v>89.23</v>
      </c>
      <c r="D220" s="29">
        <v>7978.71</v>
      </c>
      <c r="E220" s="29">
        <v>290.43</v>
      </c>
      <c r="F220" s="29">
        <v>5522.2</v>
      </c>
      <c r="G220" s="29">
        <v>54068.160000000003</v>
      </c>
      <c r="H220" s="29">
        <v>314680.84000000003</v>
      </c>
      <c r="I220" s="29">
        <v>31136.25</v>
      </c>
      <c r="J220" s="29">
        <v>23073.82</v>
      </c>
      <c r="K220" s="29">
        <v>133206.35999999999</v>
      </c>
      <c r="L220" s="29">
        <v>10848.11</v>
      </c>
      <c r="M220" s="29">
        <v>620055.72</v>
      </c>
      <c r="N220" s="29">
        <v>273091.53000000003</v>
      </c>
      <c r="O220" s="29">
        <v>76095.88</v>
      </c>
      <c r="P220" s="29">
        <v>6852.11</v>
      </c>
      <c r="Q220" s="30"/>
    </row>
    <row r="221" spans="1:17">
      <c r="A221" s="28">
        <v>38380</v>
      </c>
      <c r="B221" s="29">
        <v>84769.87</v>
      </c>
      <c r="C221" s="29">
        <v>89.14</v>
      </c>
      <c r="D221" s="29">
        <v>7042.87</v>
      </c>
      <c r="E221" s="29">
        <v>285.08999999999997</v>
      </c>
      <c r="F221" s="29">
        <v>5458.15</v>
      </c>
      <c r="G221" s="29">
        <v>55060.36</v>
      </c>
      <c r="H221" s="29">
        <v>318545.67</v>
      </c>
      <c r="I221" s="29">
        <v>31261.8</v>
      </c>
      <c r="J221" s="29">
        <v>22151.83</v>
      </c>
      <c r="K221" s="29">
        <v>136028.79999999999</v>
      </c>
      <c r="L221" s="29">
        <v>10952.99</v>
      </c>
      <c r="M221" s="29">
        <v>623963.75</v>
      </c>
      <c r="N221" s="29">
        <v>270811.74</v>
      </c>
      <c r="O221" s="29">
        <v>75891.37</v>
      </c>
      <c r="P221" s="29">
        <v>6783.58</v>
      </c>
      <c r="Q221" s="30"/>
    </row>
    <row r="222" spans="1:17">
      <c r="A222" s="28">
        <v>38349</v>
      </c>
      <c r="B222" s="29">
        <v>93064.52</v>
      </c>
      <c r="C222" s="29">
        <v>89.24</v>
      </c>
      <c r="D222" s="29">
        <v>7404.14</v>
      </c>
      <c r="E222" s="29">
        <v>266.89999999999998</v>
      </c>
      <c r="F222" s="29">
        <v>5768.59</v>
      </c>
      <c r="G222" s="29">
        <v>61097.71</v>
      </c>
      <c r="H222" s="29">
        <v>327644.09000000003</v>
      </c>
      <c r="I222" s="29">
        <v>30509.29</v>
      </c>
      <c r="J222" s="29">
        <v>21996.959999999999</v>
      </c>
      <c r="K222" s="29">
        <v>137406.87</v>
      </c>
      <c r="L222" s="29">
        <v>10038.290000000001</v>
      </c>
      <c r="M222" s="29">
        <v>609418.13</v>
      </c>
      <c r="N222" s="29">
        <v>268571.74</v>
      </c>
      <c r="O222" s="29">
        <v>75891.399999999994</v>
      </c>
      <c r="P222" s="29">
        <v>6502.37</v>
      </c>
      <c r="Q222" s="30"/>
    </row>
    <row r="223" spans="1:17">
      <c r="A223" s="28">
        <v>38319</v>
      </c>
      <c r="B223" s="29">
        <v>88627.8</v>
      </c>
      <c r="C223" s="29">
        <v>92.4</v>
      </c>
      <c r="D223" s="29">
        <v>6306.84</v>
      </c>
      <c r="E223" s="29">
        <v>324.8</v>
      </c>
      <c r="F223" s="29">
        <v>5091.33</v>
      </c>
      <c r="G223" s="29">
        <v>67184.94</v>
      </c>
      <c r="H223" s="29">
        <v>309840.40999999997</v>
      </c>
      <c r="I223" s="29">
        <v>30334.1</v>
      </c>
      <c r="J223" s="29">
        <v>22560.36</v>
      </c>
      <c r="K223" s="29">
        <v>131779.84</v>
      </c>
      <c r="L223" s="29">
        <v>10372.69</v>
      </c>
      <c r="M223" s="29">
        <v>603153.75</v>
      </c>
      <c r="N223" s="29">
        <v>265154.83</v>
      </c>
      <c r="O223" s="29">
        <v>75029.64</v>
      </c>
      <c r="P223" s="29">
        <v>6467.86</v>
      </c>
      <c r="Q223" s="30"/>
    </row>
    <row r="224" spans="1:17">
      <c r="A224" s="28">
        <v>38288</v>
      </c>
      <c r="B224" s="29">
        <v>83411.240000000005</v>
      </c>
      <c r="C224" s="29">
        <v>94.92</v>
      </c>
      <c r="D224" s="29">
        <v>6345.22</v>
      </c>
      <c r="E224" s="29">
        <v>326.33</v>
      </c>
      <c r="F224" s="29">
        <v>5399.99</v>
      </c>
      <c r="G224" s="29">
        <v>63399.23</v>
      </c>
      <c r="H224" s="29">
        <v>316863.02</v>
      </c>
      <c r="I224" s="29">
        <v>30981.53</v>
      </c>
      <c r="J224" s="29">
        <v>22211.93</v>
      </c>
      <c r="K224" s="29">
        <v>129291.41</v>
      </c>
      <c r="L224" s="29">
        <v>9787.57</v>
      </c>
      <c r="M224" s="29">
        <v>590222.03</v>
      </c>
      <c r="N224" s="29">
        <v>262015.01</v>
      </c>
      <c r="O224" s="29">
        <v>73793.67</v>
      </c>
      <c r="P224" s="29">
        <v>6381.87</v>
      </c>
      <c r="Q224" s="30"/>
    </row>
    <row r="225" spans="1:17">
      <c r="A225" s="28">
        <v>38258</v>
      </c>
      <c r="B225" s="29">
        <v>74079.69</v>
      </c>
      <c r="C225" s="29">
        <v>89.31</v>
      </c>
      <c r="D225" s="29">
        <v>6482.22</v>
      </c>
      <c r="E225" s="29">
        <v>326.11</v>
      </c>
      <c r="F225" s="29">
        <v>5301.31</v>
      </c>
      <c r="G225" s="29">
        <v>67480.06</v>
      </c>
      <c r="H225" s="29">
        <v>316112.34999999998</v>
      </c>
      <c r="I225" s="29">
        <v>31968.97</v>
      </c>
      <c r="J225" s="29">
        <v>21787.26</v>
      </c>
      <c r="K225" s="29">
        <v>130872.4</v>
      </c>
      <c r="L225" s="29">
        <v>9129.82</v>
      </c>
      <c r="M225" s="29">
        <v>591058.94999999995</v>
      </c>
      <c r="N225" s="29">
        <v>257997.62</v>
      </c>
      <c r="O225" s="29">
        <v>73594.69</v>
      </c>
      <c r="P225" s="29">
        <v>6352.24</v>
      </c>
      <c r="Q225" s="30"/>
    </row>
    <row r="226" spans="1:17">
      <c r="A226" s="28">
        <v>38227</v>
      </c>
      <c r="B226" s="29">
        <v>73955.570000000007</v>
      </c>
      <c r="C226" s="29">
        <v>89.29</v>
      </c>
      <c r="D226" s="29">
        <v>6140.89</v>
      </c>
      <c r="E226" s="29">
        <v>326.82</v>
      </c>
      <c r="F226" s="29">
        <v>5346.36</v>
      </c>
      <c r="G226" s="29">
        <v>64429.41</v>
      </c>
      <c r="H226" s="29">
        <v>320835.15999999997</v>
      </c>
      <c r="I226" s="29">
        <v>31899.4</v>
      </c>
      <c r="J226" s="29">
        <v>21162.83</v>
      </c>
      <c r="K226" s="29">
        <v>128887.6</v>
      </c>
      <c r="L226" s="29">
        <v>8808.18</v>
      </c>
      <c r="M226" s="29">
        <v>588973.17000000004</v>
      </c>
      <c r="N226" s="29">
        <v>254623.79</v>
      </c>
      <c r="O226" s="29">
        <v>73318.820000000007</v>
      </c>
      <c r="P226" s="29">
        <v>6162.21</v>
      </c>
      <c r="Q226" s="30"/>
    </row>
    <row r="227" spans="1:17">
      <c r="A227" s="28">
        <v>38196</v>
      </c>
      <c r="B227" s="29">
        <v>72116.22</v>
      </c>
      <c r="C227" s="29">
        <v>89.29</v>
      </c>
      <c r="D227" s="29">
        <v>6424.81</v>
      </c>
      <c r="E227" s="29">
        <v>342.33</v>
      </c>
      <c r="F227" s="29">
        <v>5251.86</v>
      </c>
      <c r="G227" s="29">
        <v>67355.69</v>
      </c>
      <c r="H227" s="29">
        <v>318525.11</v>
      </c>
      <c r="I227" s="29">
        <v>31890</v>
      </c>
      <c r="J227" s="29">
        <v>21377.23</v>
      </c>
      <c r="K227" s="29">
        <v>130405.46</v>
      </c>
      <c r="L227" s="29">
        <v>8686.51</v>
      </c>
      <c r="M227" s="29">
        <v>593609.38</v>
      </c>
      <c r="N227" s="29">
        <v>254177.75</v>
      </c>
      <c r="O227" s="29">
        <v>73098.7</v>
      </c>
      <c r="P227" s="29">
        <v>6252.37</v>
      </c>
      <c r="Q227" s="30"/>
    </row>
    <row r="228" spans="1:17">
      <c r="A228" s="28">
        <v>38166</v>
      </c>
      <c r="B228" s="29">
        <v>67640.08</v>
      </c>
      <c r="C228" s="29">
        <v>89.32</v>
      </c>
      <c r="D228" s="29">
        <v>6169.4</v>
      </c>
      <c r="E228" s="29">
        <v>317.73</v>
      </c>
      <c r="F228" s="29">
        <v>5819.05</v>
      </c>
      <c r="G228" s="29">
        <v>66527.759999999995</v>
      </c>
      <c r="H228" s="29">
        <v>300570.27</v>
      </c>
      <c r="I228" s="29">
        <v>31401.45</v>
      </c>
      <c r="J228" s="29">
        <v>22195.78</v>
      </c>
      <c r="K228" s="29">
        <v>134707.96</v>
      </c>
      <c r="L228" s="29">
        <v>7986.51</v>
      </c>
      <c r="M228" s="29">
        <v>592392.63</v>
      </c>
      <c r="N228" s="29">
        <v>249094.99</v>
      </c>
      <c r="O228" s="29">
        <v>72780.960000000006</v>
      </c>
      <c r="P228" s="29">
        <v>6298.5</v>
      </c>
      <c r="Q228" s="30"/>
    </row>
    <row r="229" spans="1:17">
      <c r="A229" s="28">
        <v>38135</v>
      </c>
      <c r="B229" s="29">
        <v>68089.47</v>
      </c>
      <c r="C229" s="29">
        <v>93.27</v>
      </c>
      <c r="D229" s="29">
        <v>6317.1</v>
      </c>
      <c r="E229" s="29">
        <v>299.06</v>
      </c>
      <c r="F229" s="29">
        <v>6062.06</v>
      </c>
      <c r="G229" s="29">
        <v>66795.58</v>
      </c>
      <c r="H229" s="29">
        <v>309940.07</v>
      </c>
      <c r="I229" s="29">
        <v>31542.560000000001</v>
      </c>
      <c r="J229" s="29">
        <v>22953.439999999999</v>
      </c>
      <c r="K229" s="29">
        <v>132285.67000000001</v>
      </c>
      <c r="L229" s="29">
        <v>7760.13</v>
      </c>
      <c r="M229" s="29">
        <v>582232.14</v>
      </c>
      <c r="N229" s="29">
        <v>245992.72</v>
      </c>
      <c r="O229" s="29">
        <v>72102.039999999994</v>
      </c>
      <c r="P229" s="29">
        <v>6439.86</v>
      </c>
      <c r="Q229" s="30"/>
    </row>
    <row r="230" spans="1:17">
      <c r="A230" s="28">
        <v>38105</v>
      </c>
      <c r="B230" s="29">
        <v>70925.41</v>
      </c>
      <c r="C230" s="29">
        <v>89.3</v>
      </c>
      <c r="D230" s="29">
        <v>6786.09</v>
      </c>
      <c r="E230" s="29">
        <v>299.26</v>
      </c>
      <c r="F230" s="29">
        <v>5813.05</v>
      </c>
      <c r="G230" s="29">
        <v>68049.25</v>
      </c>
      <c r="H230" s="29">
        <v>311888.03999999998</v>
      </c>
      <c r="I230" s="29">
        <v>31025.040000000001</v>
      </c>
      <c r="J230" s="29">
        <v>22325.96</v>
      </c>
      <c r="K230" s="29">
        <v>132147.95000000001</v>
      </c>
      <c r="L230" s="29">
        <v>7315.84</v>
      </c>
      <c r="M230" s="29">
        <v>582775.13</v>
      </c>
      <c r="N230" s="29">
        <v>243026.02</v>
      </c>
      <c r="O230" s="29">
        <v>72161.47</v>
      </c>
      <c r="P230" s="29">
        <v>6475.11</v>
      </c>
      <c r="Q230" s="30"/>
    </row>
    <row r="231" spans="1:17">
      <c r="A231" s="28">
        <v>38074</v>
      </c>
      <c r="B231" s="29">
        <v>72073.73</v>
      </c>
      <c r="C231" s="29">
        <v>96.53</v>
      </c>
      <c r="D231" s="29">
        <v>9168.23</v>
      </c>
      <c r="E231" s="29">
        <v>300.27999999999997</v>
      </c>
      <c r="F231" s="29">
        <v>5614.54</v>
      </c>
      <c r="G231" s="29">
        <v>68401.440000000002</v>
      </c>
      <c r="H231" s="29">
        <v>318018.03999999998</v>
      </c>
      <c r="I231" s="29">
        <v>30498.09</v>
      </c>
      <c r="J231" s="29">
        <v>22314.91</v>
      </c>
      <c r="K231" s="29">
        <v>133019.03</v>
      </c>
      <c r="L231" s="29">
        <v>6995.6</v>
      </c>
      <c r="M231" s="29">
        <v>578932.38</v>
      </c>
      <c r="N231" s="29">
        <v>239476.23</v>
      </c>
      <c r="O231" s="29">
        <v>71938.22</v>
      </c>
      <c r="P231" s="29">
        <v>6353.13</v>
      </c>
      <c r="Q231" s="30"/>
    </row>
    <row r="232" spans="1:17">
      <c r="A232" s="28">
        <v>38045</v>
      </c>
      <c r="B232" s="29">
        <v>66058.13</v>
      </c>
      <c r="C232" s="29">
        <v>94.63</v>
      </c>
      <c r="D232" s="29">
        <v>8839.66</v>
      </c>
      <c r="E232" s="29">
        <v>300.38</v>
      </c>
      <c r="F232" s="29">
        <v>5487.26</v>
      </c>
      <c r="G232" s="29">
        <v>64427.72</v>
      </c>
      <c r="H232" s="29">
        <v>310699.40999999997</v>
      </c>
      <c r="I232" s="29">
        <v>29325.85</v>
      </c>
      <c r="J232" s="29">
        <v>23111.15</v>
      </c>
      <c r="K232" s="29">
        <v>133737.60000000001</v>
      </c>
      <c r="L232" s="29">
        <v>6361.5</v>
      </c>
      <c r="M232" s="29">
        <v>579683.96</v>
      </c>
      <c r="N232" s="29">
        <v>236742.73</v>
      </c>
      <c r="O232" s="29">
        <v>71228.14</v>
      </c>
      <c r="P232" s="29">
        <v>6157.28</v>
      </c>
      <c r="Q232" s="30"/>
    </row>
    <row r="233" spans="1:17">
      <c r="A233" s="28">
        <v>38014</v>
      </c>
      <c r="B233" s="29">
        <v>70895.37</v>
      </c>
      <c r="C233" s="29">
        <v>109.56</v>
      </c>
      <c r="D233" s="29">
        <v>9070.01</v>
      </c>
      <c r="E233" s="29">
        <v>380.9</v>
      </c>
      <c r="F233" s="29">
        <v>5463.31</v>
      </c>
      <c r="G233" s="29">
        <v>70482.789999999994</v>
      </c>
      <c r="H233" s="29">
        <v>311010.76</v>
      </c>
      <c r="I233" s="29">
        <v>29488.16</v>
      </c>
      <c r="J233" s="29">
        <v>22666.84</v>
      </c>
      <c r="K233" s="29">
        <v>137719.35999999999</v>
      </c>
      <c r="L233" s="29">
        <v>6502.08</v>
      </c>
      <c r="M233" s="29">
        <v>582587.87</v>
      </c>
      <c r="N233" s="29">
        <v>233927.11</v>
      </c>
      <c r="O233" s="29">
        <v>71048.69</v>
      </c>
      <c r="P233" s="29">
        <v>6115.67</v>
      </c>
      <c r="Q233" s="30"/>
    </row>
    <row r="234" spans="1:17">
      <c r="A234" s="28">
        <v>37983</v>
      </c>
      <c r="B234" s="29">
        <v>74316.13</v>
      </c>
      <c r="C234" s="29">
        <v>110.46</v>
      </c>
      <c r="D234" s="29">
        <v>9846.52</v>
      </c>
      <c r="E234" s="29">
        <v>378.76</v>
      </c>
      <c r="F234" s="29">
        <v>5791.06</v>
      </c>
      <c r="G234" s="29">
        <v>61705.8</v>
      </c>
      <c r="H234" s="29">
        <v>302186.39</v>
      </c>
      <c r="I234" s="29">
        <v>29835.68</v>
      </c>
      <c r="J234" s="29">
        <v>23031.64</v>
      </c>
      <c r="K234" s="29">
        <v>148301.29999999999</v>
      </c>
      <c r="L234" s="29">
        <v>5995.79</v>
      </c>
      <c r="M234" s="29">
        <v>582884.47</v>
      </c>
      <c r="N234" s="29">
        <v>232629.93</v>
      </c>
      <c r="O234" s="29">
        <v>71075.95</v>
      </c>
      <c r="P234" s="29">
        <v>6165.05</v>
      </c>
      <c r="Q234" s="30"/>
    </row>
    <row r="235" spans="1:17">
      <c r="A235" s="28">
        <v>37953</v>
      </c>
      <c r="B235" s="29">
        <v>69511.600000000006</v>
      </c>
      <c r="C235" s="29">
        <v>110.67</v>
      </c>
      <c r="D235" s="29">
        <v>7687.46</v>
      </c>
      <c r="E235" s="29">
        <v>180.68</v>
      </c>
      <c r="F235" s="29">
        <v>5485.16</v>
      </c>
      <c r="G235" s="29">
        <v>62409</v>
      </c>
      <c r="H235" s="29">
        <v>294221.24</v>
      </c>
      <c r="I235" s="29">
        <v>30294.17</v>
      </c>
      <c r="J235" s="29">
        <v>24682.58</v>
      </c>
      <c r="K235" s="29">
        <v>144415.92000000001</v>
      </c>
      <c r="L235" s="29">
        <v>6102.38</v>
      </c>
      <c r="M235" s="29">
        <v>566941.53</v>
      </c>
      <c r="N235" s="29">
        <v>230287.62</v>
      </c>
      <c r="O235" s="29">
        <v>70315.289999999994</v>
      </c>
      <c r="P235" s="29">
        <v>5946.8</v>
      </c>
      <c r="Q235" s="30"/>
    </row>
    <row r="236" spans="1:17">
      <c r="A236" s="28">
        <v>37922</v>
      </c>
      <c r="B236" s="29">
        <v>68289.399999999994</v>
      </c>
      <c r="C236" s="29">
        <v>109.48</v>
      </c>
      <c r="D236" s="29">
        <v>7669.67</v>
      </c>
      <c r="E236" s="29">
        <v>207.44</v>
      </c>
      <c r="F236" s="29">
        <v>5346.15</v>
      </c>
      <c r="G236" s="29">
        <v>66362.710000000006</v>
      </c>
      <c r="H236" s="29">
        <v>294161.5</v>
      </c>
      <c r="I236" s="29">
        <v>30969.87</v>
      </c>
      <c r="J236" s="29">
        <v>23663.84</v>
      </c>
      <c r="K236" s="29">
        <v>143776.67000000001</v>
      </c>
      <c r="L236" s="29">
        <v>6091.39</v>
      </c>
      <c r="M236" s="29">
        <v>564710.85</v>
      </c>
      <c r="N236" s="29">
        <v>228573.32</v>
      </c>
      <c r="O236" s="29">
        <v>69731.600000000006</v>
      </c>
      <c r="P236" s="29">
        <v>5964.38</v>
      </c>
      <c r="Q236" s="30"/>
    </row>
    <row r="237" spans="1:17">
      <c r="A237" s="28">
        <v>37892</v>
      </c>
      <c r="B237" s="29">
        <v>68236.55</v>
      </c>
      <c r="C237" s="29">
        <v>110.28</v>
      </c>
      <c r="D237" s="29">
        <v>7693.56</v>
      </c>
      <c r="E237" s="29">
        <v>208.24</v>
      </c>
      <c r="F237" s="29">
        <v>5425.61</v>
      </c>
      <c r="G237" s="29">
        <v>64667.34</v>
      </c>
      <c r="H237" s="29">
        <v>288391.45</v>
      </c>
      <c r="I237" s="29">
        <v>30586.080000000002</v>
      </c>
      <c r="J237" s="29">
        <v>23822.82</v>
      </c>
      <c r="K237" s="29">
        <v>144052.34</v>
      </c>
      <c r="L237" s="29">
        <v>5436.41</v>
      </c>
      <c r="M237" s="29">
        <v>564314.43999999994</v>
      </c>
      <c r="N237" s="29">
        <v>225783.19</v>
      </c>
      <c r="O237" s="29">
        <v>69657.899999999994</v>
      </c>
      <c r="P237" s="29">
        <v>6149.81</v>
      </c>
      <c r="Q237" s="30"/>
    </row>
    <row r="238" spans="1:17">
      <c r="A238" s="28">
        <v>37861</v>
      </c>
      <c r="B238" s="29">
        <v>72169.86</v>
      </c>
      <c r="C238" s="29">
        <v>109.71</v>
      </c>
      <c r="D238" s="29">
        <v>7390.39</v>
      </c>
      <c r="E238" s="29">
        <v>222.33</v>
      </c>
      <c r="F238" s="29">
        <v>5263.06</v>
      </c>
      <c r="G238" s="29">
        <v>58170.28</v>
      </c>
      <c r="H238" s="29">
        <v>276719.08</v>
      </c>
      <c r="I238" s="29">
        <v>30075.67</v>
      </c>
      <c r="J238" s="29">
        <v>23684.93</v>
      </c>
      <c r="K238" s="29">
        <v>147793.26999999999</v>
      </c>
      <c r="L238" s="29">
        <v>5190.96</v>
      </c>
      <c r="M238" s="29">
        <v>560099.31999999995</v>
      </c>
      <c r="N238" s="29">
        <v>223166.62</v>
      </c>
      <c r="O238" s="29">
        <v>68933.63</v>
      </c>
      <c r="P238" s="29">
        <v>6004.8</v>
      </c>
      <c r="Q238" s="30"/>
    </row>
    <row r="239" spans="1:17">
      <c r="A239" s="28">
        <v>37830</v>
      </c>
      <c r="B239" s="29">
        <v>72805.89</v>
      </c>
      <c r="C239" s="29">
        <v>109.84</v>
      </c>
      <c r="D239" s="29">
        <v>7649.24</v>
      </c>
      <c r="E239" s="29">
        <v>220.95</v>
      </c>
      <c r="F239" s="29">
        <v>5008.3100000000004</v>
      </c>
      <c r="G239" s="29">
        <v>63248.58</v>
      </c>
      <c r="H239" s="29">
        <v>274205.11</v>
      </c>
      <c r="I239" s="29">
        <v>30705.1</v>
      </c>
      <c r="J239" s="29">
        <v>24023.040000000001</v>
      </c>
      <c r="K239" s="29">
        <v>148577.09</v>
      </c>
      <c r="L239" s="29">
        <v>5692.35</v>
      </c>
      <c r="M239" s="29">
        <v>558503.6</v>
      </c>
      <c r="N239" s="29">
        <v>222682.71</v>
      </c>
      <c r="O239" s="29">
        <v>68501.67</v>
      </c>
      <c r="P239" s="29">
        <v>6004.51</v>
      </c>
      <c r="Q239" s="30"/>
    </row>
    <row r="240" spans="1:17">
      <c r="A240" s="28">
        <v>37800</v>
      </c>
      <c r="B240" s="29">
        <v>73408.7</v>
      </c>
      <c r="C240" s="29">
        <v>113.72</v>
      </c>
      <c r="D240" s="29">
        <v>7035.75</v>
      </c>
      <c r="E240" s="29">
        <v>217.5</v>
      </c>
      <c r="F240" s="29">
        <v>5173.8500000000004</v>
      </c>
      <c r="G240" s="29">
        <v>65062</v>
      </c>
      <c r="H240" s="29">
        <v>274962.27</v>
      </c>
      <c r="I240" s="29">
        <v>31302.19</v>
      </c>
      <c r="J240" s="29">
        <v>25815.93</v>
      </c>
      <c r="K240" s="29">
        <v>151416.70000000001</v>
      </c>
      <c r="L240" s="29">
        <v>5484.04</v>
      </c>
      <c r="M240" s="29">
        <v>556291.24</v>
      </c>
      <c r="N240" s="29">
        <v>219238.1</v>
      </c>
      <c r="O240" s="29">
        <v>67809.03</v>
      </c>
      <c r="P240" s="29">
        <v>5881.7</v>
      </c>
      <c r="Q240" s="30"/>
    </row>
    <row r="241" spans="1:17">
      <c r="A241" s="28">
        <v>37769</v>
      </c>
      <c r="B241" s="29">
        <v>76155.5</v>
      </c>
      <c r="C241" s="29">
        <v>112.68</v>
      </c>
      <c r="D241" s="29">
        <v>6483.12</v>
      </c>
      <c r="E241" s="29">
        <v>213.89</v>
      </c>
      <c r="F241" s="29">
        <v>5066.75</v>
      </c>
      <c r="G241" s="29">
        <v>62788.15</v>
      </c>
      <c r="H241" s="29">
        <v>267345.68</v>
      </c>
      <c r="I241" s="29">
        <v>30970.12</v>
      </c>
      <c r="J241" s="29">
        <v>24973.48</v>
      </c>
      <c r="K241" s="29">
        <v>149366.65</v>
      </c>
      <c r="L241" s="29">
        <v>4689.75</v>
      </c>
      <c r="M241" s="29">
        <v>547302.55000000005</v>
      </c>
      <c r="N241" s="29">
        <v>218291.84</v>
      </c>
      <c r="O241" s="29">
        <v>67080.62</v>
      </c>
      <c r="P241" s="29">
        <v>5855.41</v>
      </c>
      <c r="Q241" s="30"/>
    </row>
    <row r="242" spans="1:17">
      <c r="A242" s="28">
        <v>37739</v>
      </c>
      <c r="B242" s="29">
        <v>79350.7</v>
      </c>
      <c r="C242" s="29">
        <v>110.97</v>
      </c>
      <c r="D242" s="29">
        <v>6606.03</v>
      </c>
      <c r="E242" s="29">
        <v>228.69</v>
      </c>
      <c r="F242" s="29">
        <v>5058.04</v>
      </c>
      <c r="G242" s="29">
        <v>63874.879999999997</v>
      </c>
      <c r="H242" s="29">
        <v>257150.84</v>
      </c>
      <c r="I242" s="29">
        <v>31098.83</v>
      </c>
      <c r="J242" s="29">
        <v>25316.92</v>
      </c>
      <c r="K242" s="29">
        <v>149779.54</v>
      </c>
      <c r="L242" s="29">
        <v>4731.54</v>
      </c>
      <c r="M242" s="29">
        <v>547869.05000000005</v>
      </c>
      <c r="N242" s="29">
        <v>215109.45</v>
      </c>
      <c r="O242" s="29">
        <v>66611.37</v>
      </c>
      <c r="P242" s="29">
        <v>5656.96</v>
      </c>
      <c r="Q242" s="30"/>
    </row>
    <row r="243" spans="1:17">
      <c r="A243" s="28">
        <v>37708</v>
      </c>
      <c r="B243" s="29">
        <v>79303.850000000006</v>
      </c>
      <c r="C243" s="29">
        <v>109.67</v>
      </c>
      <c r="D243" s="29">
        <v>6814.7</v>
      </c>
      <c r="E243" s="29">
        <v>206.03</v>
      </c>
      <c r="F243" s="29">
        <v>5740.82</v>
      </c>
      <c r="G243" s="29">
        <v>62701.09</v>
      </c>
      <c r="H243" s="29">
        <v>272345.83</v>
      </c>
      <c r="I243" s="29">
        <v>30822.79</v>
      </c>
      <c r="J243" s="29">
        <v>25390.39</v>
      </c>
      <c r="K243" s="29">
        <v>148812.44</v>
      </c>
      <c r="L243" s="29">
        <v>4702.34</v>
      </c>
      <c r="M243" s="29">
        <v>545892.34</v>
      </c>
      <c r="N243" s="29">
        <v>214806.86</v>
      </c>
      <c r="O243" s="29">
        <v>66480.55</v>
      </c>
      <c r="P243" s="29">
        <v>5808.56</v>
      </c>
      <c r="Q243" s="30"/>
    </row>
    <row r="244" spans="1:17">
      <c r="A244" s="28">
        <v>37680</v>
      </c>
      <c r="B244" s="29">
        <v>79847.759999999995</v>
      </c>
      <c r="C244" s="29">
        <v>110.4</v>
      </c>
      <c r="D244" s="29">
        <v>6918.15</v>
      </c>
      <c r="E244" s="29">
        <v>180.29</v>
      </c>
      <c r="F244" s="29">
        <v>5753.73</v>
      </c>
      <c r="G244" s="29">
        <v>61144.94</v>
      </c>
      <c r="H244" s="29">
        <v>276246.25</v>
      </c>
      <c r="I244" s="29">
        <v>31861.55</v>
      </c>
      <c r="J244" s="29">
        <v>25749.29</v>
      </c>
      <c r="K244" s="29">
        <v>150984.5</v>
      </c>
      <c r="L244" s="29">
        <v>5721.89</v>
      </c>
      <c r="M244" s="29">
        <v>546586.31000000006</v>
      </c>
      <c r="N244" s="29">
        <v>212211.28</v>
      </c>
      <c r="O244" s="29">
        <v>66441.36</v>
      </c>
      <c r="P244" s="29">
        <v>5940.51</v>
      </c>
      <c r="Q244" s="30"/>
    </row>
    <row r="245" spans="1:17">
      <c r="A245" s="28">
        <v>37649</v>
      </c>
      <c r="B245" s="29">
        <v>72864.22</v>
      </c>
      <c r="C245" s="29">
        <v>110.57</v>
      </c>
      <c r="D245" s="29">
        <v>6961.48</v>
      </c>
      <c r="E245" s="29">
        <v>221.2</v>
      </c>
      <c r="F245" s="29">
        <v>5637.68</v>
      </c>
      <c r="G245" s="29">
        <v>60481.29</v>
      </c>
      <c r="H245" s="29">
        <v>280290.96999999997</v>
      </c>
      <c r="I245" s="29">
        <v>31676.62</v>
      </c>
      <c r="J245" s="29">
        <v>25185.74</v>
      </c>
      <c r="K245" s="29">
        <v>152847.51999999999</v>
      </c>
      <c r="L245" s="29">
        <v>4528.1899999999996</v>
      </c>
      <c r="M245" s="29">
        <v>544444.41</v>
      </c>
      <c r="N245" s="29">
        <v>210211.89</v>
      </c>
      <c r="O245" s="29">
        <v>66024.75</v>
      </c>
      <c r="P245" s="29">
        <v>6285.97</v>
      </c>
      <c r="Q245" s="30"/>
    </row>
    <row r="246" spans="1:17">
      <c r="A246" s="28">
        <v>37618</v>
      </c>
      <c r="B246" s="29">
        <v>72826.759999999995</v>
      </c>
      <c r="C246" s="29">
        <v>110.37</v>
      </c>
      <c r="D246" s="29">
        <v>7740.66</v>
      </c>
      <c r="E246" s="29">
        <v>228.76</v>
      </c>
      <c r="F246" s="29">
        <v>5574.8</v>
      </c>
      <c r="G246" s="29">
        <v>71405.62</v>
      </c>
      <c r="H246" s="29">
        <v>285834.49</v>
      </c>
      <c r="I246" s="29">
        <v>30905.13</v>
      </c>
      <c r="J246" s="29">
        <v>25857.87</v>
      </c>
      <c r="K246" s="29">
        <v>152889.24</v>
      </c>
      <c r="L246" s="29">
        <v>3651.48</v>
      </c>
      <c r="M246" s="29">
        <v>540983.93000000005</v>
      </c>
      <c r="N246" s="29">
        <v>210221.49</v>
      </c>
      <c r="O246" s="29">
        <v>65461.66</v>
      </c>
      <c r="P246" s="29">
        <v>6308.2</v>
      </c>
      <c r="Q246" s="30"/>
    </row>
    <row r="247" spans="1:17">
      <c r="A247" s="28">
        <v>37588</v>
      </c>
      <c r="B247" s="29">
        <v>74463.62</v>
      </c>
      <c r="C247" s="29">
        <v>115.04</v>
      </c>
      <c r="D247" s="29">
        <v>6373.87</v>
      </c>
      <c r="E247" s="29">
        <v>285.76</v>
      </c>
      <c r="F247" s="29">
        <v>5727.74</v>
      </c>
      <c r="G247" s="29">
        <v>67864.039999999994</v>
      </c>
      <c r="H247" s="29">
        <v>252786.39</v>
      </c>
      <c r="I247" s="29">
        <v>30561</v>
      </c>
      <c r="J247" s="29">
        <v>24967.200000000001</v>
      </c>
      <c r="K247" s="29">
        <v>139635.87</v>
      </c>
      <c r="L247" s="29">
        <v>2958.83</v>
      </c>
      <c r="M247" s="29">
        <v>525194.69999999995</v>
      </c>
      <c r="N247" s="29">
        <v>211659.98</v>
      </c>
      <c r="O247" s="29">
        <v>64457.16</v>
      </c>
      <c r="P247" s="29">
        <v>6769.95</v>
      </c>
      <c r="Q247" s="30"/>
    </row>
    <row r="248" spans="1:17">
      <c r="A248" s="28">
        <v>37557</v>
      </c>
      <c r="B248" s="29">
        <v>71991.759999999995</v>
      </c>
      <c r="C248" s="29">
        <v>116.3</v>
      </c>
      <c r="D248" s="29">
        <v>6659.78</v>
      </c>
      <c r="E248" s="29">
        <v>229.48</v>
      </c>
      <c r="F248" s="29">
        <v>5564.88</v>
      </c>
      <c r="G248" s="29">
        <v>70945.279999999999</v>
      </c>
      <c r="H248" s="29">
        <v>237307</v>
      </c>
      <c r="I248" s="29">
        <v>31032.18</v>
      </c>
      <c r="J248" s="29">
        <v>23312.12</v>
      </c>
      <c r="K248" s="29">
        <v>138391.43</v>
      </c>
      <c r="L248" s="29">
        <v>3117.42</v>
      </c>
      <c r="M248" s="29">
        <v>526688.49</v>
      </c>
      <c r="N248" s="29">
        <v>209456.99</v>
      </c>
      <c r="O248" s="29">
        <v>63849.67</v>
      </c>
      <c r="P248" s="29">
        <v>6726.51</v>
      </c>
      <c r="Q248" s="30"/>
    </row>
    <row r="249" spans="1:17">
      <c r="A249" s="28">
        <v>37527</v>
      </c>
      <c r="B249" s="29">
        <v>71626.53</v>
      </c>
      <c r="C249" s="29">
        <v>114.82</v>
      </c>
      <c r="D249" s="29">
        <v>6889.4</v>
      </c>
      <c r="E249" s="29">
        <v>241.55</v>
      </c>
      <c r="F249" s="29">
        <v>5470.89</v>
      </c>
      <c r="G249" s="29">
        <v>60277.54</v>
      </c>
      <c r="H249" s="29">
        <v>226511.89</v>
      </c>
      <c r="I249" s="29">
        <v>31221.16</v>
      </c>
      <c r="J249" s="29">
        <v>23943.51</v>
      </c>
      <c r="K249" s="29">
        <v>141834.67000000001</v>
      </c>
      <c r="L249" s="29">
        <v>2899.71</v>
      </c>
      <c r="M249" s="29">
        <v>521987.75</v>
      </c>
      <c r="N249" s="29">
        <v>206711.9</v>
      </c>
      <c r="O249" s="29">
        <v>63558.720000000001</v>
      </c>
      <c r="P249" s="29">
        <v>6332.67</v>
      </c>
      <c r="Q249" s="30"/>
    </row>
    <row r="250" spans="1:17">
      <c r="A250" s="28">
        <v>37496</v>
      </c>
      <c r="B250" s="29">
        <v>64308.77</v>
      </c>
      <c r="C250" s="29">
        <v>109.64</v>
      </c>
      <c r="D250" s="29">
        <v>7062.63</v>
      </c>
      <c r="E250" s="29">
        <v>488.29</v>
      </c>
      <c r="F250" s="29">
        <v>5310.43</v>
      </c>
      <c r="G250" s="29">
        <v>60408.59</v>
      </c>
      <c r="H250" s="29">
        <v>229632.07</v>
      </c>
      <c r="I250" s="29">
        <v>30899.46</v>
      </c>
      <c r="J250" s="29">
        <v>23180.16</v>
      </c>
      <c r="K250" s="29">
        <v>144061.53</v>
      </c>
      <c r="L250" s="29">
        <v>3599.44</v>
      </c>
      <c r="M250" s="29">
        <v>518991.4</v>
      </c>
      <c r="N250" s="29">
        <v>204511.5</v>
      </c>
      <c r="O250" s="29">
        <v>63162.65</v>
      </c>
      <c r="P250" s="29">
        <v>6322.89</v>
      </c>
      <c r="Q250" s="30"/>
    </row>
    <row r="251" spans="1:17">
      <c r="A251" s="28">
        <v>37465</v>
      </c>
      <c r="B251" s="29">
        <v>64517</v>
      </c>
      <c r="C251" s="29">
        <v>112.76</v>
      </c>
      <c r="D251" s="29">
        <v>8666.9599999999991</v>
      </c>
      <c r="E251" s="29">
        <v>248.54</v>
      </c>
      <c r="F251" s="29">
        <v>5154.9799999999996</v>
      </c>
      <c r="G251" s="29">
        <v>66137.7</v>
      </c>
      <c r="H251" s="29">
        <v>224352.28</v>
      </c>
      <c r="I251" s="29">
        <v>31172.25</v>
      </c>
      <c r="J251" s="29">
        <v>23461.59</v>
      </c>
      <c r="K251" s="29">
        <v>145327.34</v>
      </c>
      <c r="L251" s="29">
        <v>4075.27</v>
      </c>
      <c r="M251" s="29">
        <v>525243.98</v>
      </c>
      <c r="N251" s="29">
        <v>204149.01</v>
      </c>
      <c r="O251" s="29">
        <v>63387.64</v>
      </c>
      <c r="P251" s="29">
        <v>6470.69</v>
      </c>
      <c r="Q251" s="30"/>
    </row>
    <row r="252" spans="1:17">
      <c r="A252" s="28">
        <v>37435</v>
      </c>
      <c r="B252" s="29">
        <v>65682.75</v>
      </c>
      <c r="C252" s="29">
        <v>109.67</v>
      </c>
      <c r="D252" s="29">
        <v>8180.15</v>
      </c>
      <c r="E252" s="29">
        <v>321.83</v>
      </c>
      <c r="F252" s="29">
        <v>5057.42</v>
      </c>
      <c r="G252" s="29">
        <v>62324.06</v>
      </c>
      <c r="H252" s="29">
        <v>198060.41</v>
      </c>
      <c r="I252" s="29">
        <v>31823.599999999999</v>
      </c>
      <c r="J252" s="29">
        <v>25204.9</v>
      </c>
      <c r="K252" s="29">
        <v>146610.23000000001</v>
      </c>
      <c r="L252" s="29">
        <v>3782.17</v>
      </c>
      <c r="M252" s="29">
        <v>522583.18</v>
      </c>
      <c r="N252" s="29">
        <v>201822.41</v>
      </c>
      <c r="O252" s="29">
        <v>62988.63</v>
      </c>
      <c r="P252" s="29">
        <v>6523.74</v>
      </c>
      <c r="Q252" s="30"/>
    </row>
    <row r="253" spans="1:17">
      <c r="A253" s="28">
        <v>37404</v>
      </c>
      <c r="B253" s="29">
        <v>62246.54</v>
      </c>
      <c r="C253" s="29">
        <v>112.68</v>
      </c>
      <c r="D253" s="29">
        <v>8260.7199999999993</v>
      </c>
      <c r="E253" s="29">
        <v>280.83</v>
      </c>
      <c r="F253" s="29">
        <v>5103.55</v>
      </c>
      <c r="G253" s="29">
        <v>65140.66</v>
      </c>
      <c r="H253" s="29">
        <v>213522.11</v>
      </c>
      <c r="I253" s="29">
        <v>32221.53</v>
      </c>
      <c r="J253" s="29">
        <v>24122.240000000002</v>
      </c>
      <c r="K253" s="29">
        <v>141679.22</v>
      </c>
      <c r="L253" s="29">
        <v>4138.87</v>
      </c>
      <c r="M253" s="29">
        <v>520699.55</v>
      </c>
      <c r="N253" s="29">
        <v>200151.89</v>
      </c>
      <c r="O253" s="29">
        <v>63012.15</v>
      </c>
      <c r="P253" s="29">
        <v>6167.17</v>
      </c>
      <c r="Q253" s="30"/>
    </row>
    <row r="254" spans="1:17">
      <c r="A254" s="28">
        <v>37374</v>
      </c>
      <c r="B254" s="29">
        <v>63097.91</v>
      </c>
      <c r="C254" s="29">
        <v>123.4</v>
      </c>
      <c r="D254" s="29">
        <v>8469.9</v>
      </c>
      <c r="E254" s="29">
        <v>277.60000000000002</v>
      </c>
      <c r="F254" s="29">
        <v>5514.48</v>
      </c>
      <c r="G254" s="29">
        <v>66728.73</v>
      </c>
      <c r="H254" s="29">
        <v>200849.82</v>
      </c>
      <c r="I254" s="29">
        <v>32275.61</v>
      </c>
      <c r="J254" s="29">
        <v>24653.75</v>
      </c>
      <c r="K254" s="29">
        <v>140670.01999999999</v>
      </c>
      <c r="L254" s="29">
        <v>3884.89</v>
      </c>
      <c r="M254" s="29">
        <v>516775.77</v>
      </c>
      <c r="N254" s="29">
        <v>197128.49</v>
      </c>
      <c r="O254" s="29">
        <v>62680.6</v>
      </c>
      <c r="P254" s="29">
        <v>5962.81</v>
      </c>
      <c r="Q254" s="30"/>
    </row>
    <row r="255" spans="1:17">
      <c r="A255" s="28">
        <v>37343</v>
      </c>
      <c r="B255" s="29">
        <v>56218.85</v>
      </c>
      <c r="C255" s="29">
        <v>123.84</v>
      </c>
      <c r="D255" s="29">
        <v>8663.82</v>
      </c>
      <c r="E255" s="29">
        <v>316.24</v>
      </c>
      <c r="F255" s="29">
        <v>5614.99</v>
      </c>
      <c r="G255" s="29">
        <v>67651.72</v>
      </c>
      <c r="H255" s="29">
        <v>195218.52</v>
      </c>
      <c r="I255" s="29">
        <v>32380.91</v>
      </c>
      <c r="J255" s="29">
        <v>26018.16</v>
      </c>
      <c r="K255" s="29">
        <v>144915.25</v>
      </c>
      <c r="L255" s="29">
        <v>3951.7</v>
      </c>
      <c r="M255" s="29">
        <v>513750.47</v>
      </c>
      <c r="N255" s="29">
        <v>194043.71</v>
      </c>
      <c r="O255" s="29">
        <v>62451.54</v>
      </c>
      <c r="P255" s="29">
        <v>5914.33</v>
      </c>
      <c r="Q255" s="30"/>
    </row>
    <row r="256" spans="1:17">
      <c r="A256" s="28">
        <v>37315</v>
      </c>
      <c r="B256" s="29">
        <v>53232.02</v>
      </c>
      <c r="C256" s="29">
        <v>123.9</v>
      </c>
      <c r="D256" s="29">
        <v>7879.91</v>
      </c>
      <c r="E256" s="29">
        <v>289.69</v>
      </c>
      <c r="F256" s="29">
        <v>5223.03</v>
      </c>
      <c r="G256" s="29">
        <v>63669.9</v>
      </c>
      <c r="H256" s="29">
        <v>181531.16</v>
      </c>
      <c r="I256" s="29">
        <v>31712.61</v>
      </c>
      <c r="J256" s="29">
        <v>26202.49</v>
      </c>
      <c r="K256" s="29">
        <v>141347.24</v>
      </c>
      <c r="L256" s="29">
        <v>4126.1899999999996</v>
      </c>
      <c r="M256" s="29">
        <v>514457.39</v>
      </c>
      <c r="N256" s="29">
        <v>193732.2</v>
      </c>
      <c r="O256" s="29">
        <v>62267.85</v>
      </c>
      <c r="P256" s="29">
        <v>5919.65</v>
      </c>
      <c r="Q256" s="30"/>
    </row>
    <row r="257" spans="1:17">
      <c r="A257" s="28">
        <v>37284</v>
      </c>
      <c r="B257" s="29">
        <v>52519.46</v>
      </c>
      <c r="C257" s="29">
        <v>124</v>
      </c>
      <c r="D257" s="29">
        <v>7566.44</v>
      </c>
      <c r="E257" s="29">
        <v>283.52999999999997</v>
      </c>
      <c r="F257" s="29">
        <v>5341.85</v>
      </c>
      <c r="G257" s="29">
        <v>60914.06</v>
      </c>
      <c r="H257" s="29">
        <v>182748.84</v>
      </c>
      <c r="I257" s="29">
        <v>31960.81</v>
      </c>
      <c r="J257" s="29">
        <v>25908.68</v>
      </c>
      <c r="K257" s="29">
        <v>141035.76</v>
      </c>
      <c r="L257" s="29">
        <v>3761.34</v>
      </c>
      <c r="M257" s="29">
        <v>517391.33</v>
      </c>
      <c r="N257" s="29">
        <v>191868.77</v>
      </c>
      <c r="O257" s="29">
        <v>62103.1</v>
      </c>
      <c r="P257" s="29">
        <v>6112.41</v>
      </c>
      <c r="Q257" s="30"/>
    </row>
    <row r="258" spans="1:17">
      <c r="A258" s="28">
        <v>37253</v>
      </c>
      <c r="B258" s="29">
        <v>49944.55</v>
      </c>
      <c r="C258" s="29">
        <v>123.65</v>
      </c>
      <c r="D258" s="29">
        <v>7844.83</v>
      </c>
      <c r="E258" s="29">
        <v>286.41000000000003</v>
      </c>
      <c r="F258" s="29">
        <v>5639.37</v>
      </c>
      <c r="G258" s="29">
        <v>65094.27</v>
      </c>
      <c r="H258" s="29">
        <v>205075.95</v>
      </c>
      <c r="I258" s="29">
        <v>30891.77</v>
      </c>
      <c r="J258" s="29">
        <v>27110.79</v>
      </c>
      <c r="K258" s="29">
        <v>145413.48000000001</v>
      </c>
      <c r="L258" s="29">
        <v>3755.46</v>
      </c>
      <c r="M258" s="29">
        <v>515218</v>
      </c>
      <c r="N258" s="29">
        <v>190548.67</v>
      </c>
      <c r="O258" s="29">
        <v>61388.81</v>
      </c>
      <c r="P258" s="29">
        <v>6251.67</v>
      </c>
      <c r="Q258" s="30"/>
    </row>
    <row r="259" spans="1:17">
      <c r="A259" s="28">
        <v>37223</v>
      </c>
      <c r="B259" s="29">
        <v>52318.26</v>
      </c>
      <c r="C259" s="29">
        <v>123.5</v>
      </c>
      <c r="D259" s="29">
        <v>7619.83</v>
      </c>
      <c r="E259" s="29">
        <v>290.99</v>
      </c>
      <c r="F259" s="29">
        <v>5343.11</v>
      </c>
      <c r="G259" s="29">
        <v>76603.3</v>
      </c>
      <c r="H259" s="29">
        <v>202463.76</v>
      </c>
      <c r="I259" s="29">
        <v>29437.83</v>
      </c>
      <c r="J259" s="29">
        <v>27659.97</v>
      </c>
      <c r="K259" s="29">
        <v>143698.91</v>
      </c>
      <c r="L259" s="29">
        <v>3873.25</v>
      </c>
      <c r="M259" s="29">
        <v>509553.88</v>
      </c>
      <c r="N259" s="29">
        <v>192444.46</v>
      </c>
      <c r="O259" s="29">
        <v>61707.3</v>
      </c>
      <c r="P259" s="29">
        <v>5849.34</v>
      </c>
      <c r="Q259" s="30"/>
    </row>
    <row r="260" spans="1:17">
      <c r="A260" s="28">
        <v>37192</v>
      </c>
      <c r="B260" s="29">
        <v>60911.56</v>
      </c>
      <c r="C260" s="29">
        <v>123.34</v>
      </c>
      <c r="D260" s="29">
        <v>6777.79</v>
      </c>
      <c r="E260" s="29">
        <v>412.34</v>
      </c>
      <c r="F260" s="29">
        <v>5859.63</v>
      </c>
      <c r="G260" s="29">
        <v>72838.89</v>
      </c>
      <c r="H260" s="29">
        <v>187163.18</v>
      </c>
      <c r="I260" s="29">
        <v>29339.49</v>
      </c>
      <c r="J260" s="29">
        <v>26485.94</v>
      </c>
      <c r="K260" s="29">
        <v>140086.79999999999</v>
      </c>
      <c r="L260" s="29">
        <v>3717.39</v>
      </c>
      <c r="M260" s="29">
        <v>500646.38</v>
      </c>
      <c r="N260" s="29">
        <v>190783.12</v>
      </c>
      <c r="O260" s="29">
        <v>60403.7</v>
      </c>
      <c r="P260" s="29">
        <v>6515.35</v>
      </c>
      <c r="Q260" s="30"/>
    </row>
    <row r="261" spans="1:17">
      <c r="A261" s="28">
        <v>37162</v>
      </c>
      <c r="B261" s="29">
        <v>58972.37</v>
      </c>
      <c r="C261" s="29">
        <v>123.19</v>
      </c>
      <c r="D261" s="29">
        <v>7984.92</v>
      </c>
      <c r="E261" s="29">
        <v>319.54000000000002</v>
      </c>
      <c r="F261" s="29">
        <v>5320.04</v>
      </c>
      <c r="G261" s="29">
        <v>75664.69</v>
      </c>
      <c r="H261" s="29">
        <v>187910.27</v>
      </c>
      <c r="I261" s="29">
        <v>29182.3</v>
      </c>
      <c r="J261" s="29">
        <v>26364.65</v>
      </c>
      <c r="K261" s="29">
        <v>140987.57999999999</v>
      </c>
      <c r="L261" s="29">
        <v>3456.68</v>
      </c>
      <c r="M261" s="29">
        <v>496715.07</v>
      </c>
      <c r="N261" s="29">
        <v>188470.44</v>
      </c>
      <c r="O261" s="29">
        <v>60343.98</v>
      </c>
      <c r="P261" s="29">
        <v>6379.06</v>
      </c>
      <c r="Q261" s="30"/>
    </row>
    <row r="262" spans="1:17">
      <c r="A262" s="28">
        <v>37131</v>
      </c>
      <c r="B262" s="29">
        <v>58216.76</v>
      </c>
      <c r="C262" s="29">
        <v>123.13</v>
      </c>
      <c r="D262" s="29">
        <v>7580.82</v>
      </c>
      <c r="E262" s="29">
        <v>310.27</v>
      </c>
      <c r="F262" s="29">
        <v>5623.96</v>
      </c>
      <c r="G262" s="29">
        <v>68489.279999999999</v>
      </c>
      <c r="H262" s="29">
        <v>185695.24</v>
      </c>
      <c r="I262" s="29">
        <v>28676.720000000001</v>
      </c>
      <c r="J262" s="29">
        <v>26025.06</v>
      </c>
      <c r="K262" s="29">
        <v>136376.95000000001</v>
      </c>
      <c r="L262" s="29">
        <v>4054.91</v>
      </c>
      <c r="M262" s="29">
        <v>496818.25</v>
      </c>
      <c r="N262" s="29">
        <v>186611.71</v>
      </c>
      <c r="O262" s="29">
        <v>60183.31</v>
      </c>
      <c r="P262" s="29">
        <v>6275.2</v>
      </c>
      <c r="Q262" s="30"/>
    </row>
    <row r="263" spans="1:17">
      <c r="A263" s="28">
        <v>37100</v>
      </c>
      <c r="B263" s="29">
        <v>56525.53</v>
      </c>
      <c r="C263" s="29">
        <v>123.71</v>
      </c>
      <c r="D263" s="29">
        <v>8432.49</v>
      </c>
      <c r="E263" s="29">
        <v>321.42</v>
      </c>
      <c r="F263" s="29">
        <v>6125.24</v>
      </c>
      <c r="G263" s="29">
        <v>71592.09</v>
      </c>
      <c r="H263" s="29">
        <v>189287.37</v>
      </c>
      <c r="I263" s="29">
        <v>29049.75</v>
      </c>
      <c r="J263" s="29">
        <v>27090.15</v>
      </c>
      <c r="K263" s="29">
        <v>140775.41</v>
      </c>
      <c r="L263" s="29">
        <v>3557.19</v>
      </c>
      <c r="M263" s="29">
        <v>500681.89</v>
      </c>
      <c r="N263" s="29">
        <v>185875.59</v>
      </c>
      <c r="O263" s="29">
        <v>60065.73</v>
      </c>
      <c r="P263" s="29">
        <v>5730.63</v>
      </c>
      <c r="Q263" s="30"/>
    </row>
    <row r="264" spans="1:17">
      <c r="A264" s="28">
        <v>37070</v>
      </c>
      <c r="B264" s="29">
        <v>58242.04</v>
      </c>
      <c r="C264" s="29">
        <v>124.44</v>
      </c>
      <c r="D264" s="29">
        <v>10307.56</v>
      </c>
      <c r="E264" s="29">
        <v>346.62</v>
      </c>
      <c r="F264" s="29">
        <v>6066.24</v>
      </c>
      <c r="G264" s="29">
        <v>73534.06</v>
      </c>
      <c r="H264" s="29">
        <v>190537.51</v>
      </c>
      <c r="I264" s="29">
        <v>29904.25</v>
      </c>
      <c r="J264" s="29">
        <v>29001.61</v>
      </c>
      <c r="K264" s="29">
        <v>138409.70000000001</v>
      </c>
      <c r="L264" s="29">
        <v>2715.83</v>
      </c>
      <c r="M264" s="29">
        <v>494228.33</v>
      </c>
      <c r="N264" s="29">
        <v>185388.36</v>
      </c>
      <c r="O264" s="29">
        <v>59805.760000000002</v>
      </c>
      <c r="P264" s="29">
        <v>6981.77</v>
      </c>
      <c r="Q264" s="30"/>
    </row>
    <row r="265" spans="1:17">
      <c r="A265" s="28">
        <v>37039</v>
      </c>
      <c r="B265" s="29">
        <v>62599.43</v>
      </c>
      <c r="C265" s="29">
        <v>124.62</v>
      </c>
      <c r="D265" s="29">
        <v>9673.2000000000007</v>
      </c>
      <c r="E265" s="29">
        <v>343.94</v>
      </c>
      <c r="F265" s="29">
        <v>5431.68</v>
      </c>
      <c r="G265" s="29">
        <v>70976.42</v>
      </c>
      <c r="H265" s="29">
        <v>184235.39</v>
      </c>
      <c r="I265" s="29">
        <v>29865.22</v>
      </c>
      <c r="J265" s="29">
        <v>28283.58</v>
      </c>
      <c r="K265" s="29">
        <v>132783.87</v>
      </c>
      <c r="L265" s="29">
        <v>2855.8</v>
      </c>
      <c r="M265" s="29">
        <v>487730.3</v>
      </c>
      <c r="N265" s="29">
        <v>183670.62</v>
      </c>
      <c r="O265" s="29">
        <v>59808.73</v>
      </c>
      <c r="P265" s="29">
        <v>6249.46</v>
      </c>
      <c r="Q265" s="30"/>
    </row>
    <row r="266" spans="1:17">
      <c r="A266" s="28">
        <v>37009</v>
      </c>
      <c r="B266" s="29">
        <v>57414.59</v>
      </c>
      <c r="C266" s="29">
        <v>124.42</v>
      </c>
      <c r="D266" s="29">
        <v>8767.84</v>
      </c>
      <c r="E266" s="29">
        <v>431.07</v>
      </c>
      <c r="F266" s="29">
        <v>5322.99</v>
      </c>
      <c r="G266" s="29">
        <v>72556.63</v>
      </c>
      <c r="H266" s="29">
        <v>172408.95</v>
      </c>
      <c r="I266" s="29">
        <v>30324.18</v>
      </c>
      <c r="J266" s="29">
        <v>29016.13</v>
      </c>
      <c r="K266" s="29">
        <v>133476.59</v>
      </c>
      <c r="L266" s="29">
        <v>3552.2</v>
      </c>
      <c r="M266" s="29">
        <v>495032.08</v>
      </c>
      <c r="N266" s="29">
        <v>182384.58</v>
      </c>
      <c r="O266" s="29">
        <v>60854.98</v>
      </c>
      <c r="P266" s="29">
        <v>5773.69</v>
      </c>
      <c r="Q266" s="30"/>
    </row>
    <row r="267" spans="1:17">
      <c r="A267" s="28">
        <v>36978</v>
      </c>
      <c r="B267" s="29">
        <v>60342.38</v>
      </c>
      <c r="C267" s="29">
        <v>124.57</v>
      </c>
      <c r="D267" s="29">
        <v>9588.5499999999993</v>
      </c>
      <c r="E267" s="29">
        <v>515.26</v>
      </c>
      <c r="F267" s="29">
        <v>5481.08</v>
      </c>
      <c r="G267" s="29">
        <v>78691.789999999994</v>
      </c>
      <c r="H267" s="29">
        <v>173961.7</v>
      </c>
      <c r="I267" s="29">
        <v>31078.73</v>
      </c>
      <c r="J267" s="29">
        <v>28255.94</v>
      </c>
      <c r="K267" s="29">
        <v>134919.06</v>
      </c>
      <c r="L267" s="29">
        <v>2855.49</v>
      </c>
      <c r="M267" s="29">
        <v>489893.46</v>
      </c>
      <c r="N267" s="29">
        <v>180896.38</v>
      </c>
      <c r="O267" s="29">
        <v>60809.61</v>
      </c>
      <c r="P267" s="29">
        <v>5576.71</v>
      </c>
      <c r="Q267" s="30"/>
    </row>
    <row r="268" spans="1:17">
      <c r="A268" s="28">
        <v>36950</v>
      </c>
      <c r="B268" s="29">
        <v>53044.84</v>
      </c>
      <c r="C268" s="29">
        <v>124.29</v>
      </c>
      <c r="D268" s="29">
        <v>9727.2999999999993</v>
      </c>
      <c r="E268" s="29">
        <v>407.49</v>
      </c>
      <c r="F268" s="29">
        <v>5181.2299999999996</v>
      </c>
      <c r="G268" s="29">
        <v>68917.009999999995</v>
      </c>
      <c r="H268" s="29">
        <v>161974</v>
      </c>
      <c r="I268" s="29">
        <v>31021.61</v>
      </c>
      <c r="J268" s="29">
        <v>28686.94</v>
      </c>
      <c r="K268" s="29">
        <v>130412.87</v>
      </c>
      <c r="L268" s="29">
        <v>3302.13</v>
      </c>
      <c r="M268" s="29">
        <v>481474.46</v>
      </c>
      <c r="N268" s="29">
        <v>178812.34</v>
      </c>
      <c r="O268" s="29">
        <v>60546.94</v>
      </c>
      <c r="P268" s="29">
        <v>5350.98</v>
      </c>
      <c r="Q268" s="30"/>
    </row>
    <row r="269" spans="1:17">
      <c r="A269" s="28">
        <v>36919</v>
      </c>
      <c r="B269" s="29">
        <v>53660.79</v>
      </c>
      <c r="C269" s="29">
        <v>124.18</v>
      </c>
      <c r="D269" s="29">
        <v>10470.14</v>
      </c>
      <c r="E269" s="29">
        <v>506.93</v>
      </c>
      <c r="F269" s="29">
        <v>5221.5600000000004</v>
      </c>
      <c r="G269" s="29">
        <v>67205.740000000005</v>
      </c>
      <c r="H269" s="29">
        <v>170160</v>
      </c>
      <c r="I269" s="29">
        <v>30904.7</v>
      </c>
      <c r="J269" s="29">
        <v>28719.26</v>
      </c>
      <c r="K269" s="29">
        <v>133079.95000000001</v>
      </c>
      <c r="L269" s="29">
        <v>3565.37</v>
      </c>
      <c r="M269" s="29">
        <v>480209.85</v>
      </c>
      <c r="N269" s="29">
        <v>177600.87</v>
      </c>
      <c r="O269" s="29">
        <v>60410.6</v>
      </c>
      <c r="P269" s="29">
        <v>5675.72</v>
      </c>
      <c r="Q269" s="30"/>
    </row>
    <row r="270" spans="1:17">
      <c r="A270" s="28">
        <v>36888</v>
      </c>
      <c r="B270" s="29">
        <v>58760.28</v>
      </c>
      <c r="C270" s="29">
        <v>111.06</v>
      </c>
      <c r="D270" s="29">
        <v>9737.14</v>
      </c>
      <c r="E270" s="29">
        <v>521.99</v>
      </c>
      <c r="F270" s="29">
        <v>5510.74</v>
      </c>
      <c r="G270" s="29">
        <v>69307.88</v>
      </c>
      <c r="H270" s="29">
        <v>187708</v>
      </c>
      <c r="I270" s="29">
        <v>30958.09</v>
      </c>
      <c r="J270" s="29">
        <v>29590.84</v>
      </c>
      <c r="K270" s="29">
        <v>133276.79999999999</v>
      </c>
      <c r="L270" s="29">
        <v>3113.88</v>
      </c>
      <c r="M270" s="29">
        <v>481110.3</v>
      </c>
      <c r="N270" s="29">
        <v>178479.69</v>
      </c>
      <c r="O270" s="29">
        <v>60086.91</v>
      </c>
      <c r="P270" s="29">
        <v>6182.75</v>
      </c>
      <c r="Q270" s="30"/>
    </row>
    <row r="271" spans="1:17">
      <c r="A271" s="28">
        <v>36858</v>
      </c>
      <c r="B271" s="29">
        <v>54281.41</v>
      </c>
      <c r="C271" s="29">
        <v>111.67</v>
      </c>
      <c r="D271" s="29">
        <v>10310.370000000001</v>
      </c>
      <c r="E271" s="29">
        <v>335.5</v>
      </c>
      <c r="F271" s="29">
        <v>5136.6400000000003</v>
      </c>
      <c r="G271" s="29">
        <v>68814.490000000005</v>
      </c>
      <c r="H271" s="29">
        <v>192125.69</v>
      </c>
      <c r="I271" s="29">
        <v>29427.95</v>
      </c>
      <c r="J271" s="29">
        <v>29301.95</v>
      </c>
      <c r="K271" s="29">
        <v>118852.47</v>
      </c>
      <c r="L271" s="29">
        <v>3563.93</v>
      </c>
      <c r="M271" s="29">
        <v>477715.1</v>
      </c>
      <c r="N271" s="29">
        <v>178538.3</v>
      </c>
      <c r="O271" s="29">
        <v>60959.64</v>
      </c>
      <c r="P271" s="29">
        <v>6078.8</v>
      </c>
      <c r="Q271" s="30"/>
    </row>
    <row r="272" spans="1:17">
      <c r="A272" s="28">
        <v>36827</v>
      </c>
      <c r="B272" s="29">
        <v>55555.17</v>
      </c>
      <c r="C272" s="29">
        <v>109.73</v>
      </c>
      <c r="D272" s="29">
        <v>9612.1200000000008</v>
      </c>
      <c r="E272" s="29">
        <v>320.27</v>
      </c>
      <c r="F272" s="29">
        <v>5148.88</v>
      </c>
      <c r="G272" s="29">
        <v>69307.899999999994</v>
      </c>
      <c r="H272" s="29">
        <v>182196.46</v>
      </c>
      <c r="I272" s="29">
        <v>28549.09</v>
      </c>
      <c r="J272" s="29">
        <v>29112.03</v>
      </c>
      <c r="K272" s="29">
        <v>120213</v>
      </c>
      <c r="L272" s="29">
        <v>3595.67</v>
      </c>
      <c r="M272" s="29">
        <v>464686.32</v>
      </c>
      <c r="N272" s="29">
        <v>176916.18</v>
      </c>
      <c r="O272" s="29">
        <v>60211.67</v>
      </c>
      <c r="P272" s="29">
        <v>6347.72</v>
      </c>
      <c r="Q272" s="30"/>
    </row>
    <row r="273" spans="1:17">
      <c r="A273" s="28">
        <v>36797</v>
      </c>
      <c r="B273" s="29">
        <v>53255.66</v>
      </c>
      <c r="C273" s="29">
        <v>109.63</v>
      </c>
      <c r="D273" s="29">
        <v>10269.06</v>
      </c>
      <c r="E273" s="29">
        <v>381.89</v>
      </c>
      <c r="F273" s="29">
        <v>4688.34</v>
      </c>
      <c r="G273" s="29">
        <v>69600.92</v>
      </c>
      <c r="H273" s="29">
        <v>167582.79</v>
      </c>
      <c r="I273" s="29">
        <v>28251.9</v>
      </c>
      <c r="J273" s="29">
        <v>29405.96</v>
      </c>
      <c r="K273" s="29">
        <v>117803.77</v>
      </c>
      <c r="L273" s="29">
        <v>3613.14</v>
      </c>
      <c r="M273" s="29">
        <v>461271.78</v>
      </c>
      <c r="N273" s="29">
        <v>174994.67</v>
      </c>
      <c r="O273" s="29">
        <v>59880.73</v>
      </c>
      <c r="P273" s="29">
        <v>5790.75</v>
      </c>
      <c r="Q273" s="30"/>
    </row>
    <row r="274" spans="1:17">
      <c r="A274" s="28">
        <v>36766</v>
      </c>
      <c r="B274" s="29">
        <v>51634.38</v>
      </c>
      <c r="C274" s="29">
        <v>109.59</v>
      </c>
      <c r="D274" s="29">
        <v>10309.39</v>
      </c>
      <c r="E274" s="29">
        <v>352.72</v>
      </c>
      <c r="F274" s="29">
        <v>4324.8100000000004</v>
      </c>
      <c r="G274" s="29">
        <v>68295</v>
      </c>
      <c r="H274" s="29">
        <v>167307.78</v>
      </c>
      <c r="I274" s="29">
        <v>27955.91</v>
      </c>
      <c r="J274" s="29">
        <v>29226.38</v>
      </c>
      <c r="K274" s="29">
        <v>116381.01</v>
      </c>
      <c r="L274" s="29">
        <v>3631.19</v>
      </c>
      <c r="M274" s="29">
        <v>459739.94</v>
      </c>
      <c r="N274" s="29">
        <v>172972.03</v>
      </c>
      <c r="O274" s="29">
        <v>59672.23</v>
      </c>
      <c r="P274" s="29">
        <v>5711.06</v>
      </c>
      <c r="Q274" s="30"/>
    </row>
    <row r="275" spans="1:17">
      <c r="A275" s="28">
        <v>36735</v>
      </c>
      <c r="B275" s="29">
        <v>49764.26</v>
      </c>
      <c r="C275" s="29">
        <v>123.59</v>
      </c>
      <c r="D275" s="29">
        <v>10359.69</v>
      </c>
      <c r="E275" s="29">
        <v>350.58</v>
      </c>
      <c r="F275" s="29">
        <v>4443.2</v>
      </c>
      <c r="G275" s="29">
        <v>66236.31</v>
      </c>
      <c r="H275" s="29">
        <v>175744.67</v>
      </c>
      <c r="I275" s="29">
        <v>28104.32</v>
      </c>
      <c r="J275" s="29">
        <v>29979.15</v>
      </c>
      <c r="K275" s="29">
        <v>118431.88</v>
      </c>
      <c r="L275" s="29">
        <v>3695.17</v>
      </c>
      <c r="M275" s="29">
        <v>456922.03</v>
      </c>
      <c r="N275" s="29">
        <v>172239.4</v>
      </c>
      <c r="O275" s="29">
        <v>59600.46</v>
      </c>
      <c r="P275" s="29">
        <v>5688.29</v>
      </c>
      <c r="Q275" s="30"/>
    </row>
    <row r="276" spans="1:17">
      <c r="A276" s="28">
        <v>36705</v>
      </c>
      <c r="B276" s="29">
        <v>59581.95</v>
      </c>
      <c r="C276" s="29">
        <v>124.07</v>
      </c>
      <c r="D276" s="29">
        <v>9419.93</v>
      </c>
      <c r="E276" s="29">
        <v>333.89</v>
      </c>
      <c r="F276" s="29">
        <v>4117.0600000000004</v>
      </c>
      <c r="G276" s="29">
        <v>74771.199999999997</v>
      </c>
      <c r="H276" s="29">
        <v>185011.3</v>
      </c>
      <c r="I276" s="29">
        <v>28413.49</v>
      </c>
      <c r="J276" s="29">
        <v>31076.65</v>
      </c>
      <c r="K276" s="29">
        <v>120990.91</v>
      </c>
      <c r="L276" s="29">
        <v>6007.45</v>
      </c>
      <c r="M276" s="29">
        <v>447452.38</v>
      </c>
      <c r="N276" s="29">
        <v>171580.73</v>
      </c>
      <c r="O276" s="29">
        <v>59417.69</v>
      </c>
      <c r="P276" s="29">
        <v>6106.03</v>
      </c>
      <c r="Q276" s="30"/>
    </row>
    <row r="277" spans="1:17">
      <c r="A277" s="28">
        <v>36674</v>
      </c>
      <c r="B277" s="29">
        <v>70288.83</v>
      </c>
      <c r="C277" s="29">
        <v>131.02000000000001</v>
      </c>
      <c r="D277" s="29">
        <v>9579.85</v>
      </c>
      <c r="E277" s="29">
        <v>316.43</v>
      </c>
      <c r="F277" s="29">
        <v>3790.74</v>
      </c>
      <c r="G277" s="29">
        <v>77862.600000000006</v>
      </c>
      <c r="H277" s="29">
        <v>172351.95</v>
      </c>
      <c r="I277" s="29">
        <v>28576.26</v>
      </c>
      <c r="J277" s="29">
        <v>30352.400000000001</v>
      </c>
      <c r="K277" s="29">
        <v>113981.57</v>
      </c>
      <c r="L277" s="29">
        <v>5224.71</v>
      </c>
      <c r="M277" s="29">
        <v>440248.96</v>
      </c>
      <c r="N277" s="29">
        <v>168143.43</v>
      </c>
      <c r="O277" s="29">
        <v>59351.360000000001</v>
      </c>
      <c r="P277" s="29">
        <v>5903.16</v>
      </c>
      <c r="Q277" s="30"/>
    </row>
    <row r="278" spans="1:17">
      <c r="A278" s="28">
        <v>36644</v>
      </c>
      <c r="B278" s="29">
        <v>59209.91</v>
      </c>
      <c r="C278" s="29">
        <v>116.52</v>
      </c>
      <c r="D278" s="29">
        <v>8380.74</v>
      </c>
      <c r="E278" s="29">
        <v>302.91000000000003</v>
      </c>
      <c r="F278" s="29">
        <v>4180.5600000000004</v>
      </c>
      <c r="G278" s="29">
        <v>72506.77</v>
      </c>
      <c r="H278" s="29">
        <v>164156.26</v>
      </c>
      <c r="I278" s="29">
        <v>28284.880000000001</v>
      </c>
      <c r="J278" s="29">
        <v>31306.5</v>
      </c>
      <c r="K278" s="29">
        <v>115467.63</v>
      </c>
      <c r="L278" s="29">
        <v>5441.28</v>
      </c>
      <c r="M278" s="29">
        <v>437935.13</v>
      </c>
      <c r="N278" s="29">
        <v>165869.51999999999</v>
      </c>
      <c r="O278" s="29">
        <v>59200.02</v>
      </c>
      <c r="P278" s="29">
        <v>6028.3</v>
      </c>
      <c r="Q278" s="30"/>
    </row>
    <row r="279" spans="1:17">
      <c r="A279" s="28">
        <v>36613</v>
      </c>
      <c r="B279" s="29">
        <v>61090.98</v>
      </c>
      <c r="C279" s="29">
        <v>83.46</v>
      </c>
      <c r="D279" s="29">
        <v>8249.44</v>
      </c>
      <c r="E279" s="29">
        <v>413.67</v>
      </c>
      <c r="F279" s="29">
        <v>4097.59</v>
      </c>
      <c r="G279" s="29">
        <v>69338.62</v>
      </c>
      <c r="H279" s="29">
        <v>169859</v>
      </c>
      <c r="I279" s="29">
        <v>28570.25</v>
      </c>
      <c r="J279" s="29">
        <v>30777.3</v>
      </c>
      <c r="K279" s="29">
        <v>112475.7</v>
      </c>
      <c r="L279" s="29">
        <v>5566.73</v>
      </c>
      <c r="M279" s="29">
        <v>432717.51</v>
      </c>
      <c r="N279" s="29">
        <v>164485.64000000001</v>
      </c>
      <c r="O279" s="29">
        <v>59179.66</v>
      </c>
      <c r="P279" s="29">
        <v>7381.26</v>
      </c>
      <c r="Q279" s="30"/>
    </row>
    <row r="280" spans="1:17">
      <c r="A280" s="28">
        <v>36584</v>
      </c>
      <c r="B280" s="29">
        <v>55510.09</v>
      </c>
      <c r="C280" s="29">
        <v>68.739999999999995</v>
      </c>
      <c r="D280" s="29">
        <v>7703.37</v>
      </c>
      <c r="E280" s="29">
        <v>377.72</v>
      </c>
      <c r="F280" s="29">
        <v>3505.6</v>
      </c>
      <c r="G280" s="29">
        <v>65099.28</v>
      </c>
      <c r="H280" s="29">
        <v>164300.5</v>
      </c>
      <c r="I280" s="29">
        <v>27989.63</v>
      </c>
      <c r="J280" s="29">
        <v>31802.18</v>
      </c>
      <c r="K280" s="29">
        <v>110030.67</v>
      </c>
      <c r="L280" s="29">
        <v>5673.78</v>
      </c>
      <c r="M280" s="29">
        <v>432169.9</v>
      </c>
      <c r="N280" s="29">
        <v>161174.5</v>
      </c>
      <c r="O280" s="29">
        <v>58629.7</v>
      </c>
      <c r="P280" s="29">
        <v>6488.3</v>
      </c>
      <c r="Q280" s="30"/>
    </row>
    <row r="281" spans="1:17">
      <c r="A281" s="28">
        <v>36553</v>
      </c>
      <c r="B281" s="29">
        <v>53984.61</v>
      </c>
      <c r="C281" s="29">
        <v>48.61</v>
      </c>
      <c r="D281" s="29">
        <v>7339.56</v>
      </c>
      <c r="E281" s="29">
        <v>180.22</v>
      </c>
      <c r="F281" s="29">
        <v>3993.54</v>
      </c>
      <c r="G281" s="29">
        <v>71765.22</v>
      </c>
      <c r="H281" s="29">
        <v>162868.29</v>
      </c>
      <c r="I281" s="29">
        <v>28745.21</v>
      </c>
      <c r="J281" s="29">
        <v>32323.08</v>
      </c>
      <c r="K281" s="29">
        <v>108642.69</v>
      </c>
      <c r="L281" s="29">
        <v>3285.92</v>
      </c>
      <c r="M281" s="29">
        <v>430592.3</v>
      </c>
      <c r="N281" s="29">
        <v>158767.76999999999</v>
      </c>
      <c r="O281" s="29">
        <v>58397.14</v>
      </c>
      <c r="P281" s="29">
        <v>6787.29</v>
      </c>
      <c r="Q281" s="30"/>
    </row>
    <row r="282" spans="1:17">
      <c r="A282" s="28">
        <v>36522</v>
      </c>
      <c r="B282" s="29">
        <v>57704.639999999999</v>
      </c>
      <c r="C282" s="29">
        <v>45.13</v>
      </c>
      <c r="D282" s="29">
        <v>8743.34</v>
      </c>
      <c r="E282" s="29">
        <v>168.98</v>
      </c>
      <c r="F282" s="29">
        <v>3843.36</v>
      </c>
      <c r="G282" s="29">
        <v>67629.48</v>
      </c>
      <c r="H282" s="29">
        <v>154756.48000000001</v>
      </c>
      <c r="I282" s="29">
        <v>27323.37</v>
      </c>
      <c r="J282" s="29">
        <v>35836.980000000003</v>
      </c>
      <c r="K282" s="29">
        <v>111741.13</v>
      </c>
      <c r="L282" s="29">
        <v>3041.85</v>
      </c>
      <c r="M282" s="29">
        <v>424123.57</v>
      </c>
      <c r="N282" s="29">
        <v>157866.15</v>
      </c>
      <c r="O282" s="29">
        <v>58126.97</v>
      </c>
      <c r="P282" s="29">
        <v>6420.84</v>
      </c>
      <c r="Q282" s="30"/>
    </row>
    <row r="283" spans="1:17">
      <c r="A283" s="28">
        <v>36492</v>
      </c>
      <c r="B283" s="29">
        <v>60435.14</v>
      </c>
      <c r="C283" s="29">
        <v>33.92</v>
      </c>
      <c r="D283" s="29">
        <v>8130.07</v>
      </c>
      <c r="E283" s="29">
        <v>150.78</v>
      </c>
      <c r="F283" s="29">
        <v>3862.09</v>
      </c>
      <c r="G283" s="29">
        <v>68108.31</v>
      </c>
      <c r="H283" s="29">
        <v>138509.01</v>
      </c>
      <c r="I283" s="29">
        <v>25550.61</v>
      </c>
      <c r="J283" s="29">
        <v>35954.82</v>
      </c>
      <c r="K283" s="29">
        <v>107842.11</v>
      </c>
      <c r="L283" s="29">
        <v>3357.53</v>
      </c>
      <c r="M283" s="29">
        <v>420833.84</v>
      </c>
      <c r="N283" s="29">
        <v>157370.92000000001</v>
      </c>
      <c r="O283" s="29">
        <v>57981.02</v>
      </c>
      <c r="P283" s="29">
        <v>6436.87</v>
      </c>
      <c r="Q283" s="30"/>
    </row>
    <row r="284" spans="1:17">
      <c r="A284" s="28">
        <v>36461</v>
      </c>
      <c r="B284" s="29">
        <v>56105.43</v>
      </c>
      <c r="C284" s="29">
        <v>33.99</v>
      </c>
      <c r="D284" s="29">
        <v>6965.05</v>
      </c>
      <c r="E284" s="29">
        <v>145.27000000000001</v>
      </c>
      <c r="F284" s="29">
        <v>2195.14</v>
      </c>
      <c r="G284" s="29">
        <v>69357.23</v>
      </c>
      <c r="H284" s="29">
        <v>138474.43</v>
      </c>
      <c r="I284" s="29">
        <v>24882.5</v>
      </c>
      <c r="J284" s="29">
        <v>35765.01</v>
      </c>
      <c r="K284" s="29">
        <v>99005.98</v>
      </c>
      <c r="L284" s="29">
        <v>3086.56</v>
      </c>
      <c r="M284" s="29">
        <v>407831.29</v>
      </c>
      <c r="N284" s="29">
        <v>153907.82</v>
      </c>
      <c r="O284" s="29">
        <v>56868.11</v>
      </c>
      <c r="P284" s="29">
        <v>6710.54</v>
      </c>
      <c r="Q284" s="30"/>
    </row>
    <row r="285" spans="1:17">
      <c r="A285" s="28">
        <v>36431</v>
      </c>
      <c r="B285" s="29">
        <v>55818.48</v>
      </c>
      <c r="C285" s="29">
        <v>34.92</v>
      </c>
      <c r="D285" s="29">
        <v>6764.69</v>
      </c>
      <c r="E285" s="29">
        <v>172.87</v>
      </c>
      <c r="F285" s="29">
        <v>2209.27</v>
      </c>
      <c r="G285" s="29">
        <v>69997.759999999995</v>
      </c>
      <c r="H285" s="29">
        <v>135004.4</v>
      </c>
      <c r="I285" s="29">
        <v>24925.38</v>
      </c>
      <c r="J285" s="29">
        <v>35310.699999999997</v>
      </c>
      <c r="K285" s="29">
        <v>99009.43</v>
      </c>
      <c r="L285" s="29">
        <v>2970.63</v>
      </c>
      <c r="M285" s="29">
        <v>408083.74</v>
      </c>
      <c r="N285" s="29">
        <v>151326.10999999999</v>
      </c>
      <c r="O285" s="29">
        <v>56623.65</v>
      </c>
      <c r="P285" s="29">
        <v>6531.67</v>
      </c>
      <c r="Q285" s="30"/>
    </row>
    <row r="286" spans="1:17">
      <c r="A286" s="28">
        <v>36400</v>
      </c>
      <c r="B286" s="29">
        <v>57110.5</v>
      </c>
      <c r="C286" s="29">
        <v>39.51</v>
      </c>
      <c r="D286" s="29">
        <v>7224.99</v>
      </c>
      <c r="E286" s="29">
        <v>158.07</v>
      </c>
      <c r="F286" s="29">
        <v>1814.91</v>
      </c>
      <c r="G286" s="29">
        <v>75707.240000000005</v>
      </c>
      <c r="H286" s="29">
        <v>132282.15</v>
      </c>
      <c r="I286" s="29">
        <v>24655.66</v>
      </c>
      <c r="J286" s="29">
        <v>35324.44</v>
      </c>
      <c r="K286" s="29">
        <v>98636.61</v>
      </c>
      <c r="L286" s="29">
        <v>3390.46</v>
      </c>
      <c r="M286" s="29">
        <v>409519.51</v>
      </c>
      <c r="N286" s="29">
        <v>149181.39000000001</v>
      </c>
      <c r="O286" s="29">
        <v>56323.99</v>
      </c>
      <c r="P286" s="29">
        <v>6458.14</v>
      </c>
      <c r="Q286" s="30"/>
    </row>
    <row r="287" spans="1:17">
      <c r="A287" s="28">
        <v>36369</v>
      </c>
      <c r="B287" s="29">
        <v>58670.55</v>
      </c>
      <c r="C287" s="29">
        <v>35.01</v>
      </c>
      <c r="D287" s="29">
        <v>7993.42</v>
      </c>
      <c r="E287" s="29">
        <v>192.74</v>
      </c>
      <c r="F287" s="29">
        <v>1778.19</v>
      </c>
      <c r="G287" s="29">
        <v>73492.38</v>
      </c>
      <c r="H287" s="29">
        <v>128509.38</v>
      </c>
      <c r="I287" s="29">
        <v>24862.71</v>
      </c>
      <c r="J287" s="29">
        <v>35335.440000000002</v>
      </c>
      <c r="K287" s="29">
        <v>100506.48</v>
      </c>
      <c r="L287" s="29">
        <v>3058.74</v>
      </c>
      <c r="M287" s="29">
        <v>413747.17</v>
      </c>
      <c r="N287" s="29">
        <v>148484.38</v>
      </c>
      <c r="O287" s="29">
        <v>56146.12</v>
      </c>
      <c r="P287" s="29">
        <v>7533.4</v>
      </c>
      <c r="Q287" s="30"/>
    </row>
    <row r="288" spans="1:17">
      <c r="A288" s="28">
        <v>36339</v>
      </c>
      <c r="B288" s="29">
        <v>64605.65</v>
      </c>
      <c r="C288" s="29">
        <v>35.06</v>
      </c>
      <c r="D288" s="29">
        <v>7711.27</v>
      </c>
      <c r="E288" s="29">
        <v>268.14999999999998</v>
      </c>
      <c r="F288" s="29">
        <v>1931.29</v>
      </c>
      <c r="G288" s="29">
        <v>78772.210000000006</v>
      </c>
      <c r="H288" s="29">
        <v>145009.95000000001</v>
      </c>
      <c r="I288" s="29">
        <v>25027.08</v>
      </c>
      <c r="J288" s="29">
        <v>36728.589999999997</v>
      </c>
      <c r="K288" s="29">
        <v>101757</v>
      </c>
      <c r="L288" s="29">
        <v>3638.07</v>
      </c>
      <c r="M288" s="29">
        <v>410204.87</v>
      </c>
      <c r="N288" s="29">
        <v>146126.62</v>
      </c>
      <c r="O288" s="29">
        <v>55758.16</v>
      </c>
      <c r="P288" s="29">
        <v>6400.64</v>
      </c>
      <c r="Q288" s="30"/>
    </row>
    <row r="289" spans="1:17">
      <c r="A289" s="28">
        <v>36308</v>
      </c>
      <c r="B289" s="29">
        <v>64049.43</v>
      </c>
      <c r="C289" s="29">
        <v>35.130000000000003</v>
      </c>
      <c r="D289" s="29">
        <v>7967.79</v>
      </c>
      <c r="E289" s="29">
        <v>164.92</v>
      </c>
      <c r="F289" s="29">
        <v>2045.41</v>
      </c>
      <c r="G289" s="29">
        <v>68277.23</v>
      </c>
      <c r="H289" s="29">
        <v>133639.29</v>
      </c>
      <c r="I289" s="29">
        <v>24829.61</v>
      </c>
      <c r="J289" s="29">
        <v>36454.68</v>
      </c>
      <c r="K289" s="29">
        <v>93691.8</v>
      </c>
      <c r="L289" s="29">
        <v>3885.17</v>
      </c>
      <c r="M289" s="29">
        <v>399834.28</v>
      </c>
      <c r="N289" s="29">
        <v>142490.04</v>
      </c>
      <c r="O289" s="29">
        <v>55635.72</v>
      </c>
      <c r="P289" s="29">
        <v>6492.38</v>
      </c>
      <c r="Q289" s="30"/>
    </row>
    <row r="290" spans="1:17">
      <c r="A290" s="28">
        <v>36278</v>
      </c>
      <c r="B290" s="29">
        <v>60066.64</v>
      </c>
      <c r="C290" s="29">
        <v>42.95</v>
      </c>
      <c r="D290" s="29">
        <v>7492.11</v>
      </c>
      <c r="E290" s="29">
        <v>196.82</v>
      </c>
      <c r="F290" s="29">
        <v>2093.61</v>
      </c>
      <c r="G290" s="29">
        <v>76738.59</v>
      </c>
      <c r="H290" s="29">
        <v>125870.74</v>
      </c>
      <c r="I290" s="29">
        <v>24563.27</v>
      </c>
      <c r="J290" s="29">
        <v>36195.879999999997</v>
      </c>
      <c r="K290" s="29">
        <v>94261.53</v>
      </c>
      <c r="L290" s="29">
        <v>4279.22</v>
      </c>
      <c r="M290" s="29">
        <v>400589.02</v>
      </c>
      <c r="N290" s="29">
        <v>139235.49</v>
      </c>
      <c r="O290" s="29">
        <v>56054.47</v>
      </c>
      <c r="P290" s="29">
        <v>5758.89</v>
      </c>
      <c r="Q290" s="30"/>
    </row>
    <row r="291" spans="1:17">
      <c r="A291" s="28">
        <v>36247</v>
      </c>
      <c r="B291" s="29">
        <v>60094.02</v>
      </c>
      <c r="C291" s="29">
        <v>72.45</v>
      </c>
      <c r="D291" s="29">
        <v>8963.01</v>
      </c>
      <c r="E291" s="29">
        <v>225.2</v>
      </c>
      <c r="F291" s="29">
        <v>1766.37</v>
      </c>
      <c r="G291" s="29">
        <v>68607.33</v>
      </c>
      <c r="H291" s="29">
        <v>117877.05</v>
      </c>
      <c r="I291" s="29">
        <v>24510.52</v>
      </c>
      <c r="J291" s="29">
        <v>36318.22</v>
      </c>
      <c r="K291" s="29">
        <v>95555.72</v>
      </c>
      <c r="L291" s="29">
        <v>3520.42</v>
      </c>
      <c r="M291" s="29">
        <v>398731.24</v>
      </c>
      <c r="N291" s="29">
        <v>137105.18</v>
      </c>
      <c r="O291" s="29">
        <v>55900.23</v>
      </c>
      <c r="P291" s="29">
        <v>6995.07</v>
      </c>
      <c r="Q291" s="30"/>
    </row>
    <row r="292" spans="1:17">
      <c r="A292" s="28">
        <v>36219</v>
      </c>
      <c r="B292" s="29">
        <v>62014.89</v>
      </c>
      <c r="C292" s="29">
        <v>69.790000000000006</v>
      </c>
      <c r="D292" s="29">
        <v>7300.12</v>
      </c>
      <c r="E292" s="29">
        <v>248.3</v>
      </c>
      <c r="F292" s="29">
        <v>1668.01</v>
      </c>
      <c r="G292" s="29">
        <v>81480.460000000006</v>
      </c>
      <c r="H292" s="29">
        <v>122851.32</v>
      </c>
      <c r="I292" s="29">
        <v>24596.68</v>
      </c>
      <c r="J292" s="29">
        <v>37111.89</v>
      </c>
      <c r="K292" s="29">
        <v>94341.22</v>
      </c>
      <c r="L292" s="29">
        <v>3401.39</v>
      </c>
      <c r="M292" s="29">
        <v>398283.6</v>
      </c>
      <c r="N292" s="29">
        <v>134866.01</v>
      </c>
      <c r="O292" s="29">
        <v>55659.26</v>
      </c>
      <c r="P292" s="29">
        <v>6491.45</v>
      </c>
      <c r="Q292" s="30"/>
    </row>
    <row r="293" spans="1:17">
      <c r="A293" s="28">
        <v>36188</v>
      </c>
      <c r="B293" s="29">
        <v>63404.22</v>
      </c>
      <c r="C293" s="29">
        <v>60.71</v>
      </c>
      <c r="D293" s="29">
        <v>7896.97</v>
      </c>
      <c r="E293" s="29">
        <v>231.75</v>
      </c>
      <c r="F293" s="29">
        <v>1230.05</v>
      </c>
      <c r="G293" s="29">
        <v>90293.6</v>
      </c>
      <c r="H293" s="29">
        <v>126659.26</v>
      </c>
      <c r="I293" s="29">
        <v>24960.71</v>
      </c>
      <c r="J293" s="29">
        <v>37120.559999999998</v>
      </c>
      <c r="K293" s="29">
        <v>96468.46</v>
      </c>
      <c r="L293" s="29">
        <v>3859.96</v>
      </c>
      <c r="M293" s="29">
        <v>398043.4</v>
      </c>
      <c r="N293" s="29">
        <v>133329.21</v>
      </c>
      <c r="O293" s="29">
        <v>55573.75</v>
      </c>
      <c r="P293" s="29">
        <v>6439.38</v>
      </c>
      <c r="Q293" s="30"/>
    </row>
    <row r="294" spans="1:17">
      <c r="A294" s="28"/>
      <c r="B294" s="29"/>
      <c r="C294" s="29"/>
      <c r="D294" s="29"/>
      <c r="E294" s="29"/>
      <c r="F294" s="29"/>
      <c r="G294" s="29">
        <v>83440.02</v>
      </c>
      <c r="H294" s="29"/>
      <c r="I294" s="29"/>
      <c r="J294" s="29"/>
      <c r="K294" s="29"/>
      <c r="L294" s="29"/>
      <c r="M294" s="29"/>
      <c r="N294" s="29"/>
      <c r="O294" s="29"/>
      <c r="P294" s="29"/>
      <c r="Q294" s="30"/>
    </row>
    <row r="295" spans="1:17">
      <c r="A295" s="28"/>
      <c r="B295" s="29"/>
      <c r="C295" s="29"/>
      <c r="D295" s="29"/>
      <c r="E295" s="29"/>
      <c r="F295" s="29"/>
      <c r="G295" s="29">
        <v>89620.72</v>
      </c>
      <c r="H295" s="29"/>
      <c r="I295" s="29"/>
      <c r="J295" s="29"/>
      <c r="K295" s="29"/>
      <c r="L295" s="29"/>
      <c r="M295" s="29"/>
      <c r="N295" s="29"/>
      <c r="O295" s="29"/>
      <c r="P295" s="29"/>
      <c r="Q295" s="30"/>
    </row>
    <row r="296" spans="1:17">
      <c r="A296" s="28"/>
      <c r="B296" s="29"/>
      <c r="C296" s="29"/>
      <c r="D296" s="29"/>
      <c r="E296" s="29"/>
      <c r="F296" s="29"/>
      <c r="G296" s="29">
        <v>97052.94</v>
      </c>
      <c r="H296" s="29"/>
      <c r="I296" s="29"/>
      <c r="J296" s="29"/>
      <c r="K296" s="29"/>
      <c r="L296" s="29"/>
      <c r="M296" s="29"/>
      <c r="N296" s="29"/>
      <c r="O296" s="29"/>
      <c r="P296" s="29"/>
      <c r="Q296" s="30"/>
    </row>
    <row r="297" spans="1:17">
      <c r="A297" s="28"/>
      <c r="B297" s="29"/>
      <c r="C297" s="29"/>
      <c r="D297" s="29"/>
      <c r="E297" s="29"/>
      <c r="F297" s="29"/>
      <c r="G297" s="29">
        <v>95419.48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30"/>
    </row>
    <row r="298" spans="1:17">
      <c r="A298" s="28"/>
      <c r="B298" s="29"/>
      <c r="C298" s="29"/>
      <c r="D298" s="29"/>
      <c r="E298" s="29"/>
      <c r="F298" s="29"/>
      <c r="G298" s="29">
        <v>99740.45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30"/>
    </row>
    <row r="299" spans="1:17">
      <c r="A299" s="28"/>
      <c r="B299" s="29"/>
      <c r="C299" s="29"/>
      <c r="D299" s="29"/>
      <c r="E299" s="29"/>
      <c r="F299" s="29"/>
      <c r="G299" s="29">
        <v>97107.74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30"/>
    </row>
    <row r="300" spans="1:17">
      <c r="A300" s="28"/>
      <c r="B300" s="29"/>
      <c r="C300" s="29"/>
      <c r="D300" s="29"/>
      <c r="E300" s="29"/>
      <c r="F300" s="29"/>
      <c r="G300" s="29">
        <v>103406.31</v>
      </c>
      <c r="H300" s="29"/>
      <c r="I300" s="29"/>
      <c r="J300" s="29"/>
      <c r="K300" s="29"/>
      <c r="L300" s="29"/>
      <c r="M300" s="29"/>
      <c r="N300" s="29"/>
      <c r="O300" s="29"/>
      <c r="P300" s="29"/>
      <c r="Q300" s="30"/>
    </row>
    <row r="301" spans="1:17">
      <c r="A301" s="28"/>
      <c r="B301" s="29"/>
      <c r="C301" s="29"/>
      <c r="D301" s="29"/>
      <c r="E301" s="29"/>
      <c r="F301" s="29"/>
      <c r="G301" s="29">
        <v>96582.41</v>
      </c>
      <c r="H301" s="29"/>
      <c r="I301" s="29"/>
      <c r="J301" s="29"/>
      <c r="K301" s="29"/>
      <c r="L301" s="29"/>
      <c r="M301" s="29"/>
      <c r="N301" s="29"/>
      <c r="O301" s="29"/>
      <c r="P301" s="29"/>
      <c r="Q301" s="30"/>
    </row>
    <row r="302" spans="1:17">
      <c r="A302" s="28"/>
      <c r="B302" s="29"/>
      <c r="C302" s="29"/>
      <c r="D302" s="29"/>
      <c r="E302" s="29"/>
      <c r="F302" s="29"/>
      <c r="G302" s="29">
        <v>95466.54</v>
      </c>
      <c r="H302" s="29"/>
      <c r="I302" s="29"/>
      <c r="J302" s="29"/>
      <c r="K302" s="29"/>
      <c r="L302" s="29"/>
      <c r="M302" s="29"/>
      <c r="N302" s="29"/>
      <c r="O302" s="29"/>
      <c r="P302" s="29"/>
      <c r="Q302" s="30"/>
    </row>
    <row r="303" spans="1:17">
      <c r="A303" s="28"/>
      <c r="B303" s="29"/>
      <c r="C303" s="29"/>
      <c r="D303" s="29"/>
      <c r="E303" s="29"/>
      <c r="F303" s="29"/>
      <c r="G303" s="29">
        <v>100366.78</v>
      </c>
      <c r="H303" s="29"/>
      <c r="I303" s="29"/>
      <c r="J303" s="29"/>
      <c r="K303" s="29"/>
      <c r="L303" s="29"/>
      <c r="M303" s="29"/>
      <c r="N303" s="29"/>
      <c r="O303" s="29"/>
      <c r="P303" s="29"/>
      <c r="Q303" s="30"/>
    </row>
    <row r="304" spans="1:17">
      <c r="A304" s="28"/>
      <c r="B304" s="29"/>
      <c r="C304" s="29"/>
      <c r="D304" s="29"/>
      <c r="E304" s="29"/>
      <c r="F304" s="29"/>
      <c r="G304" s="29">
        <v>98529.91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30"/>
    </row>
    <row r="305" spans="1:17">
      <c r="A305" s="28"/>
      <c r="B305" s="29"/>
      <c r="C305" s="29"/>
      <c r="D305" s="29"/>
      <c r="E305" s="29"/>
      <c r="F305" s="29"/>
      <c r="G305" s="29">
        <v>97901.39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30"/>
    </row>
    <row r="306" spans="1:17">
      <c r="A306" s="28"/>
      <c r="B306" s="29"/>
      <c r="C306" s="29"/>
      <c r="D306" s="29"/>
      <c r="E306" s="29"/>
      <c r="F306" s="29"/>
      <c r="G306" s="29">
        <v>104434.61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30"/>
    </row>
    <row r="307" spans="1:17">
      <c r="A307" s="28"/>
      <c r="B307" s="29"/>
      <c r="C307" s="29"/>
      <c r="D307" s="29"/>
      <c r="E307" s="29"/>
      <c r="F307" s="29"/>
      <c r="G307" s="29">
        <v>101655.86</v>
      </c>
      <c r="H307" s="29"/>
      <c r="I307" s="29"/>
      <c r="J307" s="29"/>
      <c r="K307" s="29"/>
      <c r="L307" s="29"/>
      <c r="M307" s="29"/>
      <c r="N307" s="29"/>
      <c r="O307" s="29"/>
      <c r="P307" s="29"/>
      <c r="Q307" s="30"/>
    </row>
    <row r="308" spans="1:17">
      <c r="A308" s="28"/>
      <c r="B308" s="29"/>
      <c r="C308" s="29"/>
      <c r="D308" s="29"/>
      <c r="E308" s="29"/>
      <c r="F308" s="29"/>
      <c r="G308" s="29">
        <v>103337.56</v>
      </c>
      <c r="H308" s="29"/>
      <c r="I308" s="29"/>
      <c r="J308" s="29"/>
      <c r="K308" s="29"/>
      <c r="L308" s="29"/>
      <c r="M308" s="29"/>
      <c r="N308" s="29"/>
      <c r="O308" s="29"/>
      <c r="P308" s="29"/>
      <c r="Q308" s="30"/>
    </row>
    <row r="309" spans="1:17">
      <c r="A309" s="28"/>
      <c r="B309" s="29"/>
      <c r="C309" s="29"/>
      <c r="D309" s="29"/>
      <c r="E309" s="29"/>
      <c r="F309" s="29"/>
      <c r="G309" s="29">
        <v>106343.32</v>
      </c>
      <c r="H309" s="29"/>
      <c r="I309" s="29"/>
      <c r="J309" s="29"/>
      <c r="K309" s="29"/>
      <c r="L309" s="29"/>
      <c r="M309" s="29"/>
      <c r="N309" s="29"/>
      <c r="O309" s="29"/>
      <c r="P309" s="29"/>
      <c r="Q309" s="30"/>
    </row>
    <row r="310" spans="1:17">
      <c r="A310" s="28"/>
      <c r="B310" s="29"/>
      <c r="C310" s="29"/>
      <c r="D310" s="29"/>
      <c r="E310" s="29"/>
      <c r="F310" s="29"/>
      <c r="G310" s="29">
        <v>99610.880000000005</v>
      </c>
      <c r="H310" s="29"/>
      <c r="I310" s="29"/>
      <c r="J310" s="29"/>
      <c r="K310" s="29"/>
      <c r="L310" s="29"/>
      <c r="M310" s="29"/>
      <c r="N310" s="29"/>
      <c r="O310" s="29"/>
      <c r="P310" s="29"/>
      <c r="Q310" s="30"/>
    </row>
    <row r="311" spans="1:17">
      <c r="A311" s="28"/>
      <c r="B311" s="29"/>
      <c r="C311" s="29"/>
      <c r="D311" s="29"/>
      <c r="E311" s="29"/>
      <c r="F311" s="29"/>
      <c r="G311" s="29">
        <v>110817.46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30"/>
    </row>
    <row r="312" spans="1:17">
      <c r="A312" s="28"/>
      <c r="B312" s="29"/>
      <c r="C312" s="29"/>
      <c r="D312" s="29"/>
      <c r="E312" s="29"/>
      <c r="F312" s="29"/>
      <c r="G312" s="29">
        <v>110461.35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30"/>
    </row>
    <row r="313" spans="1:17">
      <c r="A313" s="28"/>
      <c r="B313" s="29"/>
      <c r="C313" s="29"/>
      <c r="D313" s="29"/>
      <c r="E313" s="29"/>
      <c r="F313" s="29"/>
      <c r="G313" s="29">
        <v>100761.1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30"/>
    </row>
    <row r="314" spans="1:17">
      <c r="A314" s="28"/>
      <c r="B314" s="29"/>
      <c r="C314" s="29"/>
      <c r="D314" s="29"/>
      <c r="E314" s="29"/>
      <c r="F314" s="29"/>
      <c r="G314" s="29">
        <v>97205.37</v>
      </c>
      <c r="H314" s="29"/>
      <c r="I314" s="29"/>
      <c r="J314" s="29"/>
      <c r="K314" s="29"/>
      <c r="L314" s="29"/>
      <c r="M314" s="29"/>
      <c r="N314" s="29"/>
      <c r="O314" s="29"/>
      <c r="P314" s="29"/>
      <c r="Q314" s="30"/>
    </row>
    <row r="315" spans="1:17">
      <c r="A315" s="28"/>
      <c r="B315" s="29"/>
      <c r="C315" s="29"/>
      <c r="D315" s="29"/>
      <c r="E315" s="29"/>
      <c r="F315" s="29"/>
      <c r="G315" s="29">
        <v>96535.37</v>
      </c>
      <c r="H315" s="29"/>
      <c r="I315" s="29"/>
      <c r="J315" s="29"/>
      <c r="K315" s="29"/>
      <c r="L315" s="29"/>
      <c r="M315" s="29"/>
      <c r="N315" s="29"/>
      <c r="O315" s="29"/>
      <c r="P315" s="29"/>
      <c r="Q315" s="30"/>
    </row>
    <row r="316" spans="1:17">
      <c r="A316" s="28"/>
      <c r="B316" s="29"/>
      <c r="C316" s="29"/>
      <c r="D316" s="29"/>
      <c r="E316" s="29"/>
      <c r="F316" s="29"/>
      <c r="G316" s="29">
        <v>98051.78</v>
      </c>
      <c r="H316" s="29"/>
      <c r="I316" s="29"/>
      <c r="J316" s="29"/>
      <c r="K316" s="29"/>
      <c r="L316" s="29"/>
      <c r="M316" s="29"/>
      <c r="N316" s="29"/>
      <c r="O316" s="29"/>
      <c r="P316" s="29"/>
      <c r="Q316" s="30"/>
    </row>
    <row r="317" spans="1:17">
      <c r="A317" s="28"/>
      <c r="B317" s="29"/>
      <c r="C317" s="29"/>
      <c r="D317" s="29"/>
      <c r="E317" s="29"/>
      <c r="F317" s="29"/>
      <c r="G317" s="29">
        <v>94867.05</v>
      </c>
      <c r="H317" s="29"/>
      <c r="I317" s="29"/>
      <c r="J317" s="29"/>
      <c r="K317" s="29"/>
      <c r="L317" s="29"/>
      <c r="M317" s="29"/>
      <c r="N317" s="29"/>
      <c r="O317" s="29"/>
      <c r="P317" s="29"/>
      <c r="Q317" s="30"/>
    </row>
    <row r="318" spans="1:17">
      <c r="A318" s="28"/>
      <c r="B318" s="29"/>
      <c r="C318" s="29"/>
      <c r="D318" s="29"/>
      <c r="E318" s="29"/>
      <c r="F318" s="29"/>
      <c r="G318" s="29">
        <v>102954.27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30"/>
    </row>
    <row r="319" spans="1:17">
      <c r="A319" s="28"/>
      <c r="B319" s="29"/>
      <c r="C319" s="29"/>
      <c r="D319" s="29"/>
      <c r="E319" s="29"/>
      <c r="F319" s="29"/>
      <c r="G319" s="29">
        <v>94292.2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30"/>
    </row>
    <row r="320" spans="1:17">
      <c r="A320" s="28"/>
      <c r="B320" s="29"/>
      <c r="C320" s="29"/>
      <c r="D320" s="29"/>
      <c r="E320" s="29"/>
      <c r="F320" s="29"/>
      <c r="G320" s="29">
        <v>87539.75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30"/>
    </row>
    <row r="321" spans="1:17">
      <c r="A321" s="28"/>
      <c r="B321" s="29"/>
      <c r="C321" s="29"/>
      <c r="D321" s="29"/>
      <c r="E321" s="29"/>
      <c r="F321" s="29"/>
      <c r="G321" s="29">
        <v>83396.289999999994</v>
      </c>
      <c r="H321" s="29"/>
      <c r="I321" s="29"/>
      <c r="J321" s="29"/>
      <c r="K321" s="29"/>
      <c r="L321" s="29"/>
      <c r="M321" s="29"/>
      <c r="N321" s="29"/>
      <c r="O321" s="29"/>
      <c r="P321" s="29"/>
      <c r="Q321" s="30"/>
    </row>
    <row r="322" spans="1:17">
      <c r="A322" s="28"/>
      <c r="B322" s="29"/>
      <c r="C322" s="29"/>
      <c r="D322" s="29"/>
      <c r="E322" s="29"/>
      <c r="F322" s="29"/>
      <c r="G322" s="29">
        <v>78885.119999999995</v>
      </c>
      <c r="H322" s="29"/>
      <c r="I322" s="29"/>
      <c r="J322" s="29"/>
      <c r="K322" s="29"/>
      <c r="L322" s="29"/>
      <c r="M322" s="29"/>
      <c r="N322" s="29"/>
      <c r="O322" s="29"/>
      <c r="P322" s="29"/>
      <c r="Q322" s="30"/>
    </row>
    <row r="323" spans="1:17">
      <c r="A323" s="28"/>
      <c r="B323" s="29"/>
      <c r="C323" s="29"/>
      <c r="D323" s="29"/>
      <c r="E323" s="29"/>
      <c r="F323" s="29"/>
      <c r="G323" s="29">
        <v>78740.56</v>
      </c>
      <c r="H323" s="29"/>
      <c r="I323" s="29"/>
      <c r="J323" s="29"/>
      <c r="K323" s="29"/>
      <c r="L323" s="29"/>
      <c r="M323" s="29"/>
      <c r="N323" s="29"/>
      <c r="O323" s="29"/>
      <c r="P323" s="29"/>
      <c r="Q323" s="30"/>
    </row>
    <row r="324" spans="1:17">
      <c r="A324" s="28"/>
      <c r="B324" s="29"/>
      <c r="C324" s="29"/>
      <c r="D324" s="29"/>
      <c r="E324" s="29"/>
      <c r="F324" s="29"/>
      <c r="G324" s="29">
        <v>78411.039999999994</v>
      </c>
      <c r="H324" s="29"/>
      <c r="I324" s="29"/>
      <c r="J324" s="29"/>
      <c r="K324" s="29"/>
      <c r="L324" s="29"/>
      <c r="M324" s="29"/>
      <c r="N324" s="29"/>
      <c r="O324" s="29"/>
      <c r="P324" s="29"/>
      <c r="Q324" s="30"/>
    </row>
    <row r="325" spans="1:17">
      <c r="A325" s="28"/>
      <c r="B325" s="29"/>
      <c r="C325" s="29"/>
      <c r="D325" s="29"/>
      <c r="E325" s="29"/>
      <c r="F325" s="29"/>
      <c r="G325" s="29">
        <v>76598.11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30"/>
    </row>
    <row r="326" spans="1:17">
      <c r="A326" s="28"/>
      <c r="B326" s="29"/>
      <c r="C326" s="29"/>
      <c r="D326" s="29"/>
      <c r="E326" s="29"/>
      <c r="F326" s="29"/>
      <c r="G326" s="29">
        <v>77207.789999999994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30"/>
    </row>
    <row r="327" spans="1:17">
      <c r="A327" s="28"/>
      <c r="B327" s="29"/>
      <c r="C327" s="29"/>
      <c r="D327" s="29"/>
      <c r="E327" s="29"/>
      <c r="F327" s="29"/>
      <c r="G327" s="29">
        <v>70140.100000000006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30"/>
    </row>
    <row r="328" spans="1:17">
      <c r="A328" s="28"/>
      <c r="B328" s="29"/>
      <c r="C328" s="29"/>
      <c r="D328" s="29"/>
      <c r="E328" s="29"/>
      <c r="F328" s="29"/>
      <c r="G328" s="29">
        <v>73763.289999999994</v>
      </c>
      <c r="H328" s="29"/>
      <c r="I328" s="29"/>
      <c r="J328" s="29"/>
      <c r="K328" s="29"/>
      <c r="L328" s="29"/>
      <c r="M328" s="29"/>
      <c r="N328" s="29"/>
      <c r="O328" s="29"/>
      <c r="P328" s="29"/>
      <c r="Q328" s="30"/>
    </row>
    <row r="329" spans="1:17">
      <c r="A329" s="28"/>
      <c r="B329" s="29"/>
      <c r="C329" s="29"/>
      <c r="D329" s="29"/>
      <c r="E329" s="29"/>
      <c r="F329" s="29"/>
      <c r="G329" s="29">
        <v>72388.45</v>
      </c>
      <c r="H329" s="29"/>
      <c r="I329" s="29"/>
      <c r="J329" s="29"/>
      <c r="K329" s="29"/>
      <c r="L329" s="29"/>
      <c r="M329" s="29"/>
      <c r="N329" s="29"/>
      <c r="O329" s="29"/>
      <c r="P329" s="29"/>
      <c r="Q329" s="30"/>
    </row>
    <row r="330" spans="1:17">
      <c r="A330" s="28"/>
      <c r="B330" s="29"/>
      <c r="C330" s="29"/>
      <c r="D330" s="29"/>
      <c r="E330" s="29"/>
      <c r="F330" s="29"/>
      <c r="G330" s="29">
        <v>74761.039999999994</v>
      </c>
      <c r="H330" s="29"/>
      <c r="I330" s="29"/>
      <c r="J330" s="29"/>
      <c r="K330" s="29"/>
      <c r="L330" s="29"/>
      <c r="M330" s="29"/>
      <c r="N330" s="29"/>
      <c r="O330" s="29"/>
      <c r="P330" s="29"/>
      <c r="Q330" s="30"/>
    </row>
    <row r="331" spans="1:17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</row>
    <row r="332" spans="1:17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</row>
    <row r="333" spans="1:17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</row>
    <row r="334" spans="1:17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</row>
    <row r="335" spans="1:17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</row>
    <row r="336" spans="1:17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</row>
    <row r="337" spans="1:1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</row>
    <row r="338" spans="1:17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</row>
    <row r="339" spans="1:17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</row>
    <row r="340" spans="1:17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</row>
    <row r="341" spans="1:17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</row>
    <row r="342" spans="1:17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</row>
    <row r="343" spans="1:17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</row>
    <row r="344" spans="1:17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</row>
    <row r="345" spans="1:17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</row>
    <row r="346" spans="1:17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</row>
    <row r="347" spans="1:1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</row>
    <row r="348" spans="1:17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</row>
    <row r="349" spans="1:17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</row>
    <row r="350" spans="1:17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</row>
    <row r="351" spans="1:17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</row>
    <row r="352" spans="1:17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</row>
    <row r="353" spans="1:17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</row>
    <row r="354" spans="1:17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</row>
    <row r="355" spans="1:17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</row>
    <row r="356" spans="1:17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</row>
    <row r="357" spans="1:1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</row>
    <row r="358" spans="1:17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</row>
    <row r="359" spans="1:17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</row>
    <row r="360" spans="1:17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</row>
    <row r="361" spans="1:17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</row>
    <row r="362" spans="1:17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</row>
    <row r="363" spans="1:17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</row>
    <row r="364" spans="1:17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</row>
    <row r="365" spans="1:17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</row>
    <row r="366" spans="1:17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</row>
    <row r="367" spans="1:1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</row>
    <row r="368" spans="1:17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</row>
    <row r="369" spans="1:17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</row>
    <row r="370" spans="1:17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</row>
    <row r="371" spans="1:17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</row>
    <row r="372" spans="1:17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</row>
    <row r="373" spans="1:17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</row>
    <row r="374" spans="1:17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</row>
    <row r="375" spans="1:17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</row>
    <row r="376" spans="1:17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</row>
    <row r="377" spans="1:1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</row>
    <row r="378" spans="1:17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</row>
    <row r="379" spans="1:17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1:17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1:17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</row>
  </sheetData>
  <mergeCells count="2">
    <mergeCell ref="B1:F1"/>
    <mergeCell ref="H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4F15-B216-E146-917A-C407505093A5}">
  <dimension ref="A1:Q381"/>
  <sheetViews>
    <sheetView tabSelected="1" topLeftCell="A157" zoomScale="150" workbookViewId="0">
      <selection activeCell="H186" sqref="H186:H187"/>
    </sheetView>
  </sheetViews>
  <sheetFormatPr baseColWidth="10" defaultRowHeight="15"/>
  <cols>
    <col min="11" max="13" width="4.6640625" bestFit="1" customWidth="1"/>
    <col min="14" max="15" width="5.6640625" bestFit="1" customWidth="1"/>
  </cols>
  <sheetData>
    <row r="1" spans="1:17">
      <c r="A1" s="24"/>
    </row>
    <row r="2" spans="1:17">
      <c r="A2" s="26" t="s">
        <v>22</v>
      </c>
      <c r="B2" t="s">
        <v>421</v>
      </c>
      <c r="C2" t="s">
        <v>420</v>
      </c>
      <c r="D2" t="s">
        <v>422</v>
      </c>
      <c r="E2" t="s">
        <v>424</v>
      </c>
      <c r="F2" t="s">
        <v>425</v>
      </c>
      <c r="G2" t="s">
        <v>423</v>
      </c>
      <c r="H2" t="s">
        <v>426</v>
      </c>
      <c r="I2" t="s">
        <v>27</v>
      </c>
    </row>
    <row r="3" spans="1:17">
      <c r="A3" s="28">
        <v>45016</v>
      </c>
      <c r="B3">
        <f>Prestiti!B3+Prestiti!C3+Prestiti!D3</f>
        <v>140857.99</v>
      </c>
      <c r="C3">
        <f>Prestiti!E3+Prestiti!F3</f>
        <v>15803.41</v>
      </c>
      <c r="D3">
        <f>Prestiti!G3</f>
        <v>98985.95</v>
      </c>
      <c r="E3">
        <f>Prestiti!H3+Prestiti!K3+Prestiti!L3</f>
        <v>694357.24</v>
      </c>
      <c r="F3">
        <f>Prestiti!I3+Prestiti!J3</f>
        <v>251313.13</v>
      </c>
      <c r="G3">
        <f>Prestiti!M3+Prestiti!N3+Prestiti!O3+Prestiti!P3</f>
        <v>1321978.44</v>
      </c>
      <c r="H3">
        <f>G3+C3</f>
        <v>1337781.8499999999</v>
      </c>
      <c r="I3">
        <f>SUM(B3:G3)</f>
        <v>2523296.16</v>
      </c>
      <c r="K3" s="13">
        <f>B3/I3*100</f>
        <v>5.5823011279024808</v>
      </c>
      <c r="L3" s="13">
        <f>C3/I3*100</f>
        <v>0.6263002437256513</v>
      </c>
      <c r="M3" s="13">
        <f>D3/I3*100</f>
        <v>3.9228827582411094</v>
      </c>
      <c r="N3" s="13">
        <f>E3/I3*100</f>
        <v>27.517865362264889</v>
      </c>
      <c r="O3" s="13">
        <f>F3/I3*100</f>
        <v>9.9597159455115243</v>
      </c>
      <c r="P3" s="13">
        <f>G3/I3*100</f>
        <v>52.390934562354339</v>
      </c>
      <c r="Q3" s="13">
        <f>H3/I3*100</f>
        <v>53.017234806079983</v>
      </c>
    </row>
    <row r="4" spans="1:17">
      <c r="A4" s="28">
        <v>44985</v>
      </c>
      <c r="B4">
        <f>Prestiti!B4+Prestiti!C4+Prestiti!D4</f>
        <v>133611.26</v>
      </c>
      <c r="C4">
        <f>Prestiti!E4+Prestiti!F4</f>
        <v>15195.289999999999</v>
      </c>
      <c r="D4">
        <f>Prestiti!G4</f>
        <v>96147.31</v>
      </c>
      <c r="E4">
        <f>Prestiti!H4+Prestiti!K4+Prestiti!L4</f>
        <v>721404.36</v>
      </c>
      <c r="F4">
        <f>Prestiti!I4+Prestiti!J4</f>
        <v>252321.93</v>
      </c>
      <c r="G4">
        <f>Prestiti!M4+Prestiti!N4+Prestiti!O4+Prestiti!P4</f>
        <v>1322851.82</v>
      </c>
      <c r="H4">
        <f t="shared" ref="H4:H67" si="0">G4+C4</f>
        <v>1338047.1100000001</v>
      </c>
      <c r="I4">
        <f>SUM(B4:G4)</f>
        <v>2541531.9699999997</v>
      </c>
      <c r="K4" s="13">
        <f t="shared" ref="K4:K67" si="1">B4/I4*100</f>
        <v>5.2571150619836597</v>
      </c>
      <c r="L4" s="13">
        <f t="shared" ref="L4:L67" si="2">C4/I4*100</f>
        <v>0.59787916026096655</v>
      </c>
      <c r="M4" s="13">
        <f t="shared" ref="M4:M67" si="3">D4/I4*100</f>
        <v>3.7830454676515441</v>
      </c>
      <c r="N4" s="13">
        <f t="shared" ref="N4:N67" si="4">E4/I4*100</f>
        <v>28.384626615576273</v>
      </c>
      <c r="O4" s="13">
        <f t="shared" ref="O4:O67" si="5">F4/I4*100</f>
        <v>9.9279463323060231</v>
      </c>
      <c r="P4" s="13">
        <f t="shared" ref="P4:P67" si="6">G4/I4*100</f>
        <v>52.049387362221545</v>
      </c>
      <c r="Q4" s="13">
        <f t="shared" ref="Q4:Q67" si="7">H4/I4*100</f>
        <v>52.647266522482504</v>
      </c>
    </row>
    <row r="5" spans="1:17">
      <c r="A5" s="28">
        <v>44954</v>
      </c>
      <c r="B5">
        <f>Prestiti!B5+Prestiti!C5+Prestiti!D5</f>
        <v>136235.35</v>
      </c>
      <c r="C5">
        <f>Prestiti!E5+Prestiti!F5</f>
        <v>15566.539999999999</v>
      </c>
      <c r="D5">
        <f>Prestiti!G5</f>
        <v>97087.27</v>
      </c>
      <c r="E5">
        <f>Prestiti!H5+Prestiti!K5+Prestiti!L5</f>
        <v>728842.19</v>
      </c>
      <c r="F5">
        <f>Prestiti!I5+Prestiti!J5</f>
        <v>256715.38999999998</v>
      </c>
      <c r="G5">
        <f>Prestiti!M5+Prestiti!N5+Prestiti!O5+Prestiti!P5</f>
        <v>1326410.5399999998</v>
      </c>
      <c r="H5">
        <f t="shared" si="0"/>
        <v>1341977.0799999998</v>
      </c>
      <c r="I5">
        <f>SUM(B5:G5)</f>
        <v>2560857.2799999998</v>
      </c>
      <c r="K5" s="13">
        <f t="shared" si="1"/>
        <v>5.3199118538929282</v>
      </c>
      <c r="L5" s="13">
        <f t="shared" si="2"/>
        <v>0.60786441015564918</v>
      </c>
      <c r="M5" s="13">
        <f t="shared" si="3"/>
        <v>3.7912019056368504</v>
      </c>
      <c r="N5" s="13">
        <f t="shared" si="4"/>
        <v>28.460867213966722</v>
      </c>
      <c r="O5" s="13">
        <f t="shared" si="5"/>
        <v>10.024587937989265</v>
      </c>
      <c r="P5" s="13">
        <f t="shared" si="6"/>
        <v>51.795566678358583</v>
      </c>
      <c r="Q5" s="13">
        <f t="shared" si="7"/>
        <v>52.403431088514232</v>
      </c>
    </row>
    <row r="6" spans="1:17">
      <c r="A6" s="28">
        <v>44923</v>
      </c>
      <c r="B6">
        <f>Prestiti!B6+Prestiti!C6+Prestiti!D6</f>
        <v>143786.81</v>
      </c>
      <c r="C6">
        <f>Prestiti!E6+Prestiti!F6</f>
        <v>14537.67</v>
      </c>
      <c r="D6">
        <f>Prestiti!G6</f>
        <v>96472.69</v>
      </c>
      <c r="E6">
        <f>Prestiti!H6+Prestiti!K6+Prestiti!L6</f>
        <v>711860.82000000007</v>
      </c>
      <c r="F6">
        <f>Prestiti!I6+Prestiti!J6</f>
        <v>263556.77</v>
      </c>
      <c r="G6">
        <f>Prestiti!M6+Prestiti!N6+Prestiti!O6+Prestiti!P6</f>
        <v>1327982.97</v>
      </c>
      <c r="H6">
        <f t="shared" si="0"/>
        <v>1342520.64</v>
      </c>
      <c r="I6">
        <f>SUM(B6:G6)</f>
        <v>2558197.7300000004</v>
      </c>
      <c r="K6" s="13">
        <f t="shared" si="1"/>
        <v>5.6206292544869063</v>
      </c>
      <c r="L6" s="13">
        <f t="shared" si="2"/>
        <v>0.56827780861176813</v>
      </c>
      <c r="M6" s="13">
        <f t="shared" si="3"/>
        <v>3.7711193653510118</v>
      </c>
      <c r="N6" s="13">
        <f t="shared" si="4"/>
        <v>27.8266535714579</v>
      </c>
      <c r="O6" s="13">
        <f t="shared" si="5"/>
        <v>10.302439366170494</v>
      </c>
      <c r="P6" s="13">
        <f t="shared" si="6"/>
        <v>51.910880633921906</v>
      </c>
      <c r="Q6" s="13">
        <f t="shared" si="7"/>
        <v>52.479158442533667</v>
      </c>
    </row>
    <row r="7" spans="1:17">
      <c r="A7" s="28">
        <v>44893</v>
      </c>
      <c r="B7">
        <f>Prestiti!B7+Prestiti!C7+Prestiti!D7</f>
        <v>137347.99</v>
      </c>
      <c r="C7">
        <f>Prestiti!E7+Prestiti!F7</f>
        <v>15183.529999999999</v>
      </c>
      <c r="D7">
        <f>Prestiti!G7</f>
        <v>103328.72</v>
      </c>
      <c r="E7">
        <f>Prestiti!H7+Prestiti!K7+Prestiti!L7</f>
        <v>799677.47000000009</v>
      </c>
      <c r="F7">
        <f>Prestiti!I7+Prestiti!J7</f>
        <v>255444.21999999997</v>
      </c>
      <c r="G7">
        <f>Prestiti!M7+Prestiti!N7+Prestiti!O7+Prestiti!P7</f>
        <v>1346247.32</v>
      </c>
      <c r="H7">
        <f t="shared" si="0"/>
        <v>1361430.85</v>
      </c>
      <c r="I7">
        <f>SUM(B7:G7)</f>
        <v>2657229.25</v>
      </c>
      <c r="K7" s="13">
        <f t="shared" si="1"/>
        <v>5.168842319495015</v>
      </c>
      <c r="L7" s="13">
        <f t="shared" si="2"/>
        <v>0.57140459371354579</v>
      </c>
      <c r="M7" s="13">
        <f t="shared" si="3"/>
        <v>3.8885888374140096</v>
      </c>
      <c r="N7" s="13">
        <f t="shared" si="4"/>
        <v>30.094410183088272</v>
      </c>
      <c r="O7" s="13">
        <f t="shared" si="5"/>
        <v>9.6131795929914574</v>
      </c>
      <c r="P7" s="13">
        <f t="shared" si="6"/>
        <v>50.6635744732977</v>
      </c>
      <c r="Q7" s="13">
        <f t="shared" si="7"/>
        <v>51.234979067011253</v>
      </c>
    </row>
    <row r="8" spans="1:17">
      <c r="A8" s="28">
        <v>44862</v>
      </c>
      <c r="B8">
        <f>Prestiti!B8+Prestiti!C8+Prestiti!D8</f>
        <v>138776.79</v>
      </c>
      <c r="C8">
        <f>Prestiti!E8+Prestiti!F8</f>
        <v>15288.26</v>
      </c>
      <c r="D8">
        <f>Prestiti!G8</f>
        <v>107267.57</v>
      </c>
      <c r="E8">
        <f>Prestiti!H8+Prestiti!K8+Prestiti!L8</f>
        <v>787088.75</v>
      </c>
      <c r="F8">
        <f>Prestiti!I8+Prestiti!J8</f>
        <v>259929.5</v>
      </c>
      <c r="G8">
        <f>Prestiti!M8+Prestiti!N8+Prestiti!O8+Prestiti!P8</f>
        <v>1347346.79</v>
      </c>
      <c r="H8">
        <f t="shared" si="0"/>
        <v>1362635.05</v>
      </c>
      <c r="I8">
        <f>SUM(B8:G8)</f>
        <v>2655697.66</v>
      </c>
      <c r="K8" s="13">
        <f t="shared" si="1"/>
        <v>5.2256245916186108</v>
      </c>
      <c r="L8" s="13">
        <f t="shared" si="2"/>
        <v>0.57567772982109722</v>
      </c>
      <c r="M8" s="13">
        <f t="shared" si="3"/>
        <v>4.0391484172185477</v>
      </c>
      <c r="N8" s="13">
        <f t="shared" si="4"/>
        <v>29.637739335131997</v>
      </c>
      <c r="O8" s="13">
        <f t="shared" si="5"/>
        <v>9.7876164111241479</v>
      </c>
      <c r="P8" s="13">
        <f t="shared" si="6"/>
        <v>50.7341935150856</v>
      </c>
      <c r="Q8" s="13">
        <f t="shared" si="7"/>
        <v>51.309871244906688</v>
      </c>
    </row>
    <row r="9" spans="1:17">
      <c r="A9" s="28">
        <v>44832</v>
      </c>
      <c r="B9">
        <f>Prestiti!B9+Prestiti!C9+Prestiti!D9</f>
        <v>145138.71</v>
      </c>
      <c r="C9">
        <f>Prestiti!E9+Prestiti!F9</f>
        <v>15861.02</v>
      </c>
      <c r="D9">
        <f>Prestiti!G9</f>
        <v>109517.28</v>
      </c>
      <c r="E9">
        <f>Prestiti!H9+Prestiti!K9+Prestiti!L9</f>
        <v>771204.7</v>
      </c>
      <c r="F9">
        <f>Prestiti!I9+Prestiti!J9</f>
        <v>260679.66</v>
      </c>
      <c r="G9">
        <f>Prestiti!M9+Prestiti!N9+Prestiti!O9+Prestiti!P9</f>
        <v>1355872.65</v>
      </c>
      <c r="H9">
        <f t="shared" si="0"/>
        <v>1371733.67</v>
      </c>
      <c r="I9">
        <f>SUM(B9:G9)</f>
        <v>2658274.0199999996</v>
      </c>
      <c r="K9" s="13">
        <f t="shared" si="1"/>
        <v>5.4598852077710189</v>
      </c>
      <c r="L9" s="13">
        <f t="shared" si="2"/>
        <v>0.59666610291741118</v>
      </c>
      <c r="M9" s="13">
        <f t="shared" si="3"/>
        <v>4.1198642117414224</v>
      </c>
      <c r="N9" s="13">
        <f t="shared" si="4"/>
        <v>29.011482420461682</v>
      </c>
      <c r="O9" s="13">
        <f t="shared" si="5"/>
        <v>9.8063502121575894</v>
      </c>
      <c r="P9" s="13">
        <f t="shared" si="6"/>
        <v>51.005751844950886</v>
      </c>
      <c r="Q9" s="13">
        <f t="shared" si="7"/>
        <v>51.602417947868297</v>
      </c>
    </row>
    <row r="10" spans="1:17">
      <c r="A10" s="28">
        <v>44801</v>
      </c>
      <c r="B10">
        <f>Prestiti!B10+Prestiti!C10+Prestiti!D10</f>
        <v>136497.09</v>
      </c>
      <c r="C10">
        <f>Prestiti!E10+Prestiti!F10</f>
        <v>14579.84</v>
      </c>
      <c r="D10">
        <f>Prestiti!G10</f>
        <v>111041</v>
      </c>
      <c r="E10">
        <f>Prestiti!H10+Prestiti!K10+Prestiti!L10</f>
        <v>789751.55</v>
      </c>
      <c r="F10">
        <f>Prestiti!I10+Prestiti!J10</f>
        <v>261290.34</v>
      </c>
      <c r="G10">
        <f>Prestiti!M10+Prestiti!N10+Prestiti!O10+Prestiti!P10</f>
        <v>1355614.04</v>
      </c>
      <c r="H10">
        <f t="shared" si="0"/>
        <v>1370193.8800000001</v>
      </c>
      <c r="I10">
        <f>SUM(B10:G10)</f>
        <v>2668773.8600000003</v>
      </c>
      <c r="K10" s="13">
        <f t="shared" si="1"/>
        <v>5.114599331394829</v>
      </c>
      <c r="L10" s="13">
        <f t="shared" si="2"/>
        <v>0.54631230538206788</v>
      </c>
      <c r="M10" s="13">
        <f t="shared" si="3"/>
        <v>4.1607496859999964</v>
      </c>
      <c r="N10" s="13">
        <f t="shared" si="4"/>
        <v>29.592299364023294</v>
      </c>
      <c r="O10" s="13">
        <f t="shared" si="5"/>
        <v>9.790651201896889</v>
      </c>
      <c r="P10" s="13">
        <f t="shared" si="6"/>
        <v>50.795388111302906</v>
      </c>
      <c r="Q10" s="13">
        <f t="shared" si="7"/>
        <v>51.341700416684986</v>
      </c>
    </row>
    <row r="11" spans="1:17">
      <c r="A11" s="28">
        <v>44770</v>
      </c>
      <c r="B11">
        <f>Prestiti!B11+Prestiti!C11+Prestiti!D11</f>
        <v>142221.66</v>
      </c>
      <c r="C11">
        <f>Prestiti!E11+Prestiti!F11</f>
        <v>14409.810000000001</v>
      </c>
      <c r="D11">
        <f>Prestiti!G11</f>
        <v>111996.35</v>
      </c>
      <c r="E11">
        <f>Prestiti!H11+Prestiti!K11+Prestiti!L11</f>
        <v>798174.25999999989</v>
      </c>
      <c r="F11">
        <f>Prestiti!I11+Prestiti!J11</f>
        <v>260905.16</v>
      </c>
      <c r="G11">
        <f>Prestiti!M11+Prestiti!N11+Prestiti!O11+Prestiti!P11</f>
        <v>1352007.39</v>
      </c>
      <c r="H11">
        <f t="shared" si="0"/>
        <v>1366417.2</v>
      </c>
      <c r="I11">
        <f>SUM(B11:G11)</f>
        <v>2679714.63</v>
      </c>
      <c r="K11" s="13">
        <f t="shared" si="1"/>
        <v>5.3073434912731736</v>
      </c>
      <c r="L11" s="13">
        <f t="shared" si="2"/>
        <v>0.53773673654198029</v>
      </c>
      <c r="M11" s="13">
        <f t="shared" si="3"/>
        <v>4.1794133131258091</v>
      </c>
      <c r="N11" s="13">
        <f t="shared" si="4"/>
        <v>29.785793273069526</v>
      </c>
      <c r="O11" s="13">
        <f t="shared" si="5"/>
        <v>9.7363038988968764</v>
      </c>
      <c r="P11" s="13">
        <f t="shared" si="6"/>
        <v>50.453409287092633</v>
      </c>
      <c r="Q11" s="13">
        <f t="shared" si="7"/>
        <v>50.991146023634613</v>
      </c>
    </row>
    <row r="12" spans="1:17">
      <c r="A12" s="28">
        <v>44740</v>
      </c>
      <c r="B12">
        <f>Prestiti!B12+Prestiti!C12+Prestiti!D12</f>
        <v>132275.89000000001</v>
      </c>
      <c r="C12">
        <f>Prestiti!E12+Prestiti!F12</f>
        <v>14102.08</v>
      </c>
      <c r="D12">
        <f>Prestiti!G12</f>
        <v>109812.72</v>
      </c>
      <c r="E12">
        <f>Prestiti!H12+Prestiti!K12+Prestiti!L12</f>
        <v>804768.97</v>
      </c>
      <c r="F12">
        <f>Prestiti!I12+Prestiti!J12</f>
        <v>262242.90999999997</v>
      </c>
      <c r="G12">
        <f>Prestiti!M12+Prestiti!N12+Prestiti!O12+Prestiti!P12</f>
        <v>1344082.4700000002</v>
      </c>
      <c r="H12">
        <f t="shared" si="0"/>
        <v>1358184.5500000003</v>
      </c>
      <c r="I12">
        <f>SUM(B12:G12)</f>
        <v>2667285.04</v>
      </c>
      <c r="K12" s="13">
        <f t="shared" si="1"/>
        <v>4.9591958870657491</v>
      </c>
      <c r="L12" s="13">
        <f t="shared" si="2"/>
        <v>0.52870539850514064</v>
      </c>
      <c r="M12" s="13">
        <f t="shared" si="3"/>
        <v>4.1170223036979952</v>
      </c>
      <c r="N12" s="13">
        <f t="shared" si="4"/>
        <v>30.171839827062502</v>
      </c>
      <c r="O12" s="13">
        <f t="shared" si="5"/>
        <v>9.8318292221216819</v>
      </c>
      <c r="P12" s="13">
        <f t="shared" si="6"/>
        <v>50.391407361546939</v>
      </c>
      <c r="Q12" s="13">
        <f t="shared" si="7"/>
        <v>50.920112760052085</v>
      </c>
    </row>
    <row r="13" spans="1:17">
      <c r="A13" s="28">
        <v>44709</v>
      </c>
      <c r="B13">
        <f>Prestiti!B13+Prestiti!C13+Prestiti!D13</f>
        <v>135785.51999999999</v>
      </c>
      <c r="C13">
        <f>Prestiti!E13+Prestiti!F13</f>
        <v>12913.51</v>
      </c>
      <c r="D13">
        <f>Prestiti!G13</f>
        <v>105181.75</v>
      </c>
      <c r="E13">
        <f>Prestiti!H13+Prestiti!K13+Prestiti!L13</f>
        <v>876275.29999999993</v>
      </c>
      <c r="F13">
        <f>Prestiti!I13+Prestiti!J13</f>
        <v>260541.91999999998</v>
      </c>
      <c r="G13">
        <f>Prestiti!M13+Prestiti!N13+Prestiti!O13+Prestiti!P13</f>
        <v>1342693.92</v>
      </c>
      <c r="H13">
        <f t="shared" si="0"/>
        <v>1355607.43</v>
      </c>
      <c r="I13">
        <f>SUM(B13:G13)</f>
        <v>2733391.92</v>
      </c>
      <c r="K13" s="13">
        <f t="shared" si="1"/>
        <v>4.9676564493539583</v>
      </c>
      <c r="L13" s="13">
        <f t="shared" si="2"/>
        <v>0.47243536155620158</v>
      </c>
      <c r="M13" s="13">
        <f t="shared" si="3"/>
        <v>3.8480303256329229</v>
      </c>
      <c r="N13" s="13">
        <f t="shared" si="4"/>
        <v>32.058165299617919</v>
      </c>
      <c r="O13" s="13">
        <f t="shared" si="5"/>
        <v>9.5318171570507904</v>
      </c>
      <c r="P13" s="13">
        <f t="shared" si="6"/>
        <v>49.121895406788205</v>
      </c>
      <c r="Q13" s="13">
        <f t="shared" si="7"/>
        <v>49.594330768344406</v>
      </c>
    </row>
    <row r="14" spans="1:17">
      <c r="A14" s="28">
        <v>44679</v>
      </c>
      <c r="B14">
        <f>Prestiti!B14+Prestiti!C14+Prestiti!D14</f>
        <v>136344.54999999999</v>
      </c>
      <c r="C14">
        <f>Prestiti!E14+Prestiti!F14</f>
        <v>13081.529999999999</v>
      </c>
      <c r="D14">
        <f>Prestiti!G14</f>
        <v>106279.21</v>
      </c>
      <c r="E14">
        <f>Prestiti!H14+Prestiti!K14+Prestiti!L14</f>
        <v>878432</v>
      </c>
      <c r="F14">
        <f>Prestiti!I14+Prestiti!J14</f>
        <v>261727.09</v>
      </c>
      <c r="G14">
        <f>Prestiti!M14+Prestiti!N14+Prestiti!O14+Prestiti!P14</f>
        <v>1330253.08</v>
      </c>
      <c r="H14">
        <f t="shared" si="0"/>
        <v>1343334.61</v>
      </c>
      <c r="I14">
        <f>SUM(B14:G14)</f>
        <v>2726117.46</v>
      </c>
      <c r="K14" s="13">
        <f t="shared" si="1"/>
        <v>5.001418757649569</v>
      </c>
      <c r="L14" s="13">
        <f t="shared" si="2"/>
        <v>0.47985936746834085</v>
      </c>
      <c r="M14" s="13">
        <f t="shared" si="3"/>
        <v>3.8985557871009711</v>
      </c>
      <c r="N14" s="13">
        <f t="shared" si="4"/>
        <v>32.222822856649763</v>
      </c>
      <c r="O14" s="13">
        <f t="shared" si="5"/>
        <v>9.6007268153441938</v>
      </c>
      <c r="P14" s="13">
        <f t="shared" si="6"/>
        <v>48.796616415787163</v>
      </c>
      <c r="Q14" s="13">
        <f t="shared" si="7"/>
        <v>49.276475783255506</v>
      </c>
    </row>
    <row r="15" spans="1:17">
      <c r="A15" s="28">
        <v>44648</v>
      </c>
      <c r="B15">
        <f>Prestiti!B15+Prestiti!C15+Prestiti!D15</f>
        <v>133339.78</v>
      </c>
      <c r="C15">
        <f>Prestiti!E15+Prestiti!F15</f>
        <v>13425.980000000001</v>
      </c>
      <c r="D15">
        <f>Prestiti!G15</f>
        <v>107190.69</v>
      </c>
      <c r="E15">
        <f>Prestiti!H15+Prestiti!K15+Prestiti!L15</f>
        <v>862536.45</v>
      </c>
      <c r="F15">
        <f>Prestiti!I15+Prestiti!J15</f>
        <v>262492.28999999998</v>
      </c>
      <c r="G15">
        <f>Prestiti!M15+Prestiti!N15+Prestiti!O15+Prestiti!P15</f>
        <v>1335243.1100000001</v>
      </c>
      <c r="H15">
        <f t="shared" si="0"/>
        <v>1348669.09</v>
      </c>
      <c r="I15">
        <f>SUM(B15:G15)</f>
        <v>2714228.3</v>
      </c>
      <c r="K15" s="13">
        <f t="shared" si="1"/>
        <v>4.9126221254122218</v>
      </c>
      <c r="L15" s="13">
        <f t="shared" si="2"/>
        <v>0.49465183160900661</v>
      </c>
      <c r="M15" s="13">
        <f t="shared" si="3"/>
        <v>3.9492142204839591</v>
      </c>
      <c r="N15" s="13">
        <f t="shared" si="4"/>
        <v>31.778330879535815</v>
      </c>
      <c r="O15" s="13">
        <f t="shared" si="5"/>
        <v>9.6709731454793246</v>
      </c>
      <c r="P15" s="13">
        <f t="shared" si="6"/>
        <v>49.194207797479685</v>
      </c>
      <c r="Q15" s="13">
        <f t="shared" si="7"/>
        <v>49.688859629088689</v>
      </c>
    </row>
    <row r="16" spans="1:17">
      <c r="A16" s="28">
        <v>44620</v>
      </c>
      <c r="B16">
        <f>Prestiti!B16+Prestiti!C16+Prestiti!D16</f>
        <v>131832.30000000002</v>
      </c>
      <c r="C16">
        <f>Prestiti!E16+Prestiti!F16</f>
        <v>12973.12</v>
      </c>
      <c r="D16">
        <f>Prestiti!G16</f>
        <v>104590.61</v>
      </c>
      <c r="E16">
        <f>Prestiti!H16+Prestiti!K16+Prestiti!L16</f>
        <v>865881.95000000007</v>
      </c>
      <c r="F16">
        <f>Prestiti!I16+Prestiti!J16</f>
        <v>264601.86</v>
      </c>
      <c r="G16">
        <f>Prestiti!M16+Prestiti!N16+Prestiti!O16+Prestiti!P16</f>
        <v>1327885.7</v>
      </c>
      <c r="H16">
        <f t="shared" si="0"/>
        <v>1340858.82</v>
      </c>
      <c r="I16">
        <f>SUM(B16:G16)</f>
        <v>2707765.54</v>
      </c>
      <c r="K16" s="13">
        <f t="shared" si="1"/>
        <v>4.8686748558001076</v>
      </c>
      <c r="L16" s="13">
        <f t="shared" si="2"/>
        <v>0.47910795112637417</v>
      </c>
      <c r="M16" s="13">
        <f t="shared" si="3"/>
        <v>3.8626169236203518</v>
      </c>
      <c r="N16" s="13">
        <f t="shared" si="4"/>
        <v>31.977729873909251</v>
      </c>
      <c r="O16" s="13">
        <f t="shared" si="5"/>
        <v>9.7719634913442324</v>
      </c>
      <c r="P16" s="13">
        <f t="shared" si="6"/>
        <v>49.03990690419969</v>
      </c>
      <c r="Q16" s="13">
        <f t="shared" si="7"/>
        <v>49.519014855326063</v>
      </c>
    </row>
    <row r="17" spans="1:17">
      <c r="A17" s="28">
        <v>44589</v>
      </c>
      <c r="B17">
        <f>Prestiti!B17+Prestiti!C17+Prestiti!D17</f>
        <v>134340.81</v>
      </c>
      <c r="C17">
        <f>Prestiti!E17+Prestiti!F17</f>
        <v>12670.89</v>
      </c>
      <c r="D17">
        <f>Prestiti!G17</f>
        <v>106644.41</v>
      </c>
      <c r="E17">
        <f>Prestiti!H17+Prestiti!K17+Prestiti!L17</f>
        <v>884216.13000000012</v>
      </c>
      <c r="F17">
        <f>Prestiti!I17+Prestiti!J17</f>
        <v>264525.51</v>
      </c>
      <c r="G17">
        <f>Prestiti!M17+Prestiti!N17+Prestiti!O17+Prestiti!P17</f>
        <v>1323920.01</v>
      </c>
      <c r="H17">
        <f t="shared" si="0"/>
        <v>1336590.8999999999</v>
      </c>
      <c r="I17">
        <f>SUM(B17:G17)</f>
        <v>2726317.7600000002</v>
      </c>
      <c r="K17" s="13">
        <f t="shared" si="1"/>
        <v>4.9275551064157677</v>
      </c>
      <c r="L17" s="13">
        <f t="shared" si="2"/>
        <v>0.46476203859670412</v>
      </c>
      <c r="M17" s="13">
        <f t="shared" si="3"/>
        <v>3.911664720989823</v>
      </c>
      <c r="N17" s="13">
        <f t="shared" si="4"/>
        <v>32.432614531330351</v>
      </c>
      <c r="O17" s="13">
        <f t="shared" si="5"/>
        <v>9.7026661338258666</v>
      </c>
      <c r="P17" s="13">
        <f t="shared" si="6"/>
        <v>48.560737468841488</v>
      </c>
      <c r="Q17" s="13">
        <f t="shared" si="7"/>
        <v>49.025499507438184</v>
      </c>
    </row>
    <row r="18" spans="1:17">
      <c r="A18" s="28">
        <v>44558</v>
      </c>
      <c r="B18">
        <f>Prestiti!B18+Prestiti!C18+Prestiti!D18</f>
        <v>134077.64000000001</v>
      </c>
      <c r="C18">
        <f>Prestiti!E18+Prestiti!F18</f>
        <v>12698.3</v>
      </c>
      <c r="D18">
        <f>Prestiti!G18</f>
        <v>106212.3</v>
      </c>
      <c r="E18">
        <f>Prestiti!H18+Prestiti!K18+Prestiti!L18</f>
        <v>866675.85</v>
      </c>
      <c r="F18">
        <f>Prestiti!I18+Prestiti!J18</f>
        <v>260725.43</v>
      </c>
      <c r="G18">
        <f>Prestiti!M18+Prestiti!N18+Prestiti!O18+Prestiti!P18</f>
        <v>1325972.8500000001</v>
      </c>
      <c r="H18">
        <f t="shared" si="0"/>
        <v>1338671.1500000001</v>
      </c>
      <c r="I18">
        <f>SUM(B18:G18)</f>
        <v>2706362.37</v>
      </c>
      <c r="K18" s="13">
        <f t="shared" si="1"/>
        <v>4.9541643604806698</v>
      </c>
      <c r="L18" s="13">
        <f t="shared" si="2"/>
        <v>0.46920176472894126</v>
      </c>
      <c r="M18" s="13">
        <f t="shared" si="3"/>
        <v>3.9245409697297853</v>
      </c>
      <c r="N18" s="13">
        <f t="shared" si="4"/>
        <v>32.023643973441736</v>
      </c>
      <c r="O18" s="13">
        <f t="shared" si="5"/>
        <v>9.6337960093644064</v>
      </c>
      <c r="P18" s="13">
        <f t="shared" si="6"/>
        <v>48.99465292225446</v>
      </c>
      <c r="Q18" s="13">
        <f t="shared" si="7"/>
        <v>49.463854686983396</v>
      </c>
    </row>
    <row r="19" spans="1:17">
      <c r="A19" s="28">
        <v>44528</v>
      </c>
      <c r="B19">
        <f>Prestiti!B19+Prestiti!C19+Prestiti!D19</f>
        <v>136233.62</v>
      </c>
      <c r="C19">
        <f>Prestiti!E19+Prestiti!F19</f>
        <v>12046.99</v>
      </c>
      <c r="D19">
        <f>Prestiti!G19</f>
        <v>104921.60000000001</v>
      </c>
      <c r="E19">
        <f>Prestiti!H19+Prestiti!K19+Prestiti!L19</f>
        <v>892842.56</v>
      </c>
      <c r="F19">
        <f>Prestiti!I19+Prestiti!J19</f>
        <v>252218.2</v>
      </c>
      <c r="G19">
        <f>Prestiti!M19+Prestiti!N19+Prestiti!O19+Prestiti!P19</f>
        <v>1325789.9900000002</v>
      </c>
      <c r="H19">
        <f t="shared" si="0"/>
        <v>1337836.9800000002</v>
      </c>
      <c r="I19">
        <f>SUM(B19:G19)</f>
        <v>2724052.96</v>
      </c>
      <c r="K19" s="13">
        <f t="shared" si="1"/>
        <v>5.0011369823000802</v>
      </c>
      <c r="L19" s="13">
        <f t="shared" si="2"/>
        <v>0.44224507294454363</v>
      </c>
      <c r="M19" s="13">
        <f t="shared" si="3"/>
        <v>3.8516725460433046</v>
      </c>
      <c r="N19" s="13">
        <f t="shared" si="4"/>
        <v>32.776255568834465</v>
      </c>
      <c r="O19" s="13">
        <f t="shared" si="5"/>
        <v>9.2589315884666199</v>
      </c>
      <c r="P19" s="13">
        <f t="shared" si="6"/>
        <v>48.669758241410996</v>
      </c>
      <c r="Q19" s="13">
        <f t="shared" si="7"/>
        <v>49.11200331435554</v>
      </c>
    </row>
    <row r="20" spans="1:17">
      <c r="A20" s="28">
        <v>44497</v>
      </c>
      <c r="B20">
        <f>Prestiti!B20+Prestiti!C20+Prestiti!D20</f>
        <v>139407.96</v>
      </c>
      <c r="C20">
        <f>Prestiti!E20+Prestiti!F20</f>
        <v>12422.92</v>
      </c>
      <c r="D20">
        <f>Prestiti!G20</f>
        <v>104411.6</v>
      </c>
      <c r="E20">
        <f>Prestiti!H20+Prestiti!K20+Prestiti!L20</f>
        <v>891433.82000000007</v>
      </c>
      <c r="F20">
        <f>Prestiti!I20+Prestiti!J20</f>
        <v>249833.13</v>
      </c>
      <c r="G20">
        <f>Prestiti!M20+Prestiti!N20+Prestiti!O20+Prestiti!P20</f>
        <v>1318543.71</v>
      </c>
      <c r="H20">
        <f t="shared" si="0"/>
        <v>1330966.6299999999</v>
      </c>
      <c r="I20">
        <f>SUM(B20:G20)</f>
        <v>2716053.14</v>
      </c>
      <c r="K20" s="13">
        <f t="shared" si="1"/>
        <v>5.1327405177352308</v>
      </c>
      <c r="L20" s="13">
        <f t="shared" si="2"/>
        <v>0.45738869453783954</v>
      </c>
      <c r="M20" s="13">
        <f t="shared" si="3"/>
        <v>3.8442399547455097</v>
      </c>
      <c r="N20" s="13">
        <f t="shared" si="4"/>
        <v>32.820927060359359</v>
      </c>
      <c r="O20" s="13">
        <f t="shared" si="5"/>
        <v>9.1983888798287641</v>
      </c>
      <c r="P20" s="13">
        <f t="shared" si="6"/>
        <v>48.546314892793298</v>
      </c>
      <c r="Q20" s="13">
        <f t="shared" si="7"/>
        <v>49.003703587331131</v>
      </c>
    </row>
    <row r="21" spans="1:17">
      <c r="A21" s="28">
        <v>44467</v>
      </c>
      <c r="B21">
        <f>Prestiti!B21+Prestiti!C21+Prestiti!D21</f>
        <v>132822.79999999999</v>
      </c>
      <c r="C21">
        <f>Prestiti!E21+Prestiti!F21</f>
        <v>12390.63</v>
      </c>
      <c r="D21">
        <f>Prestiti!G21</f>
        <v>104267.51</v>
      </c>
      <c r="E21">
        <f>Prestiti!H21+Prestiti!K21+Prestiti!L21</f>
        <v>870853.92</v>
      </c>
      <c r="F21">
        <f>Prestiti!I21+Prestiti!J21</f>
        <v>261437.02</v>
      </c>
      <c r="G21">
        <f>Prestiti!M21+Prestiti!N21+Prestiti!O21+Prestiti!P21</f>
        <v>1314018.77</v>
      </c>
      <c r="H21">
        <f t="shared" si="0"/>
        <v>1326409.3999999999</v>
      </c>
      <c r="I21">
        <f>SUM(B21:G21)</f>
        <v>2695790.6500000004</v>
      </c>
      <c r="K21" s="13">
        <f t="shared" si="1"/>
        <v>4.9270443162936255</v>
      </c>
      <c r="L21" s="13">
        <f t="shared" si="2"/>
        <v>0.45962879202062656</v>
      </c>
      <c r="M21" s="13">
        <f t="shared" si="3"/>
        <v>3.8677895852187181</v>
      </c>
      <c r="N21" s="13">
        <f t="shared" si="4"/>
        <v>32.304211753238327</v>
      </c>
      <c r="O21" s="13">
        <f t="shared" si="5"/>
        <v>9.6979719103929654</v>
      </c>
      <c r="P21" s="13">
        <f t="shared" si="6"/>
        <v>48.743353642835721</v>
      </c>
      <c r="Q21" s="13">
        <f t="shared" si="7"/>
        <v>49.202982434856345</v>
      </c>
    </row>
    <row r="22" spans="1:17">
      <c r="A22" s="28">
        <v>44436</v>
      </c>
      <c r="B22">
        <f>Prestiti!B22+Prestiti!C22+Prestiti!D22</f>
        <v>133643.88</v>
      </c>
      <c r="C22">
        <f>Prestiti!E22+Prestiti!F22</f>
        <v>11602.23</v>
      </c>
      <c r="D22">
        <f>Prestiti!G22</f>
        <v>103204.69</v>
      </c>
      <c r="E22">
        <f>Prestiti!H22+Prestiti!K22+Prestiti!L22</f>
        <v>869444.80999999994</v>
      </c>
      <c r="F22">
        <f>Prestiti!I22+Prestiti!J22</f>
        <v>267347.81</v>
      </c>
      <c r="G22">
        <f>Prestiti!M22+Prestiti!N22+Prestiti!O22+Prestiti!P22</f>
        <v>1312595.51</v>
      </c>
      <c r="H22">
        <f t="shared" si="0"/>
        <v>1324197.74</v>
      </c>
      <c r="I22">
        <f>SUM(B22:G22)</f>
        <v>2697838.9299999997</v>
      </c>
      <c r="K22" s="13">
        <f t="shared" si="1"/>
        <v>4.9537382871111593</v>
      </c>
      <c r="L22" s="13">
        <f t="shared" si="2"/>
        <v>0.43005643780223751</v>
      </c>
      <c r="M22" s="13">
        <f t="shared" si="3"/>
        <v>3.8254578081872372</v>
      </c>
      <c r="N22" s="13">
        <f t="shared" si="4"/>
        <v>32.227454364742229</v>
      </c>
      <c r="O22" s="13">
        <f t="shared" si="5"/>
        <v>9.9097024298630032</v>
      </c>
      <c r="P22" s="13">
        <f t="shared" si="6"/>
        <v>48.653590672294143</v>
      </c>
      <c r="Q22" s="13">
        <f t="shared" si="7"/>
        <v>49.083647110096379</v>
      </c>
    </row>
    <row r="23" spans="1:17">
      <c r="A23" s="28">
        <v>44405</v>
      </c>
      <c r="B23">
        <f>Prestiti!B23+Prestiti!C23+Prestiti!D23</f>
        <v>132133.03</v>
      </c>
      <c r="C23">
        <f>Prestiti!E23+Prestiti!F23</f>
        <v>11847.02</v>
      </c>
      <c r="D23">
        <f>Prestiti!G23</f>
        <v>104475.19</v>
      </c>
      <c r="E23">
        <f>Prestiti!H23+Prestiti!K23+Prestiti!L23</f>
        <v>875374</v>
      </c>
      <c r="F23">
        <f>Prestiti!I23+Prestiti!J23</f>
        <v>267093.54000000004</v>
      </c>
      <c r="G23">
        <f>Prestiti!M23+Prestiti!N23+Prestiti!O23+Prestiti!P23</f>
        <v>1318595.92</v>
      </c>
      <c r="H23">
        <f t="shared" si="0"/>
        <v>1330442.94</v>
      </c>
      <c r="I23">
        <f>SUM(B23:G23)</f>
        <v>2709518.7</v>
      </c>
      <c r="K23" s="13">
        <f t="shared" si="1"/>
        <v>4.8766236601356541</v>
      </c>
      <c r="L23" s="13">
        <f t="shared" si="2"/>
        <v>0.43723706354194936</v>
      </c>
      <c r="M23" s="13">
        <f t="shared" si="3"/>
        <v>3.8558578687794256</v>
      </c>
      <c r="N23" s="13">
        <f t="shared" si="4"/>
        <v>32.307361451316055</v>
      </c>
      <c r="O23" s="13">
        <f t="shared" si="5"/>
        <v>9.857600908973243</v>
      </c>
      <c r="P23" s="13">
        <f t="shared" si="6"/>
        <v>48.665319047253661</v>
      </c>
      <c r="Q23" s="13">
        <f t="shared" si="7"/>
        <v>49.102556110795618</v>
      </c>
    </row>
    <row r="24" spans="1:17">
      <c r="A24" s="28">
        <v>44375</v>
      </c>
      <c r="B24">
        <f>Prestiti!B24+Prestiti!C24+Prestiti!D24</f>
        <v>131225.38999999998</v>
      </c>
      <c r="C24">
        <f>Prestiti!E24+Prestiti!F24</f>
        <v>12189.93</v>
      </c>
      <c r="D24">
        <f>Prestiti!G24</f>
        <v>100770.34</v>
      </c>
      <c r="E24">
        <f>Prestiti!H24+Prestiti!K24+Prestiti!L24</f>
        <v>861423</v>
      </c>
      <c r="F24">
        <f>Prestiti!I24+Prestiti!J24</f>
        <v>269068.76</v>
      </c>
      <c r="G24">
        <f>Prestiti!M24+Prestiti!N24+Prestiti!O24+Prestiti!P24</f>
        <v>1316719.0799999998</v>
      </c>
      <c r="H24">
        <f t="shared" si="0"/>
        <v>1328909.0099999998</v>
      </c>
      <c r="I24">
        <f>SUM(B24:G24)</f>
        <v>2691396.5</v>
      </c>
      <c r="K24" s="13">
        <f t="shared" si="1"/>
        <v>4.8757360723327086</v>
      </c>
      <c r="L24" s="13">
        <f t="shared" si="2"/>
        <v>0.45292211682671057</v>
      </c>
      <c r="M24" s="13">
        <f t="shared" si="3"/>
        <v>3.7441655289363718</v>
      </c>
      <c r="N24" s="13">
        <f t="shared" si="4"/>
        <v>32.006543814707342</v>
      </c>
      <c r="O24" s="13">
        <f t="shared" si="5"/>
        <v>9.9973660514160603</v>
      </c>
      <c r="P24" s="13">
        <f t="shared" si="6"/>
        <v>48.923266415780795</v>
      </c>
      <c r="Q24" s="13">
        <f t="shared" si="7"/>
        <v>49.376188532607507</v>
      </c>
    </row>
    <row r="25" spans="1:17">
      <c r="A25" s="28">
        <v>44344</v>
      </c>
      <c r="B25">
        <f>Prestiti!B25+Prestiti!C25+Prestiti!D25</f>
        <v>128615.29999999999</v>
      </c>
      <c r="C25">
        <f>Prestiti!E25+Prestiti!F25</f>
        <v>12151.49</v>
      </c>
      <c r="D25">
        <f>Prestiti!G25</f>
        <v>97218.3</v>
      </c>
      <c r="E25">
        <f>Prestiti!H25+Prestiti!K25+Prestiti!L25</f>
        <v>853879.63</v>
      </c>
      <c r="F25">
        <f>Prestiti!I25+Prestiti!J25</f>
        <v>267295.09999999998</v>
      </c>
      <c r="G25">
        <f>Prestiti!M25+Prestiti!N25+Prestiti!O25+Prestiti!P25</f>
        <v>1315396.2500000002</v>
      </c>
      <c r="H25">
        <f t="shared" si="0"/>
        <v>1327547.7400000002</v>
      </c>
      <c r="I25">
        <f>SUM(B25:G25)</f>
        <v>2674556.0700000003</v>
      </c>
      <c r="K25" s="13">
        <f t="shared" si="1"/>
        <v>4.8088466509509358</v>
      </c>
      <c r="L25" s="13">
        <f t="shared" si="2"/>
        <v>0.4543367079232703</v>
      </c>
      <c r="M25" s="13">
        <f t="shared" si="3"/>
        <v>3.6349322076467065</v>
      </c>
      <c r="N25" s="13">
        <f t="shared" si="4"/>
        <v>31.926032120911934</v>
      </c>
      <c r="O25" s="13">
        <f t="shared" si="5"/>
        <v>9.9939987423782046</v>
      </c>
      <c r="P25" s="13">
        <f t="shared" si="6"/>
        <v>49.181853570188942</v>
      </c>
      <c r="Q25" s="13">
        <f t="shared" si="7"/>
        <v>49.63619027811221</v>
      </c>
    </row>
    <row r="26" spans="1:17">
      <c r="A26" s="28">
        <v>44314</v>
      </c>
      <c r="B26">
        <f>Prestiti!B26+Prestiti!C26+Prestiti!D26</f>
        <v>123480.71999999999</v>
      </c>
      <c r="C26">
        <f>Prestiti!E26+Prestiti!F26</f>
        <v>12236.61</v>
      </c>
      <c r="D26">
        <f>Prestiti!G26</f>
        <v>98246.84</v>
      </c>
      <c r="E26">
        <f>Prestiti!H26+Prestiti!K26+Prestiti!L26</f>
        <v>856629.78</v>
      </c>
      <c r="F26">
        <f>Prestiti!I26+Prestiti!J26</f>
        <v>265488.55</v>
      </c>
      <c r="G26">
        <f>Prestiti!M26+Prestiti!N26+Prestiti!O26+Prestiti!P26</f>
        <v>1312374.79</v>
      </c>
      <c r="H26">
        <f t="shared" si="0"/>
        <v>1324611.4000000001</v>
      </c>
      <c r="I26">
        <f>SUM(B26:G26)</f>
        <v>2668457.29</v>
      </c>
      <c r="K26" s="13">
        <f t="shared" si="1"/>
        <v>4.6274197628248341</v>
      </c>
      <c r="L26" s="13">
        <f t="shared" si="2"/>
        <v>0.45856495608367032</v>
      </c>
      <c r="M26" s="13">
        <f t="shared" si="3"/>
        <v>3.6817842417106852</v>
      </c>
      <c r="N26" s="13">
        <f t="shared" si="4"/>
        <v>32.102060737873003</v>
      </c>
      <c r="O26" s="13">
        <f t="shared" si="5"/>
        <v>9.9491399392043469</v>
      </c>
      <c r="P26" s="13">
        <f t="shared" si="6"/>
        <v>49.18103036230346</v>
      </c>
      <c r="Q26" s="13">
        <f t="shared" si="7"/>
        <v>49.63959531838713</v>
      </c>
    </row>
    <row r="27" spans="1:17">
      <c r="A27" s="28">
        <v>44283</v>
      </c>
      <c r="B27">
        <f>Prestiti!B27+Prestiti!C27+Prestiti!D27</f>
        <v>122518.79</v>
      </c>
      <c r="C27">
        <f>Prestiti!E27+Prestiti!F27</f>
        <v>12054.57</v>
      </c>
      <c r="D27">
        <f>Prestiti!G27</f>
        <v>99358.96</v>
      </c>
      <c r="E27">
        <f>Prestiti!H27+Prestiti!K27+Prestiti!L27</f>
        <v>834579.14999999991</v>
      </c>
      <c r="F27">
        <f>Prestiti!I27+Prestiti!J27</f>
        <v>262129.50999999998</v>
      </c>
      <c r="G27">
        <f>Prestiti!M27+Prestiti!N27+Prestiti!O27+Prestiti!P27</f>
        <v>1316813.74</v>
      </c>
      <c r="H27">
        <f t="shared" si="0"/>
        <v>1328868.31</v>
      </c>
      <c r="I27">
        <f>SUM(B27:G27)</f>
        <v>2647454.7199999997</v>
      </c>
      <c r="K27" s="13">
        <f t="shared" si="1"/>
        <v>4.6277954850158878</v>
      </c>
      <c r="L27" s="13">
        <f t="shared" si="2"/>
        <v>0.45532676759057095</v>
      </c>
      <c r="M27" s="13">
        <f t="shared" si="3"/>
        <v>3.7529994091834746</v>
      </c>
      <c r="N27" s="13">
        <f t="shared" si="4"/>
        <v>31.52383093449092</v>
      </c>
      <c r="O27" s="13">
        <f t="shared" si="5"/>
        <v>9.9011895470680606</v>
      </c>
      <c r="P27" s="13">
        <f t="shared" si="6"/>
        <v>49.738857856651094</v>
      </c>
      <c r="Q27" s="13">
        <f t="shared" si="7"/>
        <v>50.194184624241664</v>
      </c>
    </row>
    <row r="28" spans="1:17">
      <c r="A28" s="28">
        <v>44255</v>
      </c>
      <c r="B28">
        <f>Prestiti!B28+Prestiti!C28+Prestiti!D28</f>
        <v>117028.08</v>
      </c>
      <c r="C28">
        <f>Prestiti!E28+Prestiti!F28</f>
        <v>11500.27</v>
      </c>
      <c r="D28">
        <f>Prestiti!G28</f>
        <v>95674.559999999998</v>
      </c>
      <c r="E28">
        <f>Prestiti!H28+Prestiti!K28+Prestiti!L28</f>
        <v>784237.21</v>
      </c>
      <c r="F28">
        <f>Prestiti!I28+Prestiti!J28</f>
        <v>263649.58</v>
      </c>
      <c r="G28">
        <f>Prestiti!M28+Prestiti!N28+Prestiti!O28+Prestiti!P28</f>
        <v>1310312.4100000001</v>
      </c>
      <c r="H28">
        <f t="shared" si="0"/>
        <v>1321812.6800000002</v>
      </c>
      <c r="I28">
        <f>SUM(B28:G28)</f>
        <v>2582402.1100000003</v>
      </c>
      <c r="K28" s="13">
        <f t="shared" si="1"/>
        <v>4.5317528028196969</v>
      </c>
      <c r="L28" s="13">
        <f t="shared" si="2"/>
        <v>0.44533227243994156</v>
      </c>
      <c r="M28" s="13">
        <f t="shared" si="3"/>
        <v>3.7048668613425191</v>
      </c>
      <c r="N28" s="13">
        <f t="shared" si="4"/>
        <v>30.368516466244671</v>
      </c>
      <c r="O28" s="13">
        <f t="shared" si="5"/>
        <v>10.209470437584175</v>
      </c>
      <c r="P28" s="13">
        <f t="shared" si="6"/>
        <v>50.740061159568981</v>
      </c>
      <c r="Q28" s="13">
        <f t="shared" si="7"/>
        <v>51.185393432008929</v>
      </c>
    </row>
    <row r="29" spans="1:17">
      <c r="A29" s="28">
        <v>44224</v>
      </c>
      <c r="B29">
        <f>Prestiti!B29+Prestiti!C29+Prestiti!D29</f>
        <v>121335.19</v>
      </c>
      <c r="C29">
        <f>Prestiti!E29+Prestiti!F29</f>
        <v>11753.4</v>
      </c>
      <c r="D29">
        <f>Prestiti!G29</f>
        <v>99895.18</v>
      </c>
      <c r="E29">
        <f>Prestiti!H29+Prestiti!K29+Prestiti!L29</f>
        <v>778826.77</v>
      </c>
      <c r="F29">
        <f>Prestiti!I29+Prestiti!J29</f>
        <v>260959.96000000002</v>
      </c>
      <c r="G29">
        <f>Prestiti!M29+Prestiti!N29+Prestiti!O29+Prestiti!P29</f>
        <v>1309500.2899999998</v>
      </c>
      <c r="H29">
        <f t="shared" si="0"/>
        <v>1321253.6899999997</v>
      </c>
      <c r="I29">
        <f>SUM(B29:G29)</f>
        <v>2582270.79</v>
      </c>
      <c r="K29" s="13">
        <f t="shared" si="1"/>
        <v>4.6987787055438908</v>
      </c>
      <c r="L29" s="13">
        <f t="shared" si="2"/>
        <v>0.45515753210374965</v>
      </c>
      <c r="M29" s="13">
        <f t="shared" si="3"/>
        <v>3.8685013356016</v>
      </c>
      <c r="N29" s="13">
        <f t="shared" si="4"/>
        <v>30.160538275693387</v>
      </c>
      <c r="O29" s="13">
        <f t="shared" si="5"/>
        <v>10.105832471582115</v>
      </c>
      <c r="P29" s="13">
        <f t="shared" si="6"/>
        <v>50.711191679475256</v>
      </c>
      <c r="Q29" s="13">
        <f t="shared" si="7"/>
        <v>51.166349211578996</v>
      </c>
    </row>
    <row r="30" spans="1:17">
      <c r="A30" s="28">
        <v>44193</v>
      </c>
      <c r="B30">
        <f>Prestiti!B30+Prestiti!C30+Prestiti!D30</f>
        <v>129435.51999999999</v>
      </c>
      <c r="C30">
        <f>Prestiti!E30+Prestiti!F30</f>
        <v>11181.69</v>
      </c>
      <c r="D30">
        <f>Prestiti!G30</f>
        <v>102896.9</v>
      </c>
      <c r="E30">
        <f>Prestiti!H30+Prestiti!K30+Prestiti!L30</f>
        <v>769866.09</v>
      </c>
      <c r="F30">
        <f>Prestiti!I30+Prestiti!J30</f>
        <v>256770.31</v>
      </c>
      <c r="G30">
        <f>Prestiti!M30+Prestiti!N30+Prestiti!O30+Prestiti!P30</f>
        <v>1308588.4800000002</v>
      </c>
      <c r="H30">
        <f t="shared" si="0"/>
        <v>1319770.1700000002</v>
      </c>
      <c r="I30">
        <f>SUM(B30:G30)</f>
        <v>2578738.9900000002</v>
      </c>
      <c r="K30" s="13">
        <f t="shared" si="1"/>
        <v>5.0193338876843825</v>
      </c>
      <c r="L30" s="13">
        <f t="shared" si="2"/>
        <v>0.43361077035563034</v>
      </c>
      <c r="M30" s="13">
        <f t="shared" si="3"/>
        <v>3.9902022034420783</v>
      </c>
      <c r="N30" s="13">
        <f t="shared" si="4"/>
        <v>29.85436265498122</v>
      </c>
      <c r="O30" s="13">
        <f t="shared" si="5"/>
        <v>9.9572043155868215</v>
      </c>
      <c r="P30" s="13">
        <f t="shared" si="6"/>
        <v>50.745286167949864</v>
      </c>
      <c r="Q30" s="13">
        <f t="shared" si="7"/>
        <v>51.178896938305499</v>
      </c>
    </row>
    <row r="31" spans="1:17">
      <c r="A31" s="28">
        <v>44163</v>
      </c>
      <c r="B31">
        <f>Prestiti!B31+Prestiti!C31+Prestiti!D31</f>
        <v>134961.73000000001</v>
      </c>
      <c r="C31">
        <f>Prestiti!E31+Prestiti!F31</f>
        <v>10769.87</v>
      </c>
      <c r="D31">
        <f>Prestiti!G31</f>
        <v>102376.63</v>
      </c>
      <c r="E31">
        <f>Prestiti!H31+Prestiti!K31+Prestiti!L31</f>
        <v>779211.4800000001</v>
      </c>
      <c r="F31">
        <f>Prestiti!I31+Prestiti!J31</f>
        <v>258964.80000000002</v>
      </c>
      <c r="G31">
        <f>Prestiti!M31+Prestiti!N31+Prestiti!O31+Prestiti!P31</f>
        <v>1323979.1900000002</v>
      </c>
      <c r="H31">
        <f t="shared" si="0"/>
        <v>1334749.0600000003</v>
      </c>
      <c r="I31">
        <f>SUM(B31:G31)</f>
        <v>2610263.7000000002</v>
      </c>
      <c r="K31" s="13">
        <f t="shared" si="1"/>
        <v>5.1704251183510692</v>
      </c>
      <c r="L31" s="13">
        <f t="shared" si="2"/>
        <v>0.41259701079243455</v>
      </c>
      <c r="M31" s="13">
        <f t="shared" si="3"/>
        <v>3.9220799798886223</v>
      </c>
      <c r="N31" s="13">
        <f t="shared" si="4"/>
        <v>29.851829912816857</v>
      </c>
      <c r="O31" s="13">
        <f t="shared" si="5"/>
        <v>9.9210206233186327</v>
      </c>
      <c r="P31" s="13">
        <f t="shared" si="6"/>
        <v>50.722047354832391</v>
      </c>
      <c r="Q31" s="13">
        <f t="shared" si="7"/>
        <v>51.134644365624823</v>
      </c>
    </row>
    <row r="32" spans="1:17">
      <c r="A32" s="28">
        <v>44132</v>
      </c>
      <c r="B32">
        <f>Prestiti!B32+Prestiti!C32+Prestiti!D32</f>
        <v>128399.76</v>
      </c>
      <c r="C32">
        <f>Prestiti!E32+Prestiti!F32</f>
        <v>10953.13</v>
      </c>
      <c r="D32">
        <f>Prestiti!G32</f>
        <v>102737.35</v>
      </c>
      <c r="E32">
        <f>Prestiti!H32+Prestiti!K32+Prestiti!L32</f>
        <v>735496.96</v>
      </c>
      <c r="F32">
        <f>Prestiti!I32+Prestiti!J32</f>
        <v>257668.4</v>
      </c>
      <c r="G32">
        <f>Prestiti!M32+Prestiti!N32+Prestiti!O32+Prestiti!P32</f>
        <v>1316559.5099999998</v>
      </c>
      <c r="H32">
        <f t="shared" si="0"/>
        <v>1327512.6399999997</v>
      </c>
      <c r="I32">
        <f>SUM(B32:G32)</f>
        <v>2551815.1099999994</v>
      </c>
      <c r="K32" s="13">
        <f t="shared" si="1"/>
        <v>5.0317031001513284</v>
      </c>
      <c r="L32" s="13">
        <f t="shared" si="2"/>
        <v>0.42922898124856712</v>
      </c>
      <c r="M32" s="13">
        <f t="shared" si="3"/>
        <v>4.0260499123700244</v>
      </c>
      <c r="N32" s="13">
        <f t="shared" si="4"/>
        <v>28.822501956264386</v>
      </c>
      <c r="O32" s="13">
        <f t="shared" si="5"/>
        <v>10.097455689099672</v>
      </c>
      <c r="P32" s="13">
        <f t="shared" si="6"/>
        <v>51.593060360866041</v>
      </c>
      <c r="Q32" s="13">
        <f t="shared" si="7"/>
        <v>52.022289342114604</v>
      </c>
    </row>
    <row r="33" spans="1:17">
      <c r="A33" s="28">
        <v>44102</v>
      </c>
      <c r="B33">
        <f>Prestiti!B33+Prestiti!C33+Prestiti!D33</f>
        <v>127098.06999999999</v>
      </c>
      <c r="C33">
        <f>Prestiti!E33+Prestiti!F33</f>
        <v>11922.369999999999</v>
      </c>
      <c r="D33">
        <f>Prestiti!G33</f>
        <v>104317.5</v>
      </c>
      <c r="E33">
        <f>Prestiti!H33+Prestiti!K33+Prestiti!L33</f>
        <v>683875.92</v>
      </c>
      <c r="F33">
        <f>Prestiti!I33+Prestiti!J33</f>
        <v>258102.5</v>
      </c>
      <c r="G33">
        <f>Prestiti!M33+Prestiti!N33+Prestiti!O33+Prestiti!P33</f>
        <v>1313769.6000000001</v>
      </c>
      <c r="H33">
        <f t="shared" si="0"/>
        <v>1325691.9700000002</v>
      </c>
      <c r="I33">
        <f>SUM(B33:G33)</f>
        <v>2499085.96</v>
      </c>
      <c r="K33" s="13">
        <f t="shared" si="1"/>
        <v>5.0857822433606881</v>
      </c>
      <c r="L33" s="13">
        <f t="shared" si="2"/>
        <v>0.4770692241414537</v>
      </c>
      <c r="M33" s="13">
        <f t="shared" si="3"/>
        <v>4.1742261638731311</v>
      </c>
      <c r="N33" s="13">
        <f t="shared" si="4"/>
        <v>27.365041897158271</v>
      </c>
      <c r="O33" s="13">
        <f t="shared" si="5"/>
        <v>10.327876036725044</v>
      </c>
      <c r="P33" s="13">
        <f t="shared" si="6"/>
        <v>52.570004434741413</v>
      </c>
      <c r="Q33" s="13">
        <f t="shared" si="7"/>
        <v>53.047073658882873</v>
      </c>
    </row>
    <row r="34" spans="1:17">
      <c r="A34" s="28">
        <v>44071</v>
      </c>
      <c r="B34">
        <f>Prestiti!B34+Prestiti!C34+Prestiti!D34</f>
        <v>122207.25</v>
      </c>
      <c r="C34">
        <f>Prestiti!E34+Prestiti!F34</f>
        <v>12097.92</v>
      </c>
      <c r="D34">
        <f>Prestiti!G34</f>
        <v>108944.8</v>
      </c>
      <c r="E34">
        <f>Prestiti!H34+Prestiti!K34+Prestiti!L34</f>
        <v>662477.82999999996</v>
      </c>
      <c r="F34">
        <f>Prestiti!I34+Prestiti!J34</f>
        <v>259806.86000000002</v>
      </c>
      <c r="G34">
        <f>Prestiti!M34+Prestiti!N34+Prestiti!O34+Prestiti!P34</f>
        <v>1305102.9400000002</v>
      </c>
      <c r="H34">
        <f t="shared" si="0"/>
        <v>1317200.8600000001</v>
      </c>
      <c r="I34">
        <f>SUM(B34:G34)</f>
        <v>2470637.6000000006</v>
      </c>
      <c r="K34" s="13">
        <f t="shared" si="1"/>
        <v>4.9463850950863852</v>
      </c>
      <c r="L34" s="13">
        <f t="shared" si="2"/>
        <v>0.48966793025411726</v>
      </c>
      <c r="M34" s="13">
        <f t="shared" si="3"/>
        <v>4.4095823685351494</v>
      </c>
      <c r="N34" s="13">
        <f t="shared" si="4"/>
        <v>26.814043063215738</v>
      </c>
      <c r="O34" s="13">
        <f t="shared" si="5"/>
        <v>10.515781837044816</v>
      </c>
      <c r="P34" s="13">
        <f t="shared" si="6"/>
        <v>52.824539705863785</v>
      </c>
      <c r="Q34" s="13">
        <f t="shared" si="7"/>
        <v>53.314207636117892</v>
      </c>
    </row>
    <row r="35" spans="1:17">
      <c r="A35" s="28">
        <v>44040</v>
      </c>
      <c r="B35">
        <f>Prestiti!B35+Prestiti!C35+Prestiti!D35</f>
        <v>129389.49</v>
      </c>
      <c r="C35">
        <f>Prestiti!E35+Prestiti!F35</f>
        <v>12688.95</v>
      </c>
      <c r="D35">
        <f>Prestiti!G35</f>
        <v>125394.38</v>
      </c>
      <c r="E35">
        <f>Prestiti!H35+Prestiti!K35+Prestiti!L35</f>
        <v>664139.12</v>
      </c>
      <c r="F35">
        <f>Prestiti!I35+Prestiti!J35</f>
        <v>260670.03999999998</v>
      </c>
      <c r="G35">
        <f>Prestiti!M35+Prestiti!N35+Prestiti!O35+Prestiti!P35</f>
        <v>1304081.6399999999</v>
      </c>
      <c r="H35">
        <f t="shared" si="0"/>
        <v>1316770.5899999999</v>
      </c>
      <c r="I35">
        <f>SUM(B35:G35)</f>
        <v>2496363.62</v>
      </c>
      <c r="K35" s="13">
        <f t="shared" si="1"/>
        <v>5.1831187156941505</v>
      </c>
      <c r="L35" s="13">
        <f t="shared" si="2"/>
        <v>0.50829734491964751</v>
      </c>
      <c r="M35" s="13">
        <f t="shared" si="3"/>
        <v>5.0230815332904104</v>
      </c>
      <c r="N35" s="13">
        <f t="shared" si="4"/>
        <v>26.604262082620799</v>
      </c>
      <c r="O35" s="13">
        <f t="shared" si="5"/>
        <v>10.441990017463882</v>
      </c>
      <c r="P35" s="13">
        <f t="shared" si="6"/>
        <v>52.239250306011101</v>
      </c>
      <c r="Q35" s="13">
        <f t="shared" si="7"/>
        <v>52.747547650930748</v>
      </c>
    </row>
    <row r="36" spans="1:17">
      <c r="A36" s="28">
        <v>44010</v>
      </c>
      <c r="B36">
        <f>Prestiti!B36+Prestiti!C36+Prestiti!D36</f>
        <v>124420.11000000002</v>
      </c>
      <c r="C36">
        <f>Prestiti!E36+Prestiti!F36</f>
        <v>12618.77</v>
      </c>
      <c r="D36">
        <f>Prestiti!G36</f>
        <v>107713.65</v>
      </c>
      <c r="E36">
        <f>Prestiti!H36+Prestiti!K36+Prestiti!L36</f>
        <v>805430.3</v>
      </c>
      <c r="F36">
        <f>Prestiti!I36+Prestiti!J36</f>
        <v>260542.92</v>
      </c>
      <c r="G36">
        <f>Prestiti!M36+Prestiti!N36+Prestiti!O36+Prestiti!P36</f>
        <v>1293987.3499999999</v>
      </c>
      <c r="H36">
        <f t="shared" si="0"/>
        <v>1306606.1199999999</v>
      </c>
      <c r="I36">
        <f>SUM(B36:G36)</f>
        <v>2604713.0999999996</v>
      </c>
      <c r="K36" s="13">
        <f t="shared" si="1"/>
        <v>4.7767299208500171</v>
      </c>
      <c r="L36" s="13">
        <f t="shared" si="2"/>
        <v>0.48445911375037826</v>
      </c>
      <c r="M36" s="13">
        <f t="shared" si="3"/>
        <v>4.1353364407005131</v>
      </c>
      <c r="N36" s="13">
        <f t="shared" si="4"/>
        <v>30.922035136998392</v>
      </c>
      <c r="O36" s="13">
        <f t="shared" si="5"/>
        <v>10.002749247124378</v>
      </c>
      <c r="P36" s="13">
        <f t="shared" si="6"/>
        <v>49.678690140576329</v>
      </c>
      <c r="Q36" s="13">
        <f t="shared" si="7"/>
        <v>50.163149254326711</v>
      </c>
    </row>
    <row r="37" spans="1:17">
      <c r="A37" s="28">
        <v>43979</v>
      </c>
      <c r="B37">
        <f>Prestiti!B37+Prestiti!C37+Prestiti!D37</f>
        <v>122530.30000000002</v>
      </c>
      <c r="C37">
        <f>Prestiti!E37+Prestiti!F37</f>
        <v>13302.08</v>
      </c>
      <c r="D37">
        <f>Prestiti!G37</f>
        <v>114571.98</v>
      </c>
      <c r="E37">
        <f>Prestiti!H37+Prestiti!K37+Prestiti!L37</f>
        <v>756147.13</v>
      </c>
      <c r="F37">
        <f>Prestiti!I37+Prestiti!J37</f>
        <v>263865.88</v>
      </c>
      <c r="G37">
        <f>Prestiti!M37+Prestiti!N37+Prestiti!O37+Prestiti!P37</f>
        <v>1286079.0900000001</v>
      </c>
      <c r="H37">
        <f t="shared" si="0"/>
        <v>1299381.1700000002</v>
      </c>
      <c r="I37">
        <f>SUM(B37:G37)</f>
        <v>2556496.46</v>
      </c>
      <c r="K37" s="13">
        <f t="shared" si="1"/>
        <v>4.792899263392683</v>
      </c>
      <c r="L37" s="13">
        <f t="shared" si="2"/>
        <v>0.52032460080152043</v>
      </c>
      <c r="M37" s="13">
        <f t="shared" si="3"/>
        <v>4.4816013553173466</v>
      </c>
      <c r="N37" s="13">
        <f t="shared" si="4"/>
        <v>29.577476121363379</v>
      </c>
      <c r="O37" s="13">
        <f t="shared" si="5"/>
        <v>10.321386480621216</v>
      </c>
      <c r="P37" s="13">
        <f t="shared" si="6"/>
        <v>50.306312178503866</v>
      </c>
      <c r="Q37" s="13">
        <f t="shared" si="7"/>
        <v>50.826636779305389</v>
      </c>
    </row>
    <row r="38" spans="1:17">
      <c r="A38" s="28">
        <v>43949</v>
      </c>
      <c r="B38">
        <f>Prestiti!B38+Prestiti!C38+Prestiti!D38</f>
        <v>130075.09</v>
      </c>
      <c r="C38">
        <f>Prestiti!E38+Prestiti!F38</f>
        <v>13364.77</v>
      </c>
      <c r="D38">
        <f>Prestiti!G38</f>
        <v>116243.51</v>
      </c>
      <c r="E38">
        <f>Prestiti!H38+Prestiti!K38+Prestiti!L38</f>
        <v>721948.61</v>
      </c>
      <c r="F38">
        <f>Prestiti!I38+Prestiti!J38</f>
        <v>265915.69</v>
      </c>
      <c r="G38">
        <f>Prestiti!M38+Prestiti!N38+Prestiti!O38+Prestiti!P38</f>
        <v>1282423.6400000001</v>
      </c>
      <c r="H38">
        <f t="shared" si="0"/>
        <v>1295788.4100000001</v>
      </c>
      <c r="I38">
        <f>SUM(B38:G38)</f>
        <v>2529971.31</v>
      </c>
      <c r="K38" s="13">
        <f t="shared" si="1"/>
        <v>5.1413662078247038</v>
      </c>
      <c r="L38" s="13">
        <f t="shared" si="2"/>
        <v>0.52825776905746813</v>
      </c>
      <c r="M38" s="13">
        <f t="shared" si="3"/>
        <v>4.5946572413898243</v>
      </c>
      <c r="N38" s="13">
        <f t="shared" si="4"/>
        <v>28.535841776008127</v>
      </c>
      <c r="O38" s="13">
        <f t="shared" si="5"/>
        <v>10.510620770636327</v>
      </c>
      <c r="P38" s="13">
        <f t="shared" si="6"/>
        <v>50.689256235083555</v>
      </c>
      <c r="Q38" s="13">
        <f t="shared" si="7"/>
        <v>51.21751400414103</v>
      </c>
    </row>
    <row r="39" spans="1:17">
      <c r="A39" s="28">
        <v>43918</v>
      </c>
      <c r="B39">
        <f>Prestiti!B39+Prestiti!C39+Prestiti!D39</f>
        <v>131408.57</v>
      </c>
      <c r="C39">
        <f>Prestiti!E39+Prestiti!F39</f>
        <v>12260.79</v>
      </c>
      <c r="D39">
        <f>Prestiti!G39</f>
        <v>117935.67999999999</v>
      </c>
      <c r="E39">
        <f>Prestiti!H39+Prestiti!K39+Prestiti!L39</f>
        <v>720408.37</v>
      </c>
      <c r="F39">
        <f>Prestiti!I39+Prestiti!J39</f>
        <v>267756.40000000002</v>
      </c>
      <c r="G39">
        <f>Prestiti!M39+Prestiti!N39+Prestiti!O39+Prestiti!P39</f>
        <v>1279546.77</v>
      </c>
      <c r="H39">
        <f t="shared" si="0"/>
        <v>1291807.56</v>
      </c>
      <c r="I39">
        <f>SUM(B39:G39)</f>
        <v>2529316.58</v>
      </c>
      <c r="K39" s="13">
        <f t="shared" si="1"/>
        <v>5.195418044505919</v>
      </c>
      <c r="L39" s="13">
        <f t="shared" si="2"/>
        <v>0.48474714857560453</v>
      </c>
      <c r="M39" s="13">
        <f t="shared" si="3"/>
        <v>4.6627488600102396</v>
      </c>
      <c r="N39" s="13">
        <f t="shared" si="4"/>
        <v>28.482332962843266</v>
      </c>
      <c r="O39" s="13">
        <f t="shared" si="5"/>
        <v>10.586116507408496</v>
      </c>
      <c r="P39" s="13">
        <f t="shared" si="6"/>
        <v>50.588636476656468</v>
      </c>
      <c r="Q39" s="13">
        <f t="shared" si="7"/>
        <v>51.073383625232083</v>
      </c>
    </row>
    <row r="40" spans="1:17">
      <c r="A40" s="28">
        <v>43889</v>
      </c>
      <c r="B40">
        <f>Prestiti!B40+Prestiti!C40+Prestiti!D40</f>
        <v>121091.15</v>
      </c>
      <c r="C40">
        <f>Prestiti!E40+Prestiti!F40</f>
        <v>11372.1</v>
      </c>
      <c r="D40">
        <f>Prestiti!G40</f>
        <v>106441.17</v>
      </c>
      <c r="E40">
        <f>Prestiti!H40+Prestiti!K40+Prestiti!L40</f>
        <v>713455.08000000007</v>
      </c>
      <c r="F40">
        <f>Prestiti!I40+Prestiti!J40</f>
        <v>259536.96999999997</v>
      </c>
      <c r="G40">
        <f>Prestiti!M40+Prestiti!N40+Prestiti!O40+Prestiti!P40</f>
        <v>1266370.1399999999</v>
      </c>
      <c r="H40">
        <f t="shared" si="0"/>
        <v>1277742.24</v>
      </c>
      <c r="I40">
        <f>SUM(B40:G40)</f>
        <v>2478266.61</v>
      </c>
      <c r="K40" s="13">
        <f t="shared" si="1"/>
        <v>4.8861228050036152</v>
      </c>
      <c r="L40" s="13">
        <f t="shared" si="2"/>
        <v>0.45887314763119857</v>
      </c>
      <c r="M40" s="13">
        <f t="shared" si="3"/>
        <v>4.2949846304066535</v>
      </c>
      <c r="N40" s="13">
        <f t="shared" si="4"/>
        <v>28.788471632598078</v>
      </c>
      <c r="O40" s="13">
        <f t="shared" si="5"/>
        <v>10.472520145845001</v>
      </c>
      <c r="P40" s="13">
        <f t="shared" si="6"/>
        <v>51.099027638515452</v>
      </c>
      <c r="Q40" s="13">
        <f t="shared" si="7"/>
        <v>51.557900786146661</v>
      </c>
    </row>
    <row r="41" spans="1:17">
      <c r="A41" s="28">
        <v>43858</v>
      </c>
      <c r="B41">
        <f>Prestiti!B41+Prestiti!C41+Prestiti!D41</f>
        <v>119217.3</v>
      </c>
      <c r="C41">
        <f>Prestiti!E41+Prestiti!F41</f>
        <v>11335.47</v>
      </c>
      <c r="D41">
        <f>Prestiti!G41</f>
        <v>106432.75</v>
      </c>
      <c r="E41">
        <f>Prestiti!H41+Prestiti!K41+Prestiti!L41</f>
        <v>710976.71</v>
      </c>
      <c r="F41">
        <f>Prestiti!I41+Prestiti!J41</f>
        <v>259223.46</v>
      </c>
      <c r="G41">
        <f>Prestiti!M41+Prestiti!N41+Prestiti!O41+Prestiti!P41</f>
        <v>1269602.4300000002</v>
      </c>
      <c r="H41">
        <f t="shared" si="0"/>
        <v>1280937.9000000001</v>
      </c>
      <c r="I41">
        <f>SUM(B41:G41)</f>
        <v>2476788.12</v>
      </c>
      <c r="K41" s="13">
        <f t="shared" si="1"/>
        <v>4.8133830680680108</v>
      </c>
      <c r="L41" s="13">
        <f t="shared" si="2"/>
        <v>0.45766813513301247</v>
      </c>
      <c r="M41" s="13">
        <f t="shared" si="3"/>
        <v>4.2972085153573811</v>
      </c>
      <c r="N41" s="13">
        <f t="shared" si="4"/>
        <v>28.705592709319035</v>
      </c>
      <c r="O41" s="13">
        <f t="shared" si="5"/>
        <v>10.466113669828164</v>
      </c>
      <c r="P41" s="13">
        <f t="shared" si="6"/>
        <v>51.260033902294403</v>
      </c>
      <c r="Q41" s="13">
        <f t="shared" si="7"/>
        <v>51.717702037427415</v>
      </c>
    </row>
    <row r="42" spans="1:17">
      <c r="A42" s="28">
        <v>43827</v>
      </c>
      <c r="B42">
        <f>Prestiti!B42+Prestiti!C42+Prestiti!D42</f>
        <v>115177.77</v>
      </c>
      <c r="C42">
        <f>Prestiti!E42+Prestiti!F42</f>
        <v>11893.15</v>
      </c>
      <c r="D42">
        <f>Prestiti!G42</f>
        <v>103302.21</v>
      </c>
      <c r="E42">
        <f>Prestiti!H42+Prestiti!K42+Prestiti!L42</f>
        <v>719744.58000000007</v>
      </c>
      <c r="F42">
        <f>Prestiti!I42+Prestiti!J42</f>
        <v>254839.32</v>
      </c>
      <c r="G42">
        <f>Prestiti!M42+Prestiti!N42+Prestiti!O42+Prestiti!P42</f>
        <v>1261543.22</v>
      </c>
      <c r="H42">
        <f t="shared" si="0"/>
        <v>1273436.3699999999</v>
      </c>
      <c r="I42">
        <f>SUM(B42:G42)</f>
        <v>2466500.25</v>
      </c>
      <c r="K42" s="13">
        <f t="shared" si="1"/>
        <v>4.6696840999712048</v>
      </c>
      <c r="L42" s="13">
        <f t="shared" si="2"/>
        <v>0.48218726107974241</v>
      </c>
      <c r="M42" s="13">
        <f t="shared" si="3"/>
        <v>4.1882099951135219</v>
      </c>
      <c r="N42" s="13">
        <f t="shared" si="4"/>
        <v>29.180803042691768</v>
      </c>
      <c r="O42" s="13">
        <f t="shared" si="5"/>
        <v>10.332020846136141</v>
      </c>
      <c r="P42" s="13">
        <f t="shared" si="6"/>
        <v>51.147094755007629</v>
      </c>
      <c r="Q42" s="13">
        <f t="shared" si="7"/>
        <v>51.629282016087366</v>
      </c>
    </row>
    <row r="43" spans="1:17">
      <c r="A43" s="28">
        <v>43797</v>
      </c>
      <c r="B43">
        <f>Prestiti!B43+Prestiti!C43+Prestiti!D43</f>
        <v>120837</v>
      </c>
      <c r="C43">
        <f>Prestiti!E43+Prestiti!F43</f>
        <v>12083.289999999999</v>
      </c>
      <c r="D43">
        <f>Prestiti!G43</f>
        <v>102749.82</v>
      </c>
      <c r="E43">
        <f>Prestiti!H43+Prestiti!K43+Prestiti!L43</f>
        <v>758161.79</v>
      </c>
      <c r="F43">
        <f>Prestiti!I43+Prestiti!J43</f>
        <v>265022.13</v>
      </c>
      <c r="G43">
        <f>Prestiti!M43+Prestiti!N43+Prestiti!O43+Prestiti!P43</f>
        <v>1274809.9999999998</v>
      </c>
      <c r="H43">
        <f t="shared" si="0"/>
        <v>1286893.2899999998</v>
      </c>
      <c r="I43">
        <f>SUM(B43:G43)</f>
        <v>2533664.0299999998</v>
      </c>
      <c r="K43" s="13">
        <f t="shared" si="1"/>
        <v>4.7692590086618551</v>
      </c>
      <c r="L43" s="13">
        <f t="shared" si="2"/>
        <v>0.47690971876804039</v>
      </c>
      <c r="M43" s="13">
        <f t="shared" si="3"/>
        <v>4.0553845649377598</v>
      </c>
      <c r="N43" s="13">
        <f t="shared" si="4"/>
        <v>29.923532916082806</v>
      </c>
      <c r="O43" s="13">
        <f t="shared" si="5"/>
        <v>10.460034434794419</v>
      </c>
      <c r="P43" s="13">
        <f t="shared" si="6"/>
        <v>50.314879356755114</v>
      </c>
      <c r="Q43" s="13">
        <f t="shared" si="7"/>
        <v>50.791789075523162</v>
      </c>
    </row>
    <row r="44" spans="1:17">
      <c r="A44" s="28">
        <v>43766</v>
      </c>
      <c r="B44">
        <f>Prestiti!B44+Prestiti!C44+Prestiti!D44</f>
        <v>121845.26000000001</v>
      </c>
      <c r="C44">
        <f>Prestiti!E44+Prestiti!F44</f>
        <v>12013.37</v>
      </c>
      <c r="D44">
        <f>Prestiti!G44</f>
        <v>100849.58</v>
      </c>
      <c r="E44">
        <f>Prestiti!H44+Prestiti!K44+Prestiti!L44</f>
        <v>796627.9</v>
      </c>
      <c r="F44">
        <f>Prestiti!I44+Prestiti!J44</f>
        <v>267560.83999999997</v>
      </c>
      <c r="G44">
        <f>Prestiti!M44+Prestiti!N44+Prestiti!O44+Prestiti!P44</f>
        <v>1277601.94</v>
      </c>
      <c r="H44">
        <f t="shared" si="0"/>
        <v>1289615.31</v>
      </c>
      <c r="I44">
        <f>SUM(B44:G44)</f>
        <v>2576498.89</v>
      </c>
      <c r="K44" s="13">
        <f t="shared" si="1"/>
        <v>4.7291019791590134</v>
      </c>
      <c r="L44" s="13">
        <f t="shared" si="2"/>
        <v>0.46626722979104407</v>
      </c>
      <c r="M44" s="13">
        <f t="shared" si="3"/>
        <v>3.9142101085865395</v>
      </c>
      <c r="N44" s="13">
        <f t="shared" si="4"/>
        <v>30.919008080768084</v>
      </c>
      <c r="O44" s="13">
        <f t="shared" si="5"/>
        <v>10.384667388698157</v>
      </c>
      <c r="P44" s="13">
        <f t="shared" si="6"/>
        <v>49.586745212997158</v>
      </c>
      <c r="Q44" s="13">
        <f t="shared" si="7"/>
        <v>50.053012442788201</v>
      </c>
    </row>
    <row r="45" spans="1:17">
      <c r="A45" s="28">
        <v>43736</v>
      </c>
      <c r="B45">
        <f>Prestiti!B45+Prestiti!C45+Prestiti!D45</f>
        <v>127335.03</v>
      </c>
      <c r="C45">
        <f>Prestiti!E45+Prestiti!F45</f>
        <v>10946.94</v>
      </c>
      <c r="D45">
        <f>Prestiti!G45</f>
        <v>103239.03</v>
      </c>
      <c r="E45">
        <f>Prestiti!H45+Prestiti!K45+Prestiti!L45</f>
        <v>761279.2</v>
      </c>
      <c r="F45">
        <f>Prestiti!I45+Prestiti!J45</f>
        <v>269160.81</v>
      </c>
      <c r="G45">
        <f>Prestiti!M45+Prestiti!N45+Prestiti!O45+Prestiti!P45</f>
        <v>1280091.0900000001</v>
      </c>
      <c r="H45">
        <f t="shared" si="0"/>
        <v>1291038.03</v>
      </c>
      <c r="I45">
        <f>SUM(B45:G45)</f>
        <v>2552052.1</v>
      </c>
      <c r="K45" s="13">
        <f t="shared" si="1"/>
        <v>4.9895153002558219</v>
      </c>
      <c r="L45" s="13">
        <f t="shared" si="2"/>
        <v>0.4289465720547006</v>
      </c>
      <c r="M45" s="13">
        <f t="shared" si="3"/>
        <v>4.0453339490992359</v>
      </c>
      <c r="N45" s="13">
        <f t="shared" si="4"/>
        <v>29.83008066332188</v>
      </c>
      <c r="O45" s="13">
        <f t="shared" si="5"/>
        <v>10.546838365878189</v>
      </c>
      <c r="P45" s="13">
        <f t="shared" si="6"/>
        <v>50.159285149390179</v>
      </c>
      <c r="Q45" s="13">
        <f t="shared" si="7"/>
        <v>50.588231721444878</v>
      </c>
    </row>
    <row r="46" spans="1:17">
      <c r="A46" s="28">
        <v>43705</v>
      </c>
      <c r="B46">
        <f>Prestiti!B46+Prestiti!C46+Prestiti!D46</f>
        <v>128307.56</v>
      </c>
      <c r="C46">
        <f>Prestiti!E46+Prestiti!F46</f>
        <v>10697.130000000001</v>
      </c>
      <c r="D46">
        <f>Prestiti!G46</f>
        <v>101547.57</v>
      </c>
      <c r="E46">
        <f>Prestiti!H46+Prestiti!K46+Prestiti!L46</f>
        <v>739301.94000000006</v>
      </c>
      <c r="F46">
        <f>Prestiti!I46+Prestiti!J46</f>
        <v>268029.78999999998</v>
      </c>
      <c r="G46">
        <f>Prestiti!M46+Prestiti!N46+Prestiti!O46+Prestiti!P46</f>
        <v>1281048.24</v>
      </c>
      <c r="H46">
        <f t="shared" si="0"/>
        <v>1291745.3699999999</v>
      </c>
      <c r="I46">
        <f>SUM(B46:G46)</f>
        <v>2528932.23</v>
      </c>
      <c r="K46" s="13">
        <f t="shared" si="1"/>
        <v>5.0735863333119049</v>
      </c>
      <c r="L46" s="13">
        <f t="shared" si="2"/>
        <v>0.4229899826141249</v>
      </c>
      <c r="M46" s="13">
        <f t="shared" si="3"/>
        <v>4.0154326318186868</v>
      </c>
      <c r="N46" s="13">
        <f t="shared" si="4"/>
        <v>29.233758470467201</v>
      </c>
      <c r="O46" s="13">
        <f t="shared" si="5"/>
        <v>10.598535888800784</v>
      </c>
      <c r="P46" s="13">
        <f t="shared" si="6"/>
        <v>50.655696692987298</v>
      </c>
      <c r="Q46" s="13">
        <f t="shared" si="7"/>
        <v>51.078686675601425</v>
      </c>
    </row>
    <row r="47" spans="1:17">
      <c r="A47" s="28">
        <v>43674</v>
      </c>
      <c r="B47">
        <f>Prestiti!B47+Prestiti!C47+Prestiti!D47</f>
        <v>126736.2</v>
      </c>
      <c r="C47">
        <f>Prestiti!E47+Prestiti!F47</f>
        <v>10831.95</v>
      </c>
      <c r="D47">
        <f>Prestiti!G47</f>
        <v>96086.43</v>
      </c>
      <c r="E47">
        <f>Prestiti!H47+Prestiti!K47+Prestiti!L47</f>
        <v>732759.24</v>
      </c>
      <c r="F47">
        <f>Prestiti!I47+Prestiti!J47</f>
        <v>266859.87</v>
      </c>
      <c r="G47">
        <f>Prestiti!M47+Prestiti!N47+Prestiti!O47+Prestiti!P47</f>
        <v>1294348.3499999999</v>
      </c>
      <c r="H47">
        <f t="shared" si="0"/>
        <v>1305180.2999999998</v>
      </c>
      <c r="I47">
        <f>SUM(B47:G47)</f>
        <v>2527622.04</v>
      </c>
      <c r="K47" s="13">
        <f t="shared" si="1"/>
        <v>5.0140486985150678</v>
      </c>
      <c r="L47" s="13">
        <f t="shared" si="2"/>
        <v>0.42854310607293178</v>
      </c>
      <c r="M47" s="13">
        <f t="shared" si="3"/>
        <v>3.8014556163626425</v>
      </c>
      <c r="N47" s="13">
        <f t="shared" si="4"/>
        <v>28.990063720128028</v>
      </c>
      <c r="O47" s="13">
        <f t="shared" si="5"/>
        <v>10.557744226664521</v>
      </c>
      <c r="P47" s="13">
        <f t="shared" si="6"/>
        <v>51.208144632256804</v>
      </c>
      <c r="Q47" s="13">
        <f t="shared" si="7"/>
        <v>51.636687738329734</v>
      </c>
    </row>
    <row r="48" spans="1:17">
      <c r="A48" s="28">
        <v>43644</v>
      </c>
      <c r="B48">
        <f>Prestiti!B48+Prestiti!C48+Prestiti!D48</f>
        <v>128446.08</v>
      </c>
      <c r="C48">
        <f>Prestiti!E48+Prestiti!F48</f>
        <v>10837.400000000001</v>
      </c>
      <c r="D48">
        <f>Prestiti!G48</f>
        <v>94029.81</v>
      </c>
      <c r="E48">
        <f>Prestiti!H48+Prestiti!K48+Prestiti!L48</f>
        <v>737211.71999999986</v>
      </c>
      <c r="F48">
        <f>Prestiti!I48+Prestiti!J48</f>
        <v>265721.57999999996</v>
      </c>
      <c r="G48">
        <f>Prestiti!M48+Prestiti!N48+Prestiti!O48+Prestiti!P48</f>
        <v>1289613.5899999999</v>
      </c>
      <c r="H48">
        <f t="shared" si="0"/>
        <v>1300450.9899999998</v>
      </c>
      <c r="I48">
        <f>SUM(B48:G48)</f>
        <v>2525860.1799999997</v>
      </c>
      <c r="K48" s="13">
        <f t="shared" si="1"/>
        <v>5.0852410999250166</v>
      </c>
      <c r="L48" s="13">
        <f t="shared" si="2"/>
        <v>0.42905779527352944</v>
      </c>
      <c r="M48" s="13">
        <f t="shared" si="3"/>
        <v>3.7226846816200254</v>
      </c>
      <c r="N48" s="13">
        <f t="shared" si="4"/>
        <v>29.186560912488829</v>
      </c>
      <c r="O48" s="13">
        <f t="shared" si="5"/>
        <v>10.520043116559206</v>
      </c>
      <c r="P48" s="13">
        <f t="shared" si="6"/>
        <v>51.056412394133389</v>
      </c>
      <c r="Q48" s="13">
        <f t="shared" si="7"/>
        <v>51.485470189406911</v>
      </c>
    </row>
    <row r="49" spans="1:17">
      <c r="A49" s="28">
        <v>43613</v>
      </c>
      <c r="B49">
        <f>Prestiti!B49+Prestiti!C49+Prestiti!D49</f>
        <v>127398.51</v>
      </c>
      <c r="C49">
        <f>Prestiti!E49+Prestiti!F49</f>
        <v>10919.1</v>
      </c>
      <c r="D49">
        <f>Prestiti!G49</f>
        <v>93830.13</v>
      </c>
      <c r="E49">
        <f>Prestiti!H49+Prestiti!K49+Prestiti!L49</f>
        <v>715303.32</v>
      </c>
      <c r="F49">
        <f>Prestiti!I49+Prestiti!J49</f>
        <v>266279.36</v>
      </c>
      <c r="G49">
        <f>Prestiti!M49+Prestiti!N49+Prestiti!O49+Prestiti!P49</f>
        <v>1296224.33</v>
      </c>
      <c r="H49">
        <f t="shared" si="0"/>
        <v>1307143.4300000002</v>
      </c>
      <c r="I49">
        <f>SUM(B49:G49)</f>
        <v>2509954.75</v>
      </c>
      <c r="K49" s="13">
        <f t="shared" si="1"/>
        <v>5.0757293532881418</v>
      </c>
      <c r="L49" s="13">
        <f t="shared" si="2"/>
        <v>0.43503174708627718</v>
      </c>
      <c r="M49" s="13">
        <f t="shared" si="3"/>
        <v>3.7383195852435191</v>
      </c>
      <c r="N49" s="13">
        <f t="shared" si="4"/>
        <v>28.498654009599171</v>
      </c>
      <c r="O49" s="13">
        <f t="shared" si="5"/>
        <v>10.608930698850248</v>
      </c>
      <c r="P49" s="13">
        <f t="shared" si="6"/>
        <v>51.643334605932644</v>
      </c>
      <c r="Q49" s="13">
        <f t="shared" si="7"/>
        <v>52.078366353018922</v>
      </c>
    </row>
    <row r="50" spans="1:17">
      <c r="A50" s="28">
        <v>43583</v>
      </c>
      <c r="B50">
        <f>Prestiti!B50+Prestiti!C50+Prestiti!D50</f>
        <v>123964.71</v>
      </c>
      <c r="C50">
        <f>Prestiti!E50+Prestiti!F50</f>
        <v>10840.73</v>
      </c>
      <c r="D50">
        <f>Prestiti!G50</f>
        <v>93155.76</v>
      </c>
      <c r="E50">
        <f>Prestiti!H50+Prestiti!K50+Prestiti!L50</f>
        <v>713763.1399999999</v>
      </c>
      <c r="F50">
        <f>Prestiti!I50+Prestiti!J50</f>
        <v>266291.93</v>
      </c>
      <c r="G50">
        <f>Prestiti!M50+Prestiti!N50+Prestiti!O50+Prestiti!P50</f>
        <v>1296489.5900000001</v>
      </c>
      <c r="H50">
        <f t="shared" si="0"/>
        <v>1307330.32</v>
      </c>
      <c r="I50">
        <f>SUM(B50:G50)</f>
        <v>2504505.86</v>
      </c>
      <c r="K50" s="13">
        <f t="shared" si="1"/>
        <v>4.9496673966656246</v>
      </c>
      <c r="L50" s="13">
        <f t="shared" si="2"/>
        <v>0.43284905709903193</v>
      </c>
      <c r="M50" s="13">
        <f t="shared" si="3"/>
        <v>3.7195265336692005</v>
      </c>
      <c r="N50" s="13">
        <f t="shared" si="4"/>
        <v>28.499160309411291</v>
      </c>
      <c r="O50" s="13">
        <f t="shared" si="5"/>
        <v>10.632513752633024</v>
      </c>
      <c r="P50" s="13">
        <f t="shared" si="6"/>
        <v>51.766282950521834</v>
      </c>
      <c r="Q50" s="13">
        <f t="shared" si="7"/>
        <v>52.199132007620861</v>
      </c>
    </row>
    <row r="51" spans="1:17">
      <c r="A51" s="28">
        <v>43552</v>
      </c>
      <c r="B51">
        <f>Prestiti!B51+Prestiti!C51+Prestiti!D51</f>
        <v>117246.6</v>
      </c>
      <c r="C51">
        <f>Prestiti!E51+Prestiti!F51</f>
        <v>11256.82</v>
      </c>
      <c r="D51">
        <f>Prestiti!G51</f>
        <v>96672.04</v>
      </c>
      <c r="E51">
        <f>Prestiti!H51+Prestiti!K51+Prestiti!L51</f>
        <v>718619.72</v>
      </c>
      <c r="F51">
        <f>Prestiti!I51+Prestiti!J51</f>
        <v>266974.14</v>
      </c>
      <c r="G51">
        <f>Prestiti!M51+Prestiti!N51+Prestiti!O51+Prestiti!P51</f>
        <v>1292196.6399999999</v>
      </c>
      <c r="H51">
        <f t="shared" si="0"/>
        <v>1303453.46</v>
      </c>
      <c r="I51">
        <f>SUM(B51:G51)</f>
        <v>2502965.96</v>
      </c>
      <c r="K51" s="13">
        <f t="shared" si="1"/>
        <v>4.6843066135825522</v>
      </c>
      <c r="L51" s="13">
        <f t="shared" si="2"/>
        <v>0.44973923656556641</v>
      </c>
      <c r="M51" s="13">
        <f t="shared" si="3"/>
        <v>3.8622994297533313</v>
      </c>
      <c r="N51" s="13">
        <f t="shared" si="4"/>
        <v>28.71072685303319</v>
      </c>
      <c r="O51" s="13">
        <f t="shared" si="5"/>
        <v>10.666311258983322</v>
      </c>
      <c r="P51" s="13">
        <f t="shared" si="6"/>
        <v>51.626616608082031</v>
      </c>
      <c r="Q51" s="13">
        <f t="shared" si="7"/>
        <v>52.076355844647601</v>
      </c>
    </row>
    <row r="52" spans="1:17">
      <c r="A52" s="28">
        <v>43524</v>
      </c>
      <c r="B52">
        <f>Prestiti!B52+Prestiti!C52+Prestiti!D52</f>
        <v>112552.87000000001</v>
      </c>
      <c r="C52">
        <f>Prestiti!E52+Prestiti!F52</f>
        <v>11440.480000000001</v>
      </c>
      <c r="D52">
        <f>Prestiti!G52</f>
        <v>103157.99</v>
      </c>
      <c r="E52">
        <f>Prestiti!H52+Prestiti!K52+Prestiti!L52</f>
        <v>680978.30999999994</v>
      </c>
      <c r="F52">
        <f>Prestiti!I52+Prestiti!J52</f>
        <v>264940.57</v>
      </c>
      <c r="G52">
        <f>Prestiti!M52+Prestiti!N52+Prestiti!O52+Prestiti!P52</f>
        <v>1304151.1900000002</v>
      </c>
      <c r="H52">
        <f t="shared" si="0"/>
        <v>1315591.6700000002</v>
      </c>
      <c r="I52">
        <f>SUM(B52:G52)</f>
        <v>2477221.41</v>
      </c>
      <c r="K52" s="13">
        <f t="shared" si="1"/>
        <v>4.5435127254127838</v>
      </c>
      <c r="L52" s="13">
        <f t="shared" si="2"/>
        <v>0.4618271081388724</v>
      </c>
      <c r="M52" s="13">
        <f t="shared" si="3"/>
        <v>4.1642620067618425</v>
      </c>
      <c r="N52" s="13">
        <f t="shared" si="4"/>
        <v>27.489602150661206</v>
      </c>
      <c r="O52" s="13">
        <f t="shared" si="5"/>
        <v>10.695070248080892</v>
      </c>
      <c r="P52" s="13">
        <f t="shared" si="6"/>
        <v>52.645725760944394</v>
      </c>
      <c r="Q52" s="13">
        <f t="shared" si="7"/>
        <v>53.107552869083271</v>
      </c>
    </row>
    <row r="53" spans="1:17">
      <c r="A53" s="28">
        <v>43493</v>
      </c>
      <c r="B53">
        <f>Prestiti!B53+Prestiti!C53+Prestiti!D53</f>
        <v>103359.55</v>
      </c>
      <c r="C53">
        <f>Prestiti!E53+Prestiti!F53</f>
        <v>11627.13</v>
      </c>
      <c r="D53">
        <f>Prestiti!G53</f>
        <v>104025.2</v>
      </c>
      <c r="E53">
        <f>Prestiti!H53+Prestiti!K53+Prestiti!L53</f>
        <v>691789.30999999994</v>
      </c>
      <c r="F53">
        <f>Prestiti!I53+Prestiti!J53</f>
        <v>266793.25</v>
      </c>
      <c r="G53">
        <f>Prestiti!M53+Prestiti!N53+Prestiti!O53+Prestiti!P53</f>
        <v>1305810.8799999999</v>
      </c>
      <c r="H53">
        <f t="shared" si="0"/>
        <v>1317438.0099999998</v>
      </c>
      <c r="I53">
        <f>SUM(B53:G53)</f>
        <v>2483405.3199999998</v>
      </c>
      <c r="K53" s="13">
        <f t="shared" si="1"/>
        <v>4.1620088822230601</v>
      </c>
      <c r="L53" s="13">
        <f t="shared" si="2"/>
        <v>0.46819300524007895</v>
      </c>
      <c r="M53" s="13">
        <f t="shared" si="3"/>
        <v>4.1888128032197338</v>
      </c>
      <c r="N53" s="13">
        <f t="shared" si="4"/>
        <v>27.856480149603609</v>
      </c>
      <c r="O53" s="13">
        <f t="shared" si="5"/>
        <v>10.743040930588005</v>
      </c>
      <c r="P53" s="13">
        <f t="shared" si="6"/>
        <v>52.581464229125508</v>
      </c>
      <c r="Q53" s="13">
        <f t="shared" si="7"/>
        <v>53.04965723436559</v>
      </c>
    </row>
    <row r="54" spans="1:17">
      <c r="A54" s="28">
        <v>43462</v>
      </c>
      <c r="B54">
        <f>Prestiti!B54+Prestiti!C54+Prestiti!D54</f>
        <v>102896.85</v>
      </c>
      <c r="C54">
        <f>Prestiti!E54+Prestiti!F54</f>
        <v>11955.59</v>
      </c>
      <c r="D54">
        <f>Prestiti!G54</f>
        <v>105874.62</v>
      </c>
      <c r="E54">
        <f>Prestiti!H54+Prestiti!K54+Prestiti!L54</f>
        <v>704030.20000000007</v>
      </c>
      <c r="F54">
        <f>Prestiti!I54+Prestiti!J54</f>
        <v>264425.46000000002</v>
      </c>
      <c r="G54">
        <f>Prestiti!M54+Prestiti!N54+Prestiti!O54+Prestiti!P54</f>
        <v>1304693.5200000003</v>
      </c>
      <c r="H54">
        <f t="shared" si="0"/>
        <v>1316649.1100000003</v>
      </c>
      <c r="I54">
        <f>SUM(B54:G54)</f>
        <v>2493876.2400000002</v>
      </c>
      <c r="K54" s="13">
        <f t="shared" si="1"/>
        <v>4.1259806059983157</v>
      </c>
      <c r="L54" s="13">
        <f t="shared" si="2"/>
        <v>0.47939788704190067</v>
      </c>
      <c r="M54" s="13">
        <f t="shared" si="3"/>
        <v>4.2453838848073708</v>
      </c>
      <c r="N54" s="13">
        <f t="shared" si="4"/>
        <v>28.230358375762865</v>
      </c>
      <c r="O54" s="13">
        <f t="shared" si="5"/>
        <v>10.602990467562256</v>
      </c>
      <c r="P54" s="13">
        <f t="shared" si="6"/>
        <v>52.315888778827301</v>
      </c>
      <c r="Q54" s="13">
        <f t="shared" si="7"/>
        <v>52.795286665869199</v>
      </c>
    </row>
    <row r="55" spans="1:17">
      <c r="A55" s="28">
        <v>43432</v>
      </c>
      <c r="B55">
        <f>Prestiti!B55+Prestiti!C55+Prestiti!D55</f>
        <v>103872.75999999998</v>
      </c>
      <c r="C55">
        <f>Prestiti!E55+Prestiti!F55</f>
        <v>11725.56</v>
      </c>
      <c r="D55">
        <f>Prestiti!G55</f>
        <v>108800.23</v>
      </c>
      <c r="E55">
        <f>Prestiti!H55+Prestiti!K55+Prestiti!L55</f>
        <v>687634.12</v>
      </c>
      <c r="F55">
        <f>Prestiti!I55+Prestiti!J55</f>
        <v>259119.37</v>
      </c>
      <c r="G55">
        <f>Prestiti!M55+Prestiti!N55+Prestiti!O55+Prestiti!P55</f>
        <v>1327849.1700000002</v>
      </c>
      <c r="H55">
        <f t="shared" si="0"/>
        <v>1339574.7300000002</v>
      </c>
      <c r="I55">
        <f>SUM(B55:G55)</f>
        <v>2499001.21</v>
      </c>
      <c r="K55" s="13">
        <f t="shared" si="1"/>
        <v>4.1565710166262777</v>
      </c>
      <c r="L55" s="13">
        <f t="shared" si="2"/>
        <v>0.46920985684516736</v>
      </c>
      <c r="M55" s="13">
        <f t="shared" si="3"/>
        <v>4.3537485922225709</v>
      </c>
      <c r="N55" s="13">
        <f t="shared" si="4"/>
        <v>27.516358025292831</v>
      </c>
      <c r="O55" s="13">
        <f t="shared" si="5"/>
        <v>10.368917348383357</v>
      </c>
      <c r="P55" s="13">
        <f t="shared" si="6"/>
        <v>53.135195160629799</v>
      </c>
      <c r="Q55" s="13">
        <f t="shared" si="7"/>
        <v>53.604405017474974</v>
      </c>
    </row>
    <row r="56" spans="1:17">
      <c r="A56" s="28">
        <v>43401</v>
      </c>
      <c r="B56">
        <f>Prestiti!B56+Prestiti!C56+Prestiti!D56</f>
        <v>103363.12</v>
      </c>
      <c r="C56">
        <f>Prestiti!E56+Prestiti!F56</f>
        <v>12337.75</v>
      </c>
      <c r="D56">
        <f>Prestiti!G56</f>
        <v>109488.78</v>
      </c>
      <c r="E56">
        <f>Prestiti!H56+Prestiti!K56+Prestiti!L56</f>
        <v>716846.59000000008</v>
      </c>
      <c r="F56">
        <f>Prestiti!I56+Prestiti!J56</f>
        <v>259001.92</v>
      </c>
      <c r="G56">
        <f>Prestiti!M56+Prestiti!N56+Prestiti!O56+Prestiti!P56</f>
        <v>1323763.5699999998</v>
      </c>
      <c r="H56">
        <f t="shared" si="0"/>
        <v>1336101.3199999998</v>
      </c>
      <c r="I56">
        <f>SUM(B56:G56)</f>
        <v>2524801.73</v>
      </c>
      <c r="K56" s="13">
        <f t="shared" si="1"/>
        <v>4.0939103760832731</v>
      </c>
      <c r="L56" s="13">
        <f t="shared" si="2"/>
        <v>0.48866213348166554</v>
      </c>
      <c r="M56" s="13">
        <f t="shared" si="3"/>
        <v>4.3365298232744793</v>
      </c>
      <c r="N56" s="13">
        <f t="shared" si="4"/>
        <v>28.392193394132381</v>
      </c>
      <c r="O56" s="13">
        <f t="shared" si="5"/>
        <v>10.258307292905728</v>
      </c>
      <c r="P56" s="13">
        <f t="shared" si="6"/>
        <v>52.430396980122474</v>
      </c>
      <c r="Q56" s="13">
        <f t="shared" si="7"/>
        <v>52.919059113604142</v>
      </c>
    </row>
    <row r="57" spans="1:17">
      <c r="A57" s="28">
        <v>43371</v>
      </c>
      <c r="B57">
        <f>Prestiti!B57+Prestiti!C57+Prestiti!D57</f>
        <v>99958.29</v>
      </c>
      <c r="C57">
        <f>Prestiti!E57+Prestiti!F57</f>
        <v>14995.689999999999</v>
      </c>
      <c r="D57">
        <f>Prestiti!G57</f>
        <v>108011.94</v>
      </c>
      <c r="E57">
        <f>Prestiti!H57+Prestiti!K57+Prestiti!L57</f>
        <v>744691.02</v>
      </c>
      <c r="F57">
        <f>Prestiti!I57+Prestiti!J57</f>
        <v>261231.6</v>
      </c>
      <c r="G57">
        <f>Prestiti!M57+Prestiti!N57+Prestiti!O57+Prestiti!P57</f>
        <v>1323033.29</v>
      </c>
      <c r="H57">
        <f t="shared" si="0"/>
        <v>1338028.98</v>
      </c>
      <c r="I57">
        <f>SUM(B57:G57)</f>
        <v>2551921.83</v>
      </c>
      <c r="K57" s="13">
        <f t="shared" si="1"/>
        <v>3.9169808739791998</v>
      </c>
      <c r="L57" s="13">
        <f t="shared" si="2"/>
        <v>0.58762340694424786</v>
      </c>
      <c r="M57" s="13">
        <f t="shared" si="3"/>
        <v>4.2325724373775193</v>
      </c>
      <c r="N57" s="13">
        <f t="shared" si="4"/>
        <v>29.181576459181745</v>
      </c>
      <c r="O57" s="13">
        <f t="shared" si="5"/>
        <v>10.236661520309969</v>
      </c>
      <c r="P57" s="13">
        <f t="shared" si="6"/>
        <v>51.844585302207314</v>
      </c>
      <c r="Q57" s="13">
        <f t="shared" si="7"/>
        <v>52.43220870915156</v>
      </c>
    </row>
    <row r="58" spans="1:17">
      <c r="A58" s="28">
        <v>43340</v>
      </c>
      <c r="B58">
        <f>Prestiti!B58+Prestiti!C58+Prestiti!D58</f>
        <v>101269.96</v>
      </c>
      <c r="C58">
        <f>Prestiti!E58+Prestiti!F58</f>
        <v>14591.34</v>
      </c>
      <c r="D58">
        <f>Prestiti!G58</f>
        <v>113055.55</v>
      </c>
      <c r="E58">
        <f>Prestiti!H58+Prestiti!K58+Prestiti!L58</f>
        <v>713996.11</v>
      </c>
      <c r="F58">
        <f>Prestiti!I58+Prestiti!J58</f>
        <v>262163.11</v>
      </c>
      <c r="G58">
        <f>Prestiti!M58+Prestiti!N58+Prestiti!O58+Prestiti!P58</f>
        <v>1324217.95</v>
      </c>
      <c r="H58">
        <f t="shared" si="0"/>
        <v>1338809.29</v>
      </c>
      <c r="I58">
        <f>SUM(B58:G58)</f>
        <v>2529294.0199999996</v>
      </c>
      <c r="K58" s="13">
        <f t="shared" si="1"/>
        <v>4.0038824746835884</v>
      </c>
      <c r="L58" s="13">
        <f t="shared" si="2"/>
        <v>0.57689378477240072</v>
      </c>
      <c r="M58" s="13">
        <f t="shared" si="3"/>
        <v>4.4698460956310662</v>
      </c>
      <c r="N58" s="13">
        <f t="shared" si="4"/>
        <v>28.229067255692168</v>
      </c>
      <c r="O58" s="13">
        <f t="shared" si="5"/>
        <v>10.365070566212783</v>
      </c>
      <c r="P58" s="13">
        <f t="shared" si="6"/>
        <v>52.355239823008013</v>
      </c>
      <c r="Q58" s="13">
        <f t="shared" si="7"/>
        <v>52.932133607780415</v>
      </c>
    </row>
    <row r="59" spans="1:17">
      <c r="A59" s="28">
        <v>43309</v>
      </c>
      <c r="B59">
        <f>Prestiti!B59+Prestiti!C59+Prestiti!D59</f>
        <v>101761.5</v>
      </c>
      <c r="C59">
        <f>Prestiti!E59+Prestiti!F59</f>
        <v>14745.68</v>
      </c>
      <c r="D59">
        <f>Prestiti!G59</f>
        <v>112994</v>
      </c>
      <c r="E59">
        <f>Prestiti!H59+Prestiti!K59+Prestiti!L59</f>
        <v>709774.91999999993</v>
      </c>
      <c r="F59">
        <f>Prestiti!I59+Prestiti!J59</f>
        <v>264920.57</v>
      </c>
      <c r="G59">
        <f>Prestiti!M59+Prestiti!N59+Prestiti!O59+Prestiti!P59</f>
        <v>1335136.1300000001</v>
      </c>
      <c r="H59">
        <f t="shared" si="0"/>
        <v>1349881.81</v>
      </c>
      <c r="I59">
        <f>SUM(B59:G59)</f>
        <v>2539332.7999999998</v>
      </c>
      <c r="K59" s="13">
        <f t="shared" si="1"/>
        <v>4.0074109230582149</v>
      </c>
      <c r="L59" s="13">
        <f t="shared" si="2"/>
        <v>0.58069111697371845</v>
      </c>
      <c r="M59" s="13">
        <f t="shared" si="3"/>
        <v>4.4497515252825472</v>
      </c>
      <c r="N59" s="13">
        <f t="shared" si="4"/>
        <v>27.951236639797667</v>
      </c>
      <c r="O59" s="13">
        <f t="shared" si="5"/>
        <v>10.432684128681363</v>
      </c>
      <c r="P59" s="13">
        <f t="shared" si="6"/>
        <v>52.5782256662065</v>
      </c>
      <c r="Q59" s="13">
        <f t="shared" si="7"/>
        <v>53.158916783180224</v>
      </c>
    </row>
    <row r="60" spans="1:17">
      <c r="A60" s="28">
        <v>43279</v>
      </c>
      <c r="B60">
        <f>Prestiti!B60+Prestiti!C60+Prestiti!D60</f>
        <v>100694.23</v>
      </c>
      <c r="C60">
        <f>Prestiti!E60+Prestiti!F60</f>
        <v>14548.31</v>
      </c>
      <c r="D60">
        <f>Prestiti!G60</f>
        <v>111807.65</v>
      </c>
      <c r="E60">
        <f>Prestiti!H60+Prestiti!K60+Prestiti!L60</f>
        <v>736153.03999999992</v>
      </c>
      <c r="F60">
        <f>Prestiti!I60+Prestiti!J60</f>
        <v>263616.73</v>
      </c>
      <c r="G60">
        <f>Prestiti!M60+Prestiti!N60+Prestiti!O60+Prestiti!P60</f>
        <v>1332704.1199999999</v>
      </c>
      <c r="H60">
        <f t="shared" si="0"/>
        <v>1347252.43</v>
      </c>
      <c r="I60">
        <f>SUM(B60:G60)</f>
        <v>2559524.08</v>
      </c>
      <c r="K60" s="13">
        <f t="shared" si="1"/>
        <v>3.934099733103507</v>
      </c>
      <c r="L60" s="13">
        <f t="shared" si="2"/>
        <v>0.56839902830685618</v>
      </c>
      <c r="M60" s="13">
        <f t="shared" si="3"/>
        <v>4.3682984221035337</v>
      </c>
      <c r="N60" s="13">
        <f t="shared" si="4"/>
        <v>28.761325035082297</v>
      </c>
      <c r="O60" s="13">
        <f t="shared" si="5"/>
        <v>10.299443246496043</v>
      </c>
      <c r="P60" s="13">
        <f t="shared" si="6"/>
        <v>52.068434534907752</v>
      </c>
      <c r="Q60" s="13">
        <f t="shared" si="7"/>
        <v>52.636833563214601</v>
      </c>
    </row>
    <row r="61" spans="1:17">
      <c r="A61" s="28">
        <v>43248</v>
      </c>
      <c r="B61">
        <f>Prestiti!B61+Prestiti!C61+Prestiti!D61</f>
        <v>101655.46</v>
      </c>
      <c r="C61">
        <f>Prestiti!E61+Prestiti!F61</f>
        <v>13762.279999999999</v>
      </c>
      <c r="D61">
        <f>Prestiti!G61</f>
        <v>110388.63</v>
      </c>
      <c r="E61">
        <f>Prestiti!H61+Prestiti!K61+Prestiti!L61</f>
        <v>742878.28</v>
      </c>
      <c r="F61">
        <f>Prestiti!I61+Prestiti!J61</f>
        <v>264291.82</v>
      </c>
      <c r="G61">
        <f>Prestiti!M61+Prestiti!N61+Prestiti!O61+Prestiti!P61</f>
        <v>1366032.3</v>
      </c>
      <c r="H61">
        <f t="shared" si="0"/>
        <v>1379794.58</v>
      </c>
      <c r="I61">
        <f>SUM(B61:G61)</f>
        <v>2599008.77</v>
      </c>
      <c r="K61" s="13">
        <f t="shared" si="1"/>
        <v>3.9113165439607198</v>
      </c>
      <c r="L61" s="13">
        <f t="shared" si="2"/>
        <v>0.52952033709374513</v>
      </c>
      <c r="M61" s="13">
        <f t="shared" si="3"/>
        <v>4.2473358025644528</v>
      </c>
      <c r="N61" s="13">
        <f t="shared" si="4"/>
        <v>28.58313864019782</v>
      </c>
      <c r="O61" s="13">
        <f t="shared" si="5"/>
        <v>10.168946832757321</v>
      </c>
      <c r="P61" s="13">
        <f t="shared" si="6"/>
        <v>52.559741843425947</v>
      </c>
      <c r="Q61" s="13">
        <f t="shared" si="7"/>
        <v>53.08926218051969</v>
      </c>
    </row>
    <row r="62" spans="1:17">
      <c r="A62" s="28">
        <v>43218</v>
      </c>
      <c r="B62">
        <f>Prestiti!B62+Prestiti!C62+Prestiti!D62</f>
        <v>99151.19</v>
      </c>
      <c r="C62">
        <f>Prestiti!E62+Prestiti!F62</f>
        <v>10176.570000000002</v>
      </c>
      <c r="D62">
        <f>Prestiti!G62</f>
        <v>107284</v>
      </c>
      <c r="E62">
        <f>Prestiti!H62+Prestiti!K62+Prestiti!L62</f>
        <v>748004.92</v>
      </c>
      <c r="F62">
        <f>Prestiti!I62+Prestiti!J62</f>
        <v>264919.76</v>
      </c>
      <c r="G62">
        <f>Prestiti!M62+Prestiti!N62+Prestiti!O62+Prestiti!P62</f>
        <v>1367667.4999999998</v>
      </c>
      <c r="H62">
        <f t="shared" si="0"/>
        <v>1377844.0699999998</v>
      </c>
      <c r="I62">
        <f>SUM(B62:G62)</f>
        <v>2597203.9399999995</v>
      </c>
      <c r="K62" s="13">
        <f t="shared" si="1"/>
        <v>3.8176127978613814</v>
      </c>
      <c r="L62" s="13">
        <f t="shared" si="2"/>
        <v>0.39182791321346921</v>
      </c>
      <c r="M62" s="13">
        <f t="shared" si="3"/>
        <v>4.1307499325601675</v>
      </c>
      <c r="N62" s="13">
        <f t="shared" si="4"/>
        <v>28.80039216327387</v>
      </c>
      <c r="O62" s="13">
        <f t="shared" si="5"/>
        <v>10.200190902220797</v>
      </c>
      <c r="P62" s="13">
        <f t="shared" si="6"/>
        <v>52.659226290870329</v>
      </c>
      <c r="Q62" s="13">
        <f t="shared" si="7"/>
        <v>53.051054204083805</v>
      </c>
    </row>
    <row r="63" spans="1:17">
      <c r="A63" s="28">
        <v>43187</v>
      </c>
      <c r="B63">
        <f>Prestiti!B63+Prestiti!C63+Prestiti!D63</f>
        <v>97826.4</v>
      </c>
      <c r="C63">
        <f>Prestiti!E63+Prestiti!F63</f>
        <v>10351.14</v>
      </c>
      <c r="D63">
        <f>Prestiti!G63</f>
        <v>105959</v>
      </c>
      <c r="E63">
        <f>Prestiti!H63+Prestiti!K63+Prestiti!L63</f>
        <v>745292.18</v>
      </c>
      <c r="F63">
        <f>Prestiti!I63+Prestiti!J63</f>
        <v>267115.24</v>
      </c>
      <c r="G63">
        <f>Prestiti!M63+Prestiti!N63+Prestiti!O63+Prestiti!P63</f>
        <v>1363923.76</v>
      </c>
      <c r="H63">
        <f t="shared" si="0"/>
        <v>1374274.9</v>
      </c>
      <c r="I63">
        <f>SUM(B63:G63)</f>
        <v>2590467.7199999997</v>
      </c>
      <c r="K63" s="13">
        <f t="shared" si="1"/>
        <v>3.7763991129756294</v>
      </c>
      <c r="L63" s="13">
        <f t="shared" si="2"/>
        <v>0.39958575511606842</v>
      </c>
      <c r="M63" s="13">
        <f t="shared" si="3"/>
        <v>4.0903424189358359</v>
      </c>
      <c r="N63" s="13">
        <f t="shared" si="4"/>
        <v>28.770564259337693</v>
      </c>
      <c r="O63" s="13">
        <f t="shared" si="5"/>
        <v>10.311467614041529</v>
      </c>
      <c r="P63" s="13">
        <f t="shared" si="6"/>
        <v>52.651640839593249</v>
      </c>
      <c r="Q63" s="13">
        <f t="shared" si="7"/>
        <v>53.051226594709313</v>
      </c>
    </row>
    <row r="64" spans="1:17">
      <c r="A64" s="28">
        <v>43159</v>
      </c>
      <c r="B64">
        <f>Prestiti!B64+Prestiti!C64+Prestiti!D64</f>
        <v>94826.22</v>
      </c>
      <c r="C64">
        <f>Prestiti!E64+Prestiti!F64</f>
        <v>10169.35</v>
      </c>
      <c r="D64">
        <f>Prestiti!G64</f>
        <v>104841.46</v>
      </c>
      <c r="E64">
        <f>Prestiti!H64+Prestiti!K64+Prestiti!L64</f>
        <v>719795.08</v>
      </c>
      <c r="F64">
        <f>Prestiti!I64+Prestiti!J64</f>
        <v>264824.52999999997</v>
      </c>
      <c r="G64">
        <f>Prestiti!M64+Prestiti!N64+Prestiti!O64+Prestiti!P64</f>
        <v>1362613.64</v>
      </c>
      <c r="H64">
        <f t="shared" si="0"/>
        <v>1372782.99</v>
      </c>
      <c r="I64">
        <f>SUM(B64:G64)</f>
        <v>2557070.2799999998</v>
      </c>
      <c r="K64" s="13">
        <f t="shared" si="1"/>
        <v>3.7083931850320524</v>
      </c>
      <c r="L64" s="13">
        <f t="shared" si="2"/>
        <v>0.39769536565103725</v>
      </c>
      <c r="M64" s="13">
        <f t="shared" si="3"/>
        <v>4.1000617315844767</v>
      </c>
      <c r="N64" s="13">
        <f t="shared" si="4"/>
        <v>28.149209884055281</v>
      </c>
      <c r="O64" s="13">
        <f t="shared" si="5"/>
        <v>10.356560477485194</v>
      </c>
      <c r="P64" s="13">
        <f t="shared" si="6"/>
        <v>53.288079356191965</v>
      </c>
      <c r="Q64" s="13">
        <f t="shared" si="7"/>
        <v>53.685774721843003</v>
      </c>
    </row>
    <row r="65" spans="1:17">
      <c r="A65" s="28">
        <v>43128</v>
      </c>
      <c r="B65">
        <f>Prestiti!B65+Prestiti!C65+Prestiti!D65</f>
        <v>95366.78</v>
      </c>
      <c r="C65">
        <f>Prestiti!E65+Prestiti!F65</f>
        <v>10879.130000000001</v>
      </c>
      <c r="D65">
        <f>Prestiti!G65</f>
        <v>101122</v>
      </c>
      <c r="E65">
        <f>Prestiti!H65+Prestiti!K65+Prestiti!L65</f>
        <v>742645.89</v>
      </c>
      <c r="F65">
        <f>Prestiti!I65+Prestiti!J65</f>
        <v>264316</v>
      </c>
      <c r="G65">
        <f>Prestiti!M65+Prestiti!N65+Prestiti!O65+Prestiti!P65</f>
        <v>1372066.47</v>
      </c>
      <c r="H65">
        <f t="shared" si="0"/>
        <v>1382945.5999999999</v>
      </c>
      <c r="I65">
        <f>SUM(B65:G65)</f>
        <v>2586396.27</v>
      </c>
      <c r="K65" s="13">
        <f t="shared" si="1"/>
        <v>3.6872454969941635</v>
      </c>
      <c r="L65" s="13">
        <f t="shared" si="2"/>
        <v>0.42062889303501821</v>
      </c>
      <c r="M65" s="13">
        <f t="shared" si="3"/>
        <v>3.9097643765160548</v>
      </c>
      <c r="N65" s="13">
        <f t="shared" si="4"/>
        <v>28.713538548367918</v>
      </c>
      <c r="O65" s="13">
        <f t="shared" si="5"/>
        <v>10.219470352081817</v>
      </c>
      <c r="P65" s="13">
        <f t="shared" si="6"/>
        <v>53.049352333005032</v>
      </c>
      <c r="Q65" s="13">
        <f t="shared" si="7"/>
        <v>53.469981226040041</v>
      </c>
    </row>
    <row r="66" spans="1:17">
      <c r="A66" s="28">
        <v>43097</v>
      </c>
      <c r="B66">
        <f>Prestiti!B66+Prestiti!C66+Prestiti!D66</f>
        <v>93513.569999999992</v>
      </c>
      <c r="C66">
        <f>Prestiti!E66+Prestiti!F66</f>
        <v>11249.41</v>
      </c>
      <c r="D66">
        <f>Prestiti!G66</f>
        <v>101412</v>
      </c>
      <c r="E66">
        <f>Prestiti!H66+Prestiti!K66+Prestiti!L66</f>
        <v>754753.8600000001</v>
      </c>
      <c r="F66">
        <f>Prestiti!I66+Prestiti!J66</f>
        <v>260557</v>
      </c>
      <c r="G66">
        <f>Prestiti!M66+Prestiti!N66+Prestiti!O66+Prestiti!P66</f>
        <v>1355810.96</v>
      </c>
      <c r="H66">
        <f t="shared" si="0"/>
        <v>1367060.3699999999</v>
      </c>
      <c r="I66">
        <f>SUM(B66:G66)</f>
        <v>2577296.7999999998</v>
      </c>
      <c r="K66" s="13">
        <f t="shared" si="1"/>
        <v>3.6283585964953664</v>
      </c>
      <c r="L66" s="13">
        <f t="shared" si="2"/>
        <v>0.43648096719011953</v>
      </c>
      <c r="M66" s="13">
        <f t="shared" si="3"/>
        <v>3.9348203901079613</v>
      </c>
      <c r="N66" s="13">
        <f t="shared" si="4"/>
        <v>29.284708691680372</v>
      </c>
      <c r="O66" s="13">
        <f t="shared" si="5"/>
        <v>10.109700985932237</v>
      </c>
      <c r="P66" s="13">
        <f t="shared" si="6"/>
        <v>52.605930368593945</v>
      </c>
      <c r="Q66" s="13">
        <f t="shared" si="7"/>
        <v>53.042411335784067</v>
      </c>
    </row>
    <row r="67" spans="1:17">
      <c r="A67" s="28">
        <v>43067</v>
      </c>
      <c r="B67">
        <f>Prestiti!B67+Prestiti!C67+Prestiti!D67</f>
        <v>87268.479999999996</v>
      </c>
      <c r="C67">
        <f>Prestiti!E67+Prestiti!F67</f>
        <v>10951.929999999998</v>
      </c>
      <c r="D67">
        <f>Prestiti!G67</f>
        <v>105701</v>
      </c>
      <c r="E67">
        <f>Prestiti!H67+Prestiti!K67+Prestiti!L67</f>
        <v>780865.54999999993</v>
      </c>
      <c r="F67">
        <f>Prestiti!I67+Prestiti!J67</f>
        <v>269058.78999999998</v>
      </c>
      <c r="G67">
        <f>Prestiti!M67+Prestiti!N67+Prestiti!O67+Prestiti!P67</f>
        <v>1371665.78</v>
      </c>
      <c r="H67">
        <f t="shared" si="0"/>
        <v>1382617.71</v>
      </c>
      <c r="I67">
        <f>SUM(B67:G67)</f>
        <v>2625511.5300000003</v>
      </c>
      <c r="K67" s="13">
        <f t="shared" si="1"/>
        <v>3.3238658068281266</v>
      </c>
      <c r="L67" s="13">
        <f t="shared" si="2"/>
        <v>0.41713509443243607</v>
      </c>
      <c r="M67" s="13">
        <f t="shared" si="3"/>
        <v>4.0259202365795739</v>
      </c>
      <c r="N67" s="13">
        <f t="shared" si="4"/>
        <v>29.741463371139716</v>
      </c>
      <c r="O67" s="13">
        <f t="shared" si="5"/>
        <v>10.247861680500787</v>
      </c>
      <c r="P67" s="13">
        <f t="shared" si="6"/>
        <v>52.243753810519358</v>
      </c>
      <c r="Q67" s="13">
        <f t="shared" si="7"/>
        <v>52.660888904951783</v>
      </c>
    </row>
    <row r="68" spans="1:17">
      <c r="A68" s="28">
        <v>43036</v>
      </c>
      <c r="B68">
        <f>Prestiti!B68+Prestiti!C68+Prestiti!D68</f>
        <v>85904.75</v>
      </c>
      <c r="C68">
        <f>Prestiti!E68+Prestiti!F68</f>
        <v>11398.1</v>
      </c>
      <c r="D68">
        <f>Prestiti!G68</f>
        <v>104628.92</v>
      </c>
      <c r="E68">
        <f>Prestiti!H68+Prestiti!K68+Prestiti!L68</f>
        <v>767175.54999999993</v>
      </c>
      <c r="F68">
        <f>Prestiti!I68+Prestiti!J68</f>
        <v>269323.67</v>
      </c>
      <c r="G68">
        <f>Prestiti!M68+Prestiti!N68+Prestiti!O68+Prestiti!P68</f>
        <v>1360956.5</v>
      </c>
      <c r="H68">
        <f t="shared" ref="H68:H131" si="8">G68+C68</f>
        <v>1372354.6</v>
      </c>
      <c r="I68">
        <f>SUM(B68:G68)</f>
        <v>2599387.4900000002</v>
      </c>
      <c r="K68" s="13">
        <f t="shared" ref="K68:K131" si="9">B68/I68*100</f>
        <v>3.3048073952221717</v>
      </c>
      <c r="L68" s="13">
        <f t="shared" ref="L68:L131" si="10">C68/I68*100</f>
        <v>0.43849176176499949</v>
      </c>
      <c r="M68" s="13">
        <f t="shared" ref="M68:M131" si="11">D68/I68*100</f>
        <v>4.0251374757520271</v>
      </c>
      <c r="N68" s="13">
        <f t="shared" ref="N68:N131" si="12">E68/I68*100</f>
        <v>29.513704784352868</v>
      </c>
      <c r="O68" s="13">
        <f t="shared" ref="O68:O131" si="13">F68/I68*100</f>
        <v>10.361043554918393</v>
      </c>
      <c r="P68" s="13">
        <f t="shared" ref="P68:P131" si="14">G68/I68*100</f>
        <v>52.356815027989533</v>
      </c>
      <c r="Q68" s="13">
        <f t="shared" ref="Q68:Q131" si="15">H68/I68*100</f>
        <v>52.795306789754534</v>
      </c>
    </row>
    <row r="69" spans="1:17">
      <c r="A69" s="28">
        <v>43006</v>
      </c>
      <c r="B69">
        <f>Prestiti!B69+Prestiti!C69+Prestiti!D69</f>
        <v>89847.05</v>
      </c>
      <c r="C69">
        <f>Prestiti!E69+Prestiti!F69</f>
        <v>10604.14</v>
      </c>
      <c r="D69">
        <f>Prestiti!G69</f>
        <v>100526.75</v>
      </c>
      <c r="E69">
        <f>Prestiti!H69+Prestiti!K69+Prestiti!L69</f>
        <v>718241.8600000001</v>
      </c>
      <c r="F69">
        <f>Prestiti!I69+Prestiti!J69</f>
        <v>271946</v>
      </c>
      <c r="G69">
        <f>Prestiti!M69+Prestiti!N69+Prestiti!O69+Prestiti!P69</f>
        <v>1357811.9200000002</v>
      </c>
      <c r="H69">
        <f t="shared" si="8"/>
        <v>1368416.06</v>
      </c>
      <c r="I69">
        <f>SUM(B69:G69)</f>
        <v>2548977.7200000002</v>
      </c>
      <c r="K69" s="13">
        <f t="shared" si="9"/>
        <v>3.5248268078231768</v>
      </c>
      <c r="L69" s="13">
        <f t="shared" si="10"/>
        <v>0.41601540557992783</v>
      </c>
      <c r="M69" s="13">
        <f t="shared" si="11"/>
        <v>3.9438065390387167</v>
      </c>
      <c r="N69" s="13">
        <f t="shared" si="12"/>
        <v>28.177643702589915</v>
      </c>
      <c r="O69" s="13">
        <f t="shared" si="13"/>
        <v>10.668826089229213</v>
      </c>
      <c r="P69" s="13">
        <f t="shared" si="14"/>
        <v>53.268881455739049</v>
      </c>
      <c r="Q69" s="13">
        <f t="shared" si="15"/>
        <v>53.684896861318975</v>
      </c>
    </row>
    <row r="70" spans="1:17">
      <c r="A70" s="28">
        <v>42975</v>
      </c>
      <c r="B70">
        <f>Prestiti!B70+Prestiti!C70+Prestiti!D70</f>
        <v>88549.25</v>
      </c>
      <c r="C70">
        <f>Prestiti!E70+Prestiti!F70</f>
        <v>9962.68</v>
      </c>
      <c r="D70">
        <f>Prestiti!G70</f>
        <v>99190.68</v>
      </c>
      <c r="E70">
        <f>Prestiti!H70+Prestiti!K70+Prestiti!L70</f>
        <v>713520.42</v>
      </c>
      <c r="F70">
        <f>Prestiti!I70+Prestiti!J70</f>
        <v>270421.93</v>
      </c>
      <c r="G70">
        <f>Prestiti!M70+Prestiti!N70+Prestiti!O70+Prestiti!P70</f>
        <v>1360715.7</v>
      </c>
      <c r="H70">
        <f t="shared" si="8"/>
        <v>1370678.38</v>
      </c>
      <c r="I70">
        <f>SUM(B70:G70)</f>
        <v>2542360.66</v>
      </c>
      <c r="K70" s="13">
        <f t="shared" si="9"/>
        <v>3.4829539094583062</v>
      </c>
      <c r="L70" s="13">
        <f t="shared" si="10"/>
        <v>0.39186729706555479</v>
      </c>
      <c r="M70" s="13">
        <f t="shared" si="11"/>
        <v>3.9015188348611396</v>
      </c>
      <c r="N70" s="13">
        <f t="shared" si="12"/>
        <v>28.065271431630791</v>
      </c>
      <c r="O70" s="13">
        <f t="shared" si="13"/>
        <v>10.636647044404784</v>
      </c>
      <c r="P70" s="13">
        <f t="shared" si="14"/>
        <v>53.521741482579422</v>
      </c>
      <c r="Q70" s="13">
        <f t="shared" si="15"/>
        <v>53.913608779644974</v>
      </c>
    </row>
    <row r="71" spans="1:17">
      <c r="A71" s="28">
        <v>42944</v>
      </c>
      <c r="B71">
        <f>Prestiti!B71+Prestiti!C71+Prestiti!D71</f>
        <v>92143.5</v>
      </c>
      <c r="C71">
        <f>Prestiti!E71+Prestiti!F71</f>
        <v>10171.27</v>
      </c>
      <c r="D71">
        <f>Prestiti!G71</f>
        <v>102460.16</v>
      </c>
      <c r="E71">
        <f>Prestiti!H71+Prestiti!K71+Prestiti!L71</f>
        <v>708693.29999999993</v>
      </c>
      <c r="F71">
        <f>Prestiti!I71+Prestiti!J71</f>
        <v>268308.32</v>
      </c>
      <c r="G71">
        <f>Prestiti!M71+Prestiti!N71+Prestiti!O71+Prestiti!P71</f>
        <v>1371503.4200000002</v>
      </c>
      <c r="H71">
        <f t="shared" si="8"/>
        <v>1381674.6900000002</v>
      </c>
      <c r="I71">
        <f>SUM(B71:G71)</f>
        <v>2553279.9700000002</v>
      </c>
      <c r="K71" s="13">
        <f t="shared" si="9"/>
        <v>3.6088286863426107</v>
      </c>
      <c r="L71" s="13">
        <f t="shared" si="10"/>
        <v>0.39836093650160892</v>
      </c>
      <c r="M71" s="13">
        <f t="shared" si="11"/>
        <v>4.0128838671773233</v>
      </c>
      <c r="N71" s="13">
        <f t="shared" si="12"/>
        <v>27.756192361466724</v>
      </c>
      <c r="O71" s="13">
        <f t="shared" si="13"/>
        <v>10.508378366356744</v>
      </c>
      <c r="P71" s="13">
        <f t="shared" si="14"/>
        <v>53.715355782154987</v>
      </c>
      <c r="Q71" s="13">
        <f t="shared" si="15"/>
        <v>54.11371671865659</v>
      </c>
    </row>
    <row r="72" spans="1:17">
      <c r="A72" s="28">
        <v>42914</v>
      </c>
      <c r="B72">
        <f>Prestiti!B72+Prestiti!C72+Prestiti!D72</f>
        <v>90493.82</v>
      </c>
      <c r="C72">
        <f>Prestiti!E72+Prestiti!F72</f>
        <v>9726.93</v>
      </c>
      <c r="D72">
        <f>Prestiti!G72</f>
        <v>99431.35</v>
      </c>
      <c r="E72">
        <f>Prestiti!H72+Prestiti!K72+Prestiti!L72</f>
        <v>726282.6</v>
      </c>
      <c r="F72">
        <f>Prestiti!I72+Prestiti!J72</f>
        <v>270098.93</v>
      </c>
      <c r="G72">
        <f>Prestiti!M72+Prestiti!N72+Prestiti!O72+Prestiti!P72</f>
        <v>1390512.9800000002</v>
      </c>
      <c r="H72">
        <f t="shared" si="8"/>
        <v>1400239.9100000001</v>
      </c>
      <c r="I72">
        <f>SUM(B72:G72)</f>
        <v>2586546.6100000003</v>
      </c>
      <c r="K72" s="13">
        <f t="shared" si="9"/>
        <v>3.4986348071260926</v>
      </c>
      <c r="L72" s="13">
        <f t="shared" si="10"/>
        <v>0.37605856250160513</v>
      </c>
      <c r="M72" s="13">
        <f t="shared" si="11"/>
        <v>3.8441739118708553</v>
      </c>
      <c r="N72" s="13">
        <f t="shared" si="12"/>
        <v>28.079238827248503</v>
      </c>
      <c r="O72" s="13">
        <f t="shared" si="13"/>
        <v>10.442453615788503</v>
      </c>
      <c r="P72" s="13">
        <f t="shared" si="14"/>
        <v>53.759440275464435</v>
      </c>
      <c r="Q72" s="13">
        <f t="shared" si="15"/>
        <v>54.135498837966033</v>
      </c>
    </row>
    <row r="73" spans="1:17">
      <c r="A73" s="28">
        <v>42883</v>
      </c>
      <c r="B73">
        <f>Prestiti!B73+Prestiti!C73+Prestiti!D73</f>
        <v>92639.62000000001</v>
      </c>
      <c r="C73">
        <f>Prestiti!E73+Prestiti!F73</f>
        <v>9506.4599999999991</v>
      </c>
      <c r="D73">
        <f>Prestiti!G73</f>
        <v>100259.38</v>
      </c>
      <c r="E73">
        <f>Prestiti!H73+Prestiti!K73+Prestiti!L73</f>
        <v>688834.1</v>
      </c>
      <c r="F73">
        <f>Prestiti!I73+Prestiti!J73</f>
        <v>267437.63</v>
      </c>
      <c r="G73">
        <f>Prestiti!M73+Prestiti!N73+Prestiti!O73+Prestiti!P73</f>
        <v>1404561.1000000003</v>
      </c>
      <c r="H73">
        <f t="shared" si="8"/>
        <v>1414067.5600000003</v>
      </c>
      <c r="I73">
        <f>SUM(B73:G73)</f>
        <v>2563238.29</v>
      </c>
      <c r="K73" s="13">
        <f t="shared" si="9"/>
        <v>3.6141633948515968</v>
      </c>
      <c r="L73" s="13">
        <f t="shared" si="10"/>
        <v>0.37087695034393386</v>
      </c>
      <c r="M73" s="13">
        <f t="shared" si="11"/>
        <v>3.9114342350121496</v>
      </c>
      <c r="N73" s="13">
        <f t="shared" si="12"/>
        <v>26.873588097031742</v>
      </c>
      <c r="O73" s="13">
        <f t="shared" si="13"/>
        <v>10.43358438594486</v>
      </c>
      <c r="P73" s="13">
        <f t="shared" si="14"/>
        <v>54.79635293681573</v>
      </c>
      <c r="Q73" s="13">
        <f t="shared" si="15"/>
        <v>55.167229887159664</v>
      </c>
    </row>
    <row r="74" spans="1:17">
      <c r="A74" s="28">
        <v>42853</v>
      </c>
      <c r="B74">
        <f>Prestiti!B74+Prestiti!C74+Prestiti!D74</f>
        <v>90763.17</v>
      </c>
      <c r="C74">
        <f>Prestiti!E74+Prestiti!F74</f>
        <v>9345.619999999999</v>
      </c>
      <c r="D74">
        <f>Prestiti!G74</f>
        <v>103691.14</v>
      </c>
      <c r="E74">
        <f>Prestiti!H74+Prestiti!K74+Prestiti!L74</f>
        <v>716344.1</v>
      </c>
      <c r="F74">
        <f>Prestiti!I74+Prestiti!J74</f>
        <v>267137.45</v>
      </c>
      <c r="G74">
        <f>Prestiti!M74+Prestiti!N74+Prestiti!O74+Prestiti!P74</f>
        <v>1400038.9</v>
      </c>
      <c r="H74">
        <f t="shared" si="8"/>
        <v>1409384.52</v>
      </c>
      <c r="I74">
        <f>SUM(B74:G74)</f>
        <v>2587320.38</v>
      </c>
      <c r="K74" s="13">
        <f t="shared" si="9"/>
        <v>3.5079988818392875</v>
      </c>
      <c r="L74" s="13">
        <f t="shared" si="10"/>
        <v>0.36120845614024805</v>
      </c>
      <c r="M74" s="13">
        <f t="shared" si="11"/>
        <v>4.0076652586797152</v>
      </c>
      <c r="N74" s="13">
        <f t="shared" si="12"/>
        <v>27.686718101760555</v>
      </c>
      <c r="O74" s="13">
        <f t="shared" si="13"/>
        <v>10.324869392479336</v>
      </c>
      <c r="P74" s="13">
        <f t="shared" si="14"/>
        <v>54.111539909100856</v>
      </c>
      <c r="Q74" s="13">
        <f t="shared" si="15"/>
        <v>54.47274836524111</v>
      </c>
    </row>
    <row r="75" spans="1:17">
      <c r="A75" s="28">
        <v>42822</v>
      </c>
      <c r="B75">
        <f>Prestiti!B75+Prestiti!C75+Prestiti!D75</f>
        <v>89979.77</v>
      </c>
      <c r="C75">
        <f>Prestiti!E75+Prestiti!F75</f>
        <v>9537.76</v>
      </c>
      <c r="D75">
        <f>Prestiti!G75</f>
        <v>110303</v>
      </c>
      <c r="E75">
        <f>Prestiti!H75+Prestiti!K75+Prestiti!L75</f>
        <v>704289.47</v>
      </c>
      <c r="F75">
        <f>Prestiti!I75+Prestiti!J75</f>
        <v>266875.77</v>
      </c>
      <c r="G75">
        <f>Prestiti!M75+Prestiti!N75+Prestiti!O75+Prestiti!P75</f>
        <v>1405481.64</v>
      </c>
      <c r="H75">
        <f t="shared" si="8"/>
        <v>1415019.4</v>
      </c>
      <c r="I75">
        <f>SUM(B75:G75)</f>
        <v>2586467.41</v>
      </c>
      <c r="K75" s="13">
        <f t="shared" si="9"/>
        <v>3.4788673405322359</v>
      </c>
      <c r="L75" s="13">
        <f t="shared" si="10"/>
        <v>0.36875624116214939</v>
      </c>
      <c r="M75" s="13">
        <f t="shared" si="11"/>
        <v>4.2646197502252692</v>
      </c>
      <c r="N75" s="13">
        <f t="shared" si="12"/>
        <v>27.229783266435977</v>
      </c>
      <c r="O75" s="13">
        <f t="shared" si="13"/>
        <v>10.318157072777499</v>
      </c>
      <c r="P75" s="13">
        <f t="shared" si="14"/>
        <v>54.33981632886686</v>
      </c>
      <c r="Q75" s="13">
        <f t="shared" si="15"/>
        <v>54.708572570029013</v>
      </c>
    </row>
    <row r="76" spans="1:17">
      <c r="A76" s="28">
        <v>42794</v>
      </c>
      <c r="B76">
        <f>Prestiti!B76+Prestiti!C76+Prestiti!D76</f>
        <v>87572.53</v>
      </c>
      <c r="C76">
        <f>Prestiti!E76+Prestiti!F76</f>
        <v>9710.25</v>
      </c>
      <c r="D76">
        <f>Prestiti!G76</f>
        <v>106260.62</v>
      </c>
      <c r="E76">
        <f>Prestiti!H76+Prestiti!K76+Prestiti!L76</f>
        <v>632927.74</v>
      </c>
      <c r="F76">
        <f>Prestiti!I76+Prestiti!J76</f>
        <v>265069.17000000004</v>
      </c>
      <c r="G76">
        <f>Prestiti!M76+Prestiti!N76+Prestiti!O76+Prestiti!P76</f>
        <v>1404779.21</v>
      </c>
      <c r="H76">
        <f t="shared" si="8"/>
        <v>1414489.46</v>
      </c>
      <c r="I76">
        <f>SUM(B76:G76)</f>
        <v>2506319.52</v>
      </c>
      <c r="K76" s="13">
        <f t="shared" si="9"/>
        <v>3.4940688647710805</v>
      </c>
      <c r="L76" s="13">
        <f t="shared" si="10"/>
        <v>0.38743064970423247</v>
      </c>
      <c r="M76" s="13">
        <f t="shared" si="11"/>
        <v>4.2397076331273196</v>
      </c>
      <c r="N76" s="13">
        <f t="shared" si="12"/>
        <v>25.253274171523032</v>
      </c>
      <c r="O76" s="13">
        <f t="shared" si="13"/>
        <v>10.576032620134566</v>
      </c>
      <c r="P76" s="13">
        <f t="shared" si="14"/>
        <v>56.049486060739774</v>
      </c>
      <c r="Q76" s="13">
        <f t="shared" si="15"/>
        <v>56.436916710444009</v>
      </c>
    </row>
    <row r="77" spans="1:17">
      <c r="A77" s="28">
        <v>42763</v>
      </c>
      <c r="B77">
        <f>Prestiti!B77+Prestiti!C77+Prestiti!D77</f>
        <v>82994.58</v>
      </c>
      <c r="C77">
        <f>Prestiti!E77+Prestiti!F77</f>
        <v>9648.8599999999988</v>
      </c>
      <c r="D77">
        <f>Prestiti!G77</f>
        <v>102952.1</v>
      </c>
      <c r="E77">
        <f>Prestiti!H77+Prestiti!K77+Prestiti!L77</f>
        <v>645656.69999999995</v>
      </c>
      <c r="F77">
        <f>Prestiti!I77+Prestiti!J77</f>
        <v>264699.76</v>
      </c>
      <c r="G77">
        <f>Prestiti!M77+Prestiti!N77+Prestiti!O77+Prestiti!P77</f>
        <v>1403817.87</v>
      </c>
      <c r="H77">
        <f t="shared" si="8"/>
        <v>1413466.7300000002</v>
      </c>
      <c r="I77">
        <f>SUM(B77:G77)</f>
        <v>2509769.87</v>
      </c>
      <c r="K77" s="13">
        <f t="shared" si="9"/>
        <v>3.3068601624419056</v>
      </c>
      <c r="L77" s="13">
        <f t="shared" si="10"/>
        <v>0.38445198164722566</v>
      </c>
      <c r="M77" s="13">
        <f t="shared" si="11"/>
        <v>4.1020533886638777</v>
      </c>
      <c r="N77" s="13">
        <f t="shared" si="12"/>
        <v>25.725733172499993</v>
      </c>
      <c r="O77" s="13">
        <f t="shared" si="13"/>
        <v>10.546774155034381</v>
      </c>
      <c r="P77" s="13">
        <f t="shared" si="14"/>
        <v>55.934127139712622</v>
      </c>
      <c r="Q77" s="13">
        <f t="shared" si="15"/>
        <v>56.318579121359846</v>
      </c>
    </row>
    <row r="78" spans="1:17">
      <c r="A78" s="28">
        <v>42732</v>
      </c>
      <c r="B78">
        <f>Prestiti!B78+Prestiti!C78+Prestiti!D78</f>
        <v>84141.170000000013</v>
      </c>
      <c r="C78">
        <f>Prestiti!E78+Prestiti!F78</f>
        <v>9344.4699999999993</v>
      </c>
      <c r="D78">
        <f>Prestiti!G78</f>
        <v>98106.94</v>
      </c>
      <c r="E78">
        <f>Prestiti!H78+Prestiti!K78+Prestiti!L78</f>
        <v>680018.28999999992</v>
      </c>
      <c r="F78">
        <f>Prestiti!I78+Prestiti!J78</f>
        <v>262204.32999999996</v>
      </c>
      <c r="G78">
        <f>Prestiti!M78+Prestiti!N78+Prestiti!O78+Prestiti!P78</f>
        <v>1399977.48</v>
      </c>
      <c r="H78">
        <f t="shared" si="8"/>
        <v>1409321.95</v>
      </c>
      <c r="I78">
        <f>SUM(B78:G78)</f>
        <v>2533792.6799999997</v>
      </c>
      <c r="K78" s="13">
        <f t="shared" si="9"/>
        <v>3.3207598500126703</v>
      </c>
      <c r="L78" s="13">
        <f t="shared" si="10"/>
        <v>0.3687937878169259</v>
      </c>
      <c r="M78" s="13">
        <f t="shared" si="11"/>
        <v>3.8719403041293816</v>
      </c>
      <c r="N78" s="13">
        <f t="shared" si="12"/>
        <v>26.837960949512251</v>
      </c>
      <c r="O78" s="13">
        <f t="shared" si="13"/>
        <v>10.348294557390544</v>
      </c>
      <c r="P78" s="13">
        <f t="shared" si="14"/>
        <v>55.252250551138225</v>
      </c>
      <c r="Q78" s="13">
        <f t="shared" si="15"/>
        <v>55.621044338955151</v>
      </c>
    </row>
    <row r="79" spans="1:17">
      <c r="A79" s="28">
        <v>42702</v>
      </c>
      <c r="B79">
        <f>Prestiti!B79+Prestiti!C79+Prestiti!D79</f>
        <v>84902.849999999991</v>
      </c>
      <c r="C79">
        <f>Prestiti!E79+Prestiti!F79</f>
        <v>9619.7000000000007</v>
      </c>
      <c r="D79">
        <f>Prestiti!G79</f>
        <v>98516.55</v>
      </c>
      <c r="E79">
        <f>Prestiti!H79+Prestiti!K79+Prestiti!L79</f>
        <v>654745.21</v>
      </c>
      <c r="F79">
        <f>Prestiti!I79+Prestiti!J79</f>
        <v>259374</v>
      </c>
      <c r="G79">
        <f>Prestiti!M79+Prestiti!N79+Prestiti!O79+Prestiti!P79</f>
        <v>1410068.61</v>
      </c>
      <c r="H79">
        <f t="shared" si="8"/>
        <v>1419688.31</v>
      </c>
      <c r="I79">
        <f>SUM(B79:G79)</f>
        <v>2517226.92</v>
      </c>
      <c r="K79" s="13">
        <f t="shared" si="9"/>
        <v>3.3728723193537111</v>
      </c>
      <c r="L79" s="13">
        <f t="shared" si="10"/>
        <v>0.38215466089167682</v>
      </c>
      <c r="M79" s="13">
        <f t="shared" si="11"/>
        <v>3.9136936450687569</v>
      </c>
      <c r="N79" s="13">
        <f t="shared" si="12"/>
        <v>26.010575558281413</v>
      </c>
      <c r="O79" s="13">
        <f t="shared" si="13"/>
        <v>10.303957817199889</v>
      </c>
      <c r="P79" s="13">
        <f t="shared" si="14"/>
        <v>56.016745999204552</v>
      </c>
      <c r="Q79" s="13">
        <f t="shared" si="15"/>
        <v>56.398900660096231</v>
      </c>
    </row>
    <row r="80" spans="1:17">
      <c r="A80" s="28">
        <v>42671</v>
      </c>
      <c r="B80">
        <f>Prestiti!B80+Prestiti!C80+Prestiti!D80</f>
        <v>82620.640000000014</v>
      </c>
      <c r="C80">
        <f>Prestiti!E80+Prestiti!F80</f>
        <v>9697.58</v>
      </c>
      <c r="D80">
        <f>Prestiti!G80</f>
        <v>98239.95</v>
      </c>
      <c r="E80">
        <f>Prestiti!H80+Prestiti!K80+Prestiti!L80</f>
        <v>661520.87</v>
      </c>
      <c r="F80">
        <f>Prestiti!I80+Prestiti!J80</f>
        <v>260958.3</v>
      </c>
      <c r="G80">
        <f>Prestiti!M80+Prestiti!N80+Prestiti!O80+Prestiti!P80</f>
        <v>1405660.0999999999</v>
      </c>
      <c r="H80">
        <f t="shared" si="8"/>
        <v>1415357.68</v>
      </c>
      <c r="I80">
        <f>SUM(B80:G80)</f>
        <v>2518697.44</v>
      </c>
      <c r="K80" s="13">
        <f t="shared" si="9"/>
        <v>3.2802923720762593</v>
      </c>
      <c r="L80" s="13">
        <f t="shared" si="10"/>
        <v>0.38502361760450277</v>
      </c>
      <c r="M80" s="13">
        <f t="shared" si="11"/>
        <v>3.9004268015613657</v>
      </c>
      <c r="N80" s="13">
        <f t="shared" si="12"/>
        <v>26.264403953179865</v>
      </c>
      <c r="O80" s="13">
        <f t="shared" si="13"/>
        <v>10.360843500122826</v>
      </c>
      <c r="P80" s="13">
        <f t="shared" si="14"/>
        <v>55.809009755455186</v>
      </c>
      <c r="Q80" s="13">
        <f t="shared" si="15"/>
        <v>56.194033373059682</v>
      </c>
    </row>
    <row r="81" spans="1:17">
      <c r="A81" s="28">
        <v>42641</v>
      </c>
      <c r="B81">
        <f>Prestiti!B81+Prestiti!C81+Prestiti!D81</f>
        <v>79626.73</v>
      </c>
      <c r="C81">
        <f>Prestiti!E81+Prestiti!F81</f>
        <v>8909.8700000000008</v>
      </c>
      <c r="D81">
        <f>Prestiti!G81</f>
        <v>88330.53</v>
      </c>
      <c r="E81">
        <f>Prestiti!H81+Prestiti!K81+Prestiti!L81</f>
        <v>666406.44999999995</v>
      </c>
      <c r="F81">
        <f>Prestiti!I81+Prestiti!J81</f>
        <v>262350.33</v>
      </c>
      <c r="G81">
        <f>Prestiti!M81+Prestiti!N81+Prestiti!O81+Prestiti!P81</f>
        <v>1406094.6099999999</v>
      </c>
      <c r="H81">
        <f t="shared" si="8"/>
        <v>1415004.48</v>
      </c>
      <c r="I81">
        <f>SUM(B81:G81)</f>
        <v>2511718.5199999996</v>
      </c>
      <c r="K81" s="13">
        <f t="shared" si="9"/>
        <v>3.1702091363326814</v>
      </c>
      <c r="L81" s="13">
        <f t="shared" si="10"/>
        <v>0.35473202626224226</v>
      </c>
      <c r="M81" s="13">
        <f t="shared" si="11"/>
        <v>3.516736819697456</v>
      </c>
      <c r="N81" s="13">
        <f t="shared" si="12"/>
        <v>26.531892196264096</v>
      </c>
      <c r="O81" s="13">
        <f t="shared" si="13"/>
        <v>10.445052975123982</v>
      </c>
      <c r="P81" s="13">
        <f t="shared" si="14"/>
        <v>55.981376846319556</v>
      </c>
      <c r="Q81" s="13">
        <f t="shared" si="15"/>
        <v>56.336108872581804</v>
      </c>
    </row>
    <row r="82" spans="1:17">
      <c r="A82" s="28">
        <v>42610</v>
      </c>
      <c r="B82">
        <f>Prestiti!B82+Prestiti!C82+Prestiti!D82</f>
        <v>78939.070000000007</v>
      </c>
      <c r="C82">
        <f>Prestiti!E82+Prestiti!F82</f>
        <v>9300.9700000000012</v>
      </c>
      <c r="D82">
        <f>Prestiti!G82</f>
        <v>90140.44</v>
      </c>
      <c r="E82">
        <f>Prestiti!H82+Prestiti!K82+Prestiti!L82</f>
        <v>652809.94999999995</v>
      </c>
      <c r="F82">
        <f>Prestiti!I82+Prestiti!J82</f>
        <v>263192.65000000002</v>
      </c>
      <c r="G82">
        <f>Prestiti!M82+Prestiti!N82+Prestiti!O82+Prestiti!P82</f>
        <v>1405540.6300000001</v>
      </c>
      <c r="H82">
        <f t="shared" si="8"/>
        <v>1414841.6</v>
      </c>
      <c r="I82">
        <f>SUM(B82:G82)</f>
        <v>2499923.71</v>
      </c>
      <c r="K82" s="13">
        <f t="shared" si="9"/>
        <v>3.1576591591268999</v>
      </c>
      <c r="L82" s="13">
        <f t="shared" si="10"/>
        <v>0.37205015348248371</v>
      </c>
      <c r="M82" s="13">
        <f t="shared" si="11"/>
        <v>3.6057276323844296</v>
      </c>
      <c r="N82" s="13">
        <f t="shared" si="12"/>
        <v>26.113194870254659</v>
      </c>
      <c r="O82" s="13">
        <f t="shared" si="13"/>
        <v>10.528027273280273</v>
      </c>
      <c r="P82" s="13">
        <f t="shared" si="14"/>
        <v>56.223340911471261</v>
      </c>
      <c r="Q82" s="13">
        <f t="shared" si="15"/>
        <v>56.595391064953738</v>
      </c>
    </row>
    <row r="83" spans="1:17">
      <c r="A83" s="28">
        <v>42579</v>
      </c>
      <c r="B83">
        <f>Prestiti!B83+Prestiti!C83+Prestiti!D83</f>
        <v>82534.240000000005</v>
      </c>
      <c r="C83">
        <f>Prestiti!E83+Prestiti!F83</f>
        <v>9484.33</v>
      </c>
      <c r="D83">
        <f>Prestiti!G83</f>
        <v>93828.7</v>
      </c>
      <c r="E83">
        <f>Prestiti!H83+Prestiti!K83+Prestiti!L83</f>
        <v>643375.01</v>
      </c>
      <c r="F83">
        <f>Prestiti!I83+Prestiti!J83</f>
        <v>265450.2</v>
      </c>
      <c r="G83">
        <f>Prestiti!M83+Prestiti!N83+Prestiti!O83+Prestiti!P83</f>
        <v>1409987.0400000003</v>
      </c>
      <c r="H83">
        <f t="shared" si="8"/>
        <v>1419471.3700000003</v>
      </c>
      <c r="I83">
        <f>SUM(B83:G83)</f>
        <v>2504659.5200000005</v>
      </c>
      <c r="K83" s="13">
        <f t="shared" si="9"/>
        <v>3.2952279278262933</v>
      </c>
      <c r="L83" s="13">
        <f t="shared" si="10"/>
        <v>0.37866743660232105</v>
      </c>
      <c r="M83" s="13">
        <f t="shared" si="11"/>
        <v>3.7461658660894548</v>
      </c>
      <c r="N83" s="13">
        <f t="shared" si="12"/>
        <v>25.687124531800631</v>
      </c>
      <c r="O83" s="13">
        <f t="shared" si="13"/>
        <v>10.598254887754162</v>
      </c>
      <c r="P83" s="13">
        <f t="shared" si="14"/>
        <v>56.294559349927134</v>
      </c>
      <c r="Q83" s="13">
        <f t="shared" si="15"/>
        <v>56.673226786529455</v>
      </c>
    </row>
    <row r="84" spans="1:17">
      <c r="A84" s="28">
        <v>42549</v>
      </c>
      <c r="B84">
        <f>Prestiti!B84+Prestiti!C84+Prestiti!D84</f>
        <v>86051.89</v>
      </c>
      <c r="C84">
        <f>Prestiti!E84+Prestiti!F84</f>
        <v>9431.08</v>
      </c>
      <c r="D84">
        <f>Prestiti!G84</f>
        <v>100489.15</v>
      </c>
      <c r="E84">
        <f>Prestiti!H84+Prestiti!K84+Prestiti!L84</f>
        <v>662648.40999999992</v>
      </c>
      <c r="F84">
        <f>Prestiti!I84+Prestiti!J84</f>
        <v>266149.11</v>
      </c>
      <c r="G84">
        <f>Prestiti!M84+Prestiti!N84+Prestiti!O84+Prestiti!P84</f>
        <v>1412997.2599999998</v>
      </c>
      <c r="H84">
        <f t="shared" si="8"/>
        <v>1422428.3399999999</v>
      </c>
      <c r="I84">
        <f>SUM(B84:G84)</f>
        <v>2537766.8999999994</v>
      </c>
      <c r="K84" s="13">
        <f t="shared" si="9"/>
        <v>3.3908508303106961</v>
      </c>
      <c r="L84" s="13">
        <f t="shared" si="10"/>
        <v>0.37162908855025267</v>
      </c>
      <c r="M84" s="13">
        <f t="shared" si="11"/>
        <v>3.9597470516303144</v>
      </c>
      <c r="N84" s="13">
        <f t="shared" si="12"/>
        <v>26.111476589910605</v>
      </c>
      <c r="O84" s="13">
        <f t="shared" si="13"/>
        <v>10.487531774490401</v>
      </c>
      <c r="P84" s="13">
        <f t="shared" si="14"/>
        <v>55.678764665107735</v>
      </c>
      <c r="Q84" s="13">
        <f t="shared" si="15"/>
        <v>56.050393753658</v>
      </c>
    </row>
    <row r="85" spans="1:17">
      <c r="A85" s="28">
        <v>42518</v>
      </c>
      <c r="B85">
        <f>Prestiti!B85+Prestiti!C85+Prestiti!D85</f>
        <v>82580.31</v>
      </c>
      <c r="C85">
        <f>Prestiti!E85+Prestiti!F85</f>
        <v>9396.98</v>
      </c>
      <c r="D85">
        <f>Prestiti!G85</f>
        <v>99112.6</v>
      </c>
      <c r="E85">
        <f>Prestiti!H85+Prestiti!K85+Prestiti!L85</f>
        <v>645476.07999999996</v>
      </c>
      <c r="F85">
        <f>Prestiti!I85+Prestiti!J85</f>
        <v>270710.62</v>
      </c>
      <c r="G85">
        <f>Prestiti!M85+Prestiti!N85+Prestiti!O85+Prestiti!P85</f>
        <v>1410833.0000000002</v>
      </c>
      <c r="H85">
        <f t="shared" si="8"/>
        <v>1420229.9800000002</v>
      </c>
      <c r="I85">
        <f>SUM(B85:G85)</f>
        <v>2518109.59</v>
      </c>
      <c r="K85" s="13">
        <f t="shared" si="9"/>
        <v>3.2794565545497165</v>
      </c>
      <c r="L85" s="13">
        <f t="shared" si="10"/>
        <v>0.37317597444200196</v>
      </c>
      <c r="M85" s="13">
        <f t="shared" si="11"/>
        <v>3.9359923171572531</v>
      </c>
      <c r="N85" s="13">
        <f t="shared" si="12"/>
        <v>25.633359348748598</v>
      </c>
      <c r="O85" s="13">
        <f t="shared" si="13"/>
        <v>10.750549581918714</v>
      </c>
      <c r="P85" s="13">
        <f t="shared" si="14"/>
        <v>56.02746622318373</v>
      </c>
      <c r="Q85" s="13">
        <f t="shared" si="15"/>
        <v>56.400642197625729</v>
      </c>
    </row>
    <row r="86" spans="1:17">
      <c r="A86" s="28">
        <v>42488</v>
      </c>
      <c r="B86">
        <f>Prestiti!B86+Prestiti!C86+Prestiti!D86</f>
        <v>87749.34</v>
      </c>
      <c r="C86">
        <f>Prestiti!E86+Prestiti!F86</f>
        <v>9442.44</v>
      </c>
      <c r="D86">
        <f>Prestiti!G86</f>
        <v>90798.25</v>
      </c>
      <c r="E86">
        <f>Prestiti!H86+Prestiti!K86+Prestiti!L86</f>
        <v>670345.34000000008</v>
      </c>
      <c r="F86">
        <f>Prestiti!I86+Prestiti!J86</f>
        <v>270232.12</v>
      </c>
      <c r="G86">
        <f>Prestiti!M86+Prestiti!N86+Prestiti!O86+Prestiti!P86</f>
        <v>1402470.4000000001</v>
      </c>
      <c r="H86">
        <f t="shared" si="8"/>
        <v>1411912.84</v>
      </c>
      <c r="I86">
        <f>SUM(B86:G86)</f>
        <v>2531037.8900000006</v>
      </c>
      <c r="K86" s="13">
        <f t="shared" si="9"/>
        <v>3.4669311094351092</v>
      </c>
      <c r="L86" s="13">
        <f t="shared" si="10"/>
        <v>0.37306592830184765</v>
      </c>
      <c r="M86" s="13">
        <f t="shared" si="11"/>
        <v>3.5873919690708376</v>
      </c>
      <c r="N86" s="13">
        <f t="shared" si="12"/>
        <v>26.484998215494905</v>
      </c>
      <c r="O86" s="13">
        <f t="shared" si="13"/>
        <v>10.676731512699714</v>
      </c>
      <c r="P86" s="13">
        <f t="shared" si="14"/>
        <v>55.41088126499757</v>
      </c>
      <c r="Q86" s="13">
        <f t="shared" si="15"/>
        <v>55.783947193299412</v>
      </c>
    </row>
    <row r="87" spans="1:17">
      <c r="A87" s="28">
        <v>42457</v>
      </c>
      <c r="B87">
        <f>Prestiti!B87+Prestiti!C87+Prestiti!D87</f>
        <v>87015.18</v>
      </c>
      <c r="C87">
        <f>Prestiti!E87+Prestiti!F87</f>
        <v>9894</v>
      </c>
      <c r="D87">
        <f>Prestiti!G87</f>
        <v>92707.18</v>
      </c>
      <c r="E87">
        <f>Prestiti!H87+Prestiti!K87+Prestiti!L87</f>
        <v>674557.66999999993</v>
      </c>
      <c r="F87">
        <f>Prestiti!I87+Prestiti!J87</f>
        <v>272182.40000000002</v>
      </c>
      <c r="G87">
        <f>Prestiti!M87+Prestiti!N87+Prestiti!O87+Prestiti!P87</f>
        <v>1407283.77</v>
      </c>
      <c r="H87">
        <f t="shared" si="8"/>
        <v>1417177.77</v>
      </c>
      <c r="I87">
        <f>SUM(B87:G87)</f>
        <v>2543640.2000000002</v>
      </c>
      <c r="K87" s="13">
        <f t="shared" si="9"/>
        <v>3.4208918383975844</v>
      </c>
      <c r="L87" s="13">
        <f t="shared" si="10"/>
        <v>0.38897010669983906</v>
      </c>
      <c r="M87" s="13">
        <f t="shared" si="11"/>
        <v>3.6446656252720011</v>
      </c>
      <c r="N87" s="13">
        <f t="shared" si="12"/>
        <v>26.519382340316838</v>
      </c>
      <c r="O87" s="13">
        <f t="shared" si="13"/>
        <v>10.700507092158711</v>
      </c>
      <c r="P87" s="13">
        <f t="shared" si="14"/>
        <v>55.325582997155024</v>
      </c>
      <c r="Q87" s="13">
        <f t="shared" si="15"/>
        <v>55.714553103854861</v>
      </c>
    </row>
    <row r="88" spans="1:17">
      <c r="A88" s="28">
        <v>42428</v>
      </c>
      <c r="B88">
        <f>Prestiti!B88+Prestiti!C88+Prestiti!D88</f>
        <v>85927.33</v>
      </c>
      <c r="C88">
        <f>Prestiti!E88+Prestiti!F88</f>
        <v>9317.7000000000007</v>
      </c>
      <c r="D88">
        <f>Prestiti!G88</f>
        <v>93548.13</v>
      </c>
      <c r="E88">
        <f>Prestiti!H88+Prestiti!K88+Prestiti!L88</f>
        <v>672774.07000000007</v>
      </c>
      <c r="F88">
        <f>Prestiti!I88+Prestiti!J88</f>
        <v>273457.41000000003</v>
      </c>
      <c r="G88">
        <f>Prestiti!M88+Prestiti!N88+Prestiti!O88+Prestiti!P88</f>
        <v>1409013.2399999998</v>
      </c>
      <c r="H88">
        <f t="shared" si="8"/>
        <v>1418330.9399999997</v>
      </c>
      <c r="I88">
        <f>SUM(B88:G88)</f>
        <v>2544037.88</v>
      </c>
      <c r="K88" s="13">
        <f t="shared" si="9"/>
        <v>3.3775963272999698</v>
      </c>
      <c r="L88" s="13">
        <f t="shared" si="10"/>
        <v>0.36625633891897874</v>
      </c>
      <c r="M88" s="13">
        <f t="shared" si="11"/>
        <v>3.6771516153682433</v>
      </c>
      <c r="N88" s="13">
        <f t="shared" si="12"/>
        <v>26.445127853206341</v>
      </c>
      <c r="O88" s="13">
        <f t="shared" si="13"/>
        <v>10.748951977082985</v>
      </c>
      <c r="P88" s="13">
        <f t="shared" si="14"/>
        <v>55.384915888123487</v>
      </c>
      <c r="Q88" s="13">
        <f t="shared" si="15"/>
        <v>55.751172227042453</v>
      </c>
    </row>
    <row r="89" spans="1:17">
      <c r="A89" s="28">
        <v>42397</v>
      </c>
      <c r="B89">
        <f>Prestiti!B89+Prestiti!C89+Prestiti!D89</f>
        <v>82263.360000000001</v>
      </c>
      <c r="C89">
        <f>Prestiti!E89+Prestiti!F89</f>
        <v>7863.75</v>
      </c>
      <c r="D89">
        <f>Prestiti!G89</f>
        <v>97293.63</v>
      </c>
      <c r="E89">
        <f>Prestiti!H89+Prestiti!K89+Prestiti!L89</f>
        <v>661813.42999999993</v>
      </c>
      <c r="F89">
        <f>Prestiti!I89+Prestiti!J89</f>
        <v>273081.53999999998</v>
      </c>
      <c r="G89">
        <f>Prestiti!M89+Prestiti!N89+Prestiti!O89+Prestiti!P89</f>
        <v>1410313.36</v>
      </c>
      <c r="H89">
        <f t="shared" si="8"/>
        <v>1418177.11</v>
      </c>
      <c r="I89">
        <f>SUM(B89:G89)</f>
        <v>2532629.0700000003</v>
      </c>
      <c r="K89" s="13">
        <f t="shared" si="9"/>
        <v>3.2481408736258404</v>
      </c>
      <c r="L89" s="13">
        <f t="shared" si="10"/>
        <v>0.31049750210756283</v>
      </c>
      <c r="M89" s="13">
        <f t="shared" si="11"/>
        <v>3.8416059877256323</v>
      </c>
      <c r="N89" s="13">
        <f t="shared" si="12"/>
        <v>26.131478858844492</v>
      </c>
      <c r="O89" s="13">
        <f t="shared" si="13"/>
        <v>10.782532003393609</v>
      </c>
      <c r="P89" s="13">
        <f t="shared" si="14"/>
        <v>55.685744774302847</v>
      </c>
      <c r="Q89" s="13">
        <f t="shared" si="15"/>
        <v>55.996242276410413</v>
      </c>
    </row>
    <row r="90" spans="1:17">
      <c r="A90" s="28">
        <v>42366</v>
      </c>
      <c r="B90">
        <f>Prestiti!B90+Prestiti!C90+Prestiti!D90</f>
        <v>85723.669999999984</v>
      </c>
      <c r="C90">
        <f>Prestiti!E90+Prestiti!F90</f>
        <v>8027.87</v>
      </c>
      <c r="D90">
        <f>Prestiti!G90</f>
        <v>97703.64</v>
      </c>
      <c r="E90">
        <f>Prestiti!H90+Prestiti!K90+Prestiti!L90</f>
        <v>648746.1</v>
      </c>
      <c r="F90">
        <f>Prestiti!I90+Prestiti!J90</f>
        <v>271534.28999999998</v>
      </c>
      <c r="G90">
        <f>Prestiti!M90+Prestiti!N90+Prestiti!O90+Prestiti!P90</f>
        <v>1413014.26</v>
      </c>
      <c r="H90">
        <f t="shared" si="8"/>
        <v>1421042.1300000001</v>
      </c>
      <c r="I90">
        <f>SUM(B90:G90)</f>
        <v>2524749.83</v>
      </c>
      <c r="K90" s="13">
        <f t="shared" si="9"/>
        <v>3.395333231886978</v>
      </c>
      <c r="L90" s="13">
        <f t="shared" si="10"/>
        <v>0.3179669488283518</v>
      </c>
      <c r="M90" s="13">
        <f t="shared" si="11"/>
        <v>3.8698345015830733</v>
      </c>
      <c r="N90" s="13">
        <f t="shared" si="12"/>
        <v>25.695460686495025</v>
      </c>
      <c r="O90" s="13">
        <f t="shared" si="13"/>
        <v>10.754898832887532</v>
      </c>
      <c r="P90" s="13">
        <f t="shared" si="14"/>
        <v>55.966505798319034</v>
      </c>
      <c r="Q90" s="13">
        <f t="shared" si="15"/>
        <v>56.284472747147397</v>
      </c>
    </row>
    <row r="91" spans="1:17">
      <c r="A91" s="28">
        <v>42336</v>
      </c>
      <c r="B91">
        <f>Prestiti!B91+Prestiti!C91+Prestiti!D91</f>
        <v>88995.05</v>
      </c>
      <c r="C91">
        <f>Prestiti!E91+Prestiti!F91</f>
        <v>7509.5499999999993</v>
      </c>
      <c r="D91">
        <f>Prestiti!G91</f>
        <v>98996.81</v>
      </c>
      <c r="E91">
        <f>Prestiti!H91+Prestiti!K91+Prestiti!L91</f>
        <v>644083.16</v>
      </c>
      <c r="F91">
        <f>Prestiti!I91+Prestiti!J91</f>
        <v>267812.93</v>
      </c>
      <c r="G91">
        <f>Prestiti!M91+Prestiti!N91+Prestiti!O91+Prestiti!P91</f>
        <v>1424329.3499999999</v>
      </c>
      <c r="H91">
        <f t="shared" si="8"/>
        <v>1431838.9</v>
      </c>
      <c r="I91">
        <f>SUM(B91:G91)</f>
        <v>2531726.8499999996</v>
      </c>
      <c r="K91" s="13">
        <f t="shared" si="9"/>
        <v>3.5151916171367392</v>
      </c>
      <c r="L91" s="13">
        <f t="shared" si="10"/>
        <v>0.29661770186621833</v>
      </c>
      <c r="M91" s="13">
        <f t="shared" si="11"/>
        <v>3.9102484535407136</v>
      </c>
      <c r="N91" s="13">
        <f t="shared" si="12"/>
        <v>25.440468034693396</v>
      </c>
      <c r="O91" s="13">
        <f t="shared" si="13"/>
        <v>10.578271111672258</v>
      </c>
      <c r="P91" s="13">
        <f t="shared" si="14"/>
        <v>56.259203081090682</v>
      </c>
      <c r="Q91" s="13">
        <f t="shared" si="15"/>
        <v>56.5558207829569</v>
      </c>
    </row>
    <row r="92" spans="1:17">
      <c r="A92" s="28">
        <v>42305</v>
      </c>
      <c r="B92">
        <f>Prestiti!B92+Prestiti!C92+Prestiti!D92</f>
        <v>87781.290000000008</v>
      </c>
      <c r="C92">
        <f>Prestiti!E92+Prestiti!F92</f>
        <v>7747.26</v>
      </c>
      <c r="D92">
        <f>Prestiti!G92</f>
        <v>98521.71</v>
      </c>
      <c r="E92">
        <f>Prestiti!H92+Prestiti!K92+Prestiti!L92</f>
        <v>642749.97000000009</v>
      </c>
      <c r="F92">
        <f>Prestiti!I92+Prestiti!J92</f>
        <v>266825.58</v>
      </c>
      <c r="G92">
        <f>Prestiti!M92+Prestiti!N92+Prestiti!O92+Prestiti!P92</f>
        <v>1412408.6300000001</v>
      </c>
      <c r="H92">
        <f t="shared" si="8"/>
        <v>1420155.8900000001</v>
      </c>
      <c r="I92">
        <f>SUM(B92:G92)</f>
        <v>2516034.4400000004</v>
      </c>
      <c r="K92" s="13">
        <f t="shared" si="9"/>
        <v>3.4888747389324286</v>
      </c>
      <c r="L92" s="13">
        <f t="shared" si="10"/>
        <v>0.3079154989627248</v>
      </c>
      <c r="M92" s="13">
        <f t="shared" si="11"/>
        <v>3.9157536333246692</v>
      </c>
      <c r="N92" s="13">
        <f t="shared" si="12"/>
        <v>25.546151506574766</v>
      </c>
      <c r="O92" s="13">
        <f t="shared" si="13"/>
        <v>10.605005072983023</v>
      </c>
      <c r="P92" s="13">
        <f t="shared" si="14"/>
        <v>56.136299549222379</v>
      </c>
      <c r="Q92" s="13">
        <f t="shared" si="15"/>
        <v>56.444215048185107</v>
      </c>
    </row>
    <row r="93" spans="1:17">
      <c r="A93" s="28">
        <v>42275</v>
      </c>
      <c r="B93">
        <f>Prestiti!B93+Prestiti!C93+Prestiti!D93</f>
        <v>89752.97</v>
      </c>
      <c r="C93">
        <f>Prestiti!E93+Prestiti!F93</f>
        <v>7823.3099999999995</v>
      </c>
      <c r="D93">
        <f>Prestiti!G93</f>
        <v>93885.35</v>
      </c>
      <c r="E93">
        <f>Prestiti!H93+Prestiti!K93+Prestiti!L93</f>
        <v>646885.85000000009</v>
      </c>
      <c r="F93">
        <f>Prestiti!I93+Prestiti!J93</f>
        <v>268862.88</v>
      </c>
      <c r="G93">
        <f>Prestiti!M93+Prestiti!N93+Prestiti!O93+Prestiti!P93</f>
        <v>1412226.29</v>
      </c>
      <c r="H93">
        <f t="shared" si="8"/>
        <v>1420049.6</v>
      </c>
      <c r="I93">
        <f>SUM(B93:G93)</f>
        <v>2519436.6500000004</v>
      </c>
      <c r="K93" s="13">
        <f t="shared" si="9"/>
        <v>3.5624221787834989</v>
      </c>
      <c r="L93" s="13">
        <f t="shared" si="10"/>
        <v>0.31051822636619969</v>
      </c>
      <c r="M93" s="13">
        <f t="shared" si="11"/>
        <v>3.7264421790482407</v>
      </c>
      <c r="N93" s="13">
        <f t="shared" si="12"/>
        <v>25.675813281512756</v>
      </c>
      <c r="O93" s="13">
        <f t="shared" si="13"/>
        <v>10.671547546154811</v>
      </c>
      <c r="P93" s="13">
        <f t="shared" si="14"/>
        <v>56.053256588134495</v>
      </c>
      <c r="Q93" s="13">
        <f t="shared" si="15"/>
        <v>56.363774814500687</v>
      </c>
    </row>
    <row r="94" spans="1:17">
      <c r="A94" s="28">
        <v>42244</v>
      </c>
      <c r="B94">
        <f>Prestiti!B94+Prestiti!C94+Prestiti!D94</f>
        <v>93144.700000000012</v>
      </c>
      <c r="C94">
        <f>Prestiti!E94+Prestiti!F94</f>
        <v>7808.8099999999995</v>
      </c>
      <c r="D94">
        <f>Prestiti!G94</f>
        <v>95714.57</v>
      </c>
      <c r="E94">
        <f>Prestiti!H94+Prestiti!K94+Prestiti!L94</f>
        <v>639119.31000000006</v>
      </c>
      <c r="F94">
        <f>Prestiti!I94+Prestiti!J94</f>
        <v>270684.83</v>
      </c>
      <c r="G94">
        <f>Prestiti!M94+Prestiti!N94+Prestiti!O94+Prestiti!P94</f>
        <v>1408865.94</v>
      </c>
      <c r="H94">
        <f t="shared" si="8"/>
        <v>1416674.75</v>
      </c>
      <c r="I94">
        <f>SUM(B94:G94)</f>
        <v>2515338.16</v>
      </c>
      <c r="K94" s="13">
        <f t="shared" si="9"/>
        <v>3.7030686959402712</v>
      </c>
      <c r="L94" s="13">
        <f t="shared" si="10"/>
        <v>0.31044772127179904</v>
      </c>
      <c r="M94" s="13">
        <f t="shared" si="11"/>
        <v>3.8052366684565389</v>
      </c>
      <c r="N94" s="13">
        <f t="shared" si="12"/>
        <v>25.408882199759574</v>
      </c>
      <c r="O94" s="13">
        <f t="shared" si="13"/>
        <v>10.761369357987238</v>
      </c>
      <c r="P94" s="13">
        <f t="shared" si="14"/>
        <v>56.010995356584573</v>
      </c>
      <c r="Q94" s="13">
        <f t="shared" si="15"/>
        <v>56.321443077856372</v>
      </c>
    </row>
    <row r="95" spans="1:17">
      <c r="A95" s="28">
        <v>42213</v>
      </c>
      <c r="B95">
        <f>Prestiti!B95+Prestiti!C95+Prestiti!D95</f>
        <v>87120.86</v>
      </c>
      <c r="C95">
        <f>Prestiti!E95+Prestiti!F95</f>
        <v>8033.0499999999993</v>
      </c>
      <c r="D95">
        <f>Prestiti!G95</f>
        <v>101718.23</v>
      </c>
      <c r="E95">
        <f>Prestiti!H95+Prestiti!K95+Prestiti!L95</f>
        <v>636183.07000000007</v>
      </c>
      <c r="F95">
        <f>Prestiti!I95+Prestiti!J95</f>
        <v>271339.17</v>
      </c>
      <c r="G95">
        <f>Prestiti!M95+Prestiti!N95+Prestiti!O95+Prestiti!P95</f>
        <v>1419911.61</v>
      </c>
      <c r="H95">
        <f t="shared" si="8"/>
        <v>1427944.6600000001</v>
      </c>
      <c r="I95">
        <f>SUM(B95:G95)</f>
        <v>2524305.9900000002</v>
      </c>
      <c r="K95" s="13">
        <f t="shared" si="9"/>
        <v>3.4512796921263891</v>
      </c>
      <c r="L95" s="13">
        <f t="shared" si="10"/>
        <v>0.31822806077483495</v>
      </c>
      <c r="M95" s="13">
        <f t="shared" si="11"/>
        <v>4.0295522968671476</v>
      </c>
      <c r="N95" s="13">
        <f t="shared" si="12"/>
        <v>25.20229609723344</v>
      </c>
      <c r="O95" s="13">
        <f t="shared" si="13"/>
        <v>10.749060180299297</v>
      </c>
      <c r="P95" s="13">
        <f t="shared" si="14"/>
        <v>56.24958367269889</v>
      </c>
      <c r="Q95" s="13">
        <f t="shared" si="15"/>
        <v>56.567811733473725</v>
      </c>
    </row>
    <row r="96" spans="1:17">
      <c r="A96" s="28">
        <v>42183</v>
      </c>
      <c r="B96">
        <f>Prestiti!B96+Prestiti!C96+Prestiti!D96</f>
        <v>90394.38</v>
      </c>
      <c r="C96">
        <f>Prestiti!E96+Prestiti!F96</f>
        <v>8070.83</v>
      </c>
      <c r="D96">
        <f>Prestiti!G96</f>
        <v>100049.5</v>
      </c>
      <c r="E96">
        <f>Prestiti!H96+Prestiti!K96+Prestiti!L96</f>
        <v>644079.72000000009</v>
      </c>
      <c r="F96">
        <f>Prestiti!I96+Prestiti!J96</f>
        <v>276075.71000000002</v>
      </c>
      <c r="G96">
        <f>Prestiti!M96+Prestiti!N96+Prestiti!O96+Prestiti!P96</f>
        <v>1419049.7999999998</v>
      </c>
      <c r="H96">
        <f t="shared" si="8"/>
        <v>1427120.63</v>
      </c>
      <c r="I96">
        <f>SUM(B96:G96)</f>
        <v>2537719.94</v>
      </c>
      <c r="K96" s="13">
        <f t="shared" si="9"/>
        <v>3.5620313563836365</v>
      </c>
      <c r="L96" s="13">
        <f t="shared" si="10"/>
        <v>0.31803470007805512</v>
      </c>
      <c r="M96" s="13">
        <f t="shared" si="11"/>
        <v>3.9424957192084795</v>
      </c>
      <c r="N96" s="13">
        <f t="shared" si="12"/>
        <v>25.380252164468551</v>
      </c>
      <c r="O96" s="13">
        <f t="shared" si="13"/>
        <v>10.878887998964929</v>
      </c>
      <c r="P96" s="13">
        <f t="shared" si="14"/>
        <v>55.91829806089634</v>
      </c>
      <c r="Q96" s="13">
        <f t="shared" si="15"/>
        <v>56.236332760974406</v>
      </c>
    </row>
    <row r="97" spans="1:17">
      <c r="A97" s="28">
        <v>42152</v>
      </c>
      <c r="B97">
        <f>Prestiti!B97+Prestiti!C97+Prestiti!D97</f>
        <v>87638.12000000001</v>
      </c>
      <c r="C97">
        <f>Prestiti!E97+Prestiti!F97</f>
        <v>7519.44</v>
      </c>
      <c r="D97">
        <f>Prestiti!G97</f>
        <v>102760.44</v>
      </c>
      <c r="E97">
        <f>Prestiti!H97+Prestiti!K97+Prestiti!L97</f>
        <v>642366.30000000005</v>
      </c>
      <c r="F97">
        <f>Prestiti!I97+Prestiti!J97</f>
        <v>273334.20999999996</v>
      </c>
      <c r="G97">
        <f>Prestiti!M97+Prestiti!N97+Prestiti!O97+Prestiti!P97</f>
        <v>1402122.45</v>
      </c>
      <c r="H97">
        <f t="shared" si="8"/>
        <v>1409641.89</v>
      </c>
      <c r="I97">
        <f>SUM(B97:G97)</f>
        <v>2515740.96</v>
      </c>
      <c r="K97" s="13">
        <f t="shared" si="9"/>
        <v>3.4835907747831087</v>
      </c>
      <c r="L97" s="13">
        <f t="shared" si="10"/>
        <v>0.29889563828542981</v>
      </c>
      <c r="M97" s="13">
        <f t="shared" si="11"/>
        <v>4.0846987680321423</v>
      </c>
      <c r="N97" s="13">
        <f t="shared" si="12"/>
        <v>25.533880880963199</v>
      </c>
      <c r="O97" s="13">
        <f t="shared" si="13"/>
        <v>10.864958449458166</v>
      </c>
      <c r="P97" s="13">
        <f t="shared" si="14"/>
        <v>55.733975488477952</v>
      </c>
      <c r="Q97" s="13">
        <f t="shared" si="15"/>
        <v>56.032871126763382</v>
      </c>
    </row>
    <row r="98" spans="1:17">
      <c r="A98" s="28">
        <v>42122</v>
      </c>
      <c r="B98">
        <f>Prestiti!B98+Prestiti!C98+Prestiti!D98</f>
        <v>85747.27</v>
      </c>
      <c r="C98">
        <f>Prestiti!E98+Prestiti!F98</f>
        <v>7454.25</v>
      </c>
      <c r="D98">
        <f>Prestiti!G98</f>
        <v>108160.17</v>
      </c>
      <c r="E98">
        <f>Prestiti!H98+Prestiti!K98+Prestiti!L98</f>
        <v>643512.93000000005</v>
      </c>
      <c r="F98">
        <f>Prestiti!I98+Prestiti!J98</f>
        <v>271143.27</v>
      </c>
      <c r="G98">
        <f>Prestiti!M98+Prestiti!N98+Prestiti!O98+Prestiti!P98</f>
        <v>1405803.63</v>
      </c>
      <c r="H98">
        <f t="shared" si="8"/>
        <v>1413257.88</v>
      </c>
      <c r="I98">
        <f>SUM(B98:G98)</f>
        <v>2521821.52</v>
      </c>
      <c r="K98" s="13">
        <f t="shared" si="9"/>
        <v>3.4002116850838835</v>
      </c>
      <c r="L98" s="13">
        <f t="shared" si="10"/>
        <v>0.2955899115334697</v>
      </c>
      <c r="M98" s="13">
        <f t="shared" si="11"/>
        <v>4.2889700616084836</v>
      </c>
      <c r="N98" s="13">
        <f t="shared" si="12"/>
        <v>25.517782479705385</v>
      </c>
      <c r="O98" s="13">
        <f t="shared" si="13"/>
        <v>10.751881838172276</v>
      </c>
      <c r="P98" s="13">
        <f t="shared" si="14"/>
        <v>55.745564023896499</v>
      </c>
      <c r="Q98" s="13">
        <f t="shared" si="15"/>
        <v>56.041153935429968</v>
      </c>
    </row>
    <row r="99" spans="1:17">
      <c r="A99" s="28">
        <v>42091</v>
      </c>
      <c r="B99">
        <f>Prestiti!B99+Prestiti!C99+Prestiti!D99</f>
        <v>87059.469999999987</v>
      </c>
      <c r="C99">
        <f>Prestiti!E99+Prestiti!F99</f>
        <v>7497.86</v>
      </c>
      <c r="D99">
        <f>Prestiti!G99</f>
        <v>108515.86</v>
      </c>
      <c r="E99">
        <f>Prestiti!H99+Prestiti!K99+Prestiti!L99</f>
        <v>653267.71000000008</v>
      </c>
      <c r="F99">
        <f>Prestiti!I99+Prestiti!J99</f>
        <v>270917.92</v>
      </c>
      <c r="G99">
        <f>Prestiti!M99+Prestiti!N99+Prestiti!O99+Prestiti!P99</f>
        <v>1408713.8299999998</v>
      </c>
      <c r="H99">
        <f t="shared" si="8"/>
        <v>1416211.69</v>
      </c>
      <c r="I99">
        <f>SUM(B99:G99)</f>
        <v>2535972.65</v>
      </c>
      <c r="K99" s="13">
        <f t="shared" si="9"/>
        <v>3.4329814243067642</v>
      </c>
      <c r="L99" s="13">
        <f t="shared" si="10"/>
        <v>0.2956601286689744</v>
      </c>
      <c r="M99" s="13">
        <f t="shared" si="11"/>
        <v>4.2790627099231529</v>
      </c>
      <c r="N99" s="13">
        <f t="shared" si="12"/>
        <v>25.760045558850962</v>
      </c>
      <c r="O99" s="13">
        <f t="shared" si="13"/>
        <v>10.682998493694322</v>
      </c>
      <c r="P99" s="13">
        <f t="shared" si="14"/>
        <v>55.54925168455582</v>
      </c>
      <c r="Q99" s="13">
        <f t="shared" si="15"/>
        <v>55.844911813224797</v>
      </c>
    </row>
    <row r="100" spans="1:17">
      <c r="A100" s="28">
        <v>42063</v>
      </c>
      <c r="B100">
        <f>Prestiti!B100+Prestiti!C100+Prestiti!D100</f>
        <v>86964.049999999988</v>
      </c>
      <c r="C100">
        <f>Prestiti!E100+Prestiti!F100</f>
        <v>6983.82</v>
      </c>
      <c r="D100">
        <f>Prestiti!G100</f>
        <v>102604.37</v>
      </c>
      <c r="E100">
        <f>Prestiti!H100+Prestiti!K100+Prestiti!L100</f>
        <v>634672.77</v>
      </c>
      <c r="F100">
        <f>Prestiti!I100+Prestiti!J100</f>
        <v>269112.23</v>
      </c>
      <c r="G100">
        <f>Prestiti!M100+Prestiti!N100+Prestiti!O100+Prestiti!P100</f>
        <v>1403504.8</v>
      </c>
      <c r="H100">
        <f t="shared" si="8"/>
        <v>1410488.62</v>
      </c>
      <c r="I100">
        <f>SUM(B100:G100)</f>
        <v>2503842.04</v>
      </c>
      <c r="K100" s="13">
        <f t="shared" si="9"/>
        <v>3.4732242933344142</v>
      </c>
      <c r="L100" s="13">
        <f t="shared" si="10"/>
        <v>0.27892414491131395</v>
      </c>
      <c r="M100" s="13">
        <f t="shared" si="11"/>
        <v>4.0978771168807437</v>
      </c>
      <c r="N100" s="13">
        <f t="shared" si="12"/>
        <v>25.347955656180293</v>
      </c>
      <c r="O100" s="13">
        <f t="shared" si="13"/>
        <v>10.747971545361542</v>
      </c>
      <c r="P100" s="13">
        <f t="shared" si="14"/>
        <v>56.054047243331695</v>
      </c>
      <c r="Q100" s="13">
        <f t="shared" si="15"/>
        <v>56.332971388243017</v>
      </c>
    </row>
    <row r="101" spans="1:17">
      <c r="A101" s="28">
        <v>42032</v>
      </c>
      <c r="B101">
        <f>Prestiti!B101+Prestiti!C101+Prestiti!D101</f>
        <v>90149.119999999995</v>
      </c>
      <c r="C101">
        <f>Prestiti!E101+Prestiti!F101</f>
        <v>7006.17</v>
      </c>
      <c r="D101">
        <f>Prestiti!G101</f>
        <v>104513.95</v>
      </c>
      <c r="E101">
        <f>Prestiti!H101+Prestiti!K101+Prestiti!L101</f>
        <v>636664.01</v>
      </c>
      <c r="F101">
        <f>Prestiti!I101+Prestiti!J101</f>
        <v>269121.19999999995</v>
      </c>
      <c r="G101">
        <f>Prestiti!M101+Prestiti!N101+Prestiti!O101+Prestiti!P101</f>
        <v>1408948.27</v>
      </c>
      <c r="H101">
        <f t="shared" si="8"/>
        <v>1415954.44</v>
      </c>
      <c r="I101">
        <f>SUM(B101:G101)</f>
        <v>2516402.7199999997</v>
      </c>
      <c r="K101" s="13">
        <f t="shared" si="9"/>
        <v>3.5824599649137241</v>
      </c>
      <c r="L101" s="13">
        <f t="shared" si="10"/>
        <v>0.27842006147569259</v>
      </c>
      <c r="M101" s="13">
        <f t="shared" si="11"/>
        <v>4.153307782150228</v>
      </c>
      <c r="N101" s="13">
        <f t="shared" si="12"/>
        <v>25.300561191572708</v>
      </c>
      <c r="O101" s="13">
        <f t="shared" si="13"/>
        <v>10.694679268189631</v>
      </c>
      <c r="P101" s="13">
        <f t="shared" si="14"/>
        <v>55.990571731698026</v>
      </c>
      <c r="Q101" s="13">
        <f t="shared" si="15"/>
        <v>56.268991793173718</v>
      </c>
    </row>
    <row r="102" spans="1:17">
      <c r="A102" s="28">
        <v>42001</v>
      </c>
      <c r="B102">
        <f>Prestiti!B102+Prestiti!C102+Prestiti!D102</f>
        <v>89287.250000000015</v>
      </c>
      <c r="C102">
        <f>Prestiti!E102+Prestiti!F102</f>
        <v>6916.87</v>
      </c>
      <c r="D102">
        <f>Prestiti!G102</f>
        <v>96260.47</v>
      </c>
      <c r="E102">
        <f>Prestiti!H102+Prestiti!K102+Prestiti!L102</f>
        <v>639152.15</v>
      </c>
      <c r="F102">
        <f>Prestiti!I102+Prestiti!J102</f>
        <v>270492.09999999998</v>
      </c>
      <c r="G102">
        <f>Prestiti!M102+Prestiti!N102+Prestiti!O102+Prestiti!P102</f>
        <v>1404193.33</v>
      </c>
      <c r="H102">
        <f t="shared" si="8"/>
        <v>1411110.2000000002</v>
      </c>
      <c r="I102">
        <f>SUM(B102:G102)</f>
        <v>2506302.17</v>
      </c>
      <c r="K102" s="13">
        <f t="shared" si="9"/>
        <v>3.5625093840939384</v>
      </c>
      <c r="L102" s="13">
        <f t="shared" si="10"/>
        <v>0.27597909313544583</v>
      </c>
      <c r="M102" s="13">
        <f t="shared" si="11"/>
        <v>3.8407368094805583</v>
      </c>
      <c r="N102" s="13">
        <f t="shared" si="12"/>
        <v>25.501799330126261</v>
      </c>
      <c r="O102" s="13">
        <f t="shared" si="13"/>
        <v>10.792477588606166</v>
      </c>
      <c r="P102" s="13">
        <f t="shared" si="14"/>
        <v>56.026497794557642</v>
      </c>
      <c r="Q102" s="13">
        <f t="shared" si="15"/>
        <v>56.302476887693089</v>
      </c>
    </row>
    <row r="103" spans="1:17">
      <c r="A103" s="28">
        <v>41971</v>
      </c>
      <c r="B103">
        <f>Prestiti!B103+Prestiti!C103+Prestiti!D103</f>
        <v>87558.06</v>
      </c>
      <c r="C103">
        <f>Prestiti!E103+Prestiti!F103</f>
        <v>6685.7300000000005</v>
      </c>
      <c r="D103">
        <f>Prestiti!G103</f>
        <v>91788.02</v>
      </c>
      <c r="E103">
        <f>Prestiti!H103+Prestiti!K103+Prestiti!L103</f>
        <v>627982.54</v>
      </c>
      <c r="F103">
        <f>Prestiti!I103+Prestiti!J103</f>
        <v>265587.7</v>
      </c>
      <c r="G103">
        <f>Prestiti!M103+Prestiti!N103+Prestiti!O103+Prestiti!P103</f>
        <v>1413815.28</v>
      </c>
      <c r="H103">
        <f t="shared" si="8"/>
        <v>1420501.01</v>
      </c>
      <c r="I103">
        <f>SUM(B103:G103)</f>
        <v>2493417.33</v>
      </c>
      <c r="K103" s="13">
        <f t="shared" si="9"/>
        <v>3.5115685989075884</v>
      </c>
      <c r="L103" s="13">
        <f t="shared" si="10"/>
        <v>0.268135218262881</v>
      </c>
      <c r="M103" s="13">
        <f t="shared" si="11"/>
        <v>3.6812136859576574</v>
      </c>
      <c r="N103" s="13">
        <f t="shared" si="12"/>
        <v>25.185617042294322</v>
      </c>
      <c r="O103" s="13">
        <f t="shared" si="13"/>
        <v>10.651554266689885</v>
      </c>
      <c r="P103" s="13">
        <f t="shared" si="14"/>
        <v>56.701911187887667</v>
      </c>
      <c r="Q103" s="13">
        <f t="shared" si="15"/>
        <v>56.970046406150551</v>
      </c>
    </row>
    <row r="104" spans="1:17">
      <c r="A104" s="28">
        <v>41940</v>
      </c>
      <c r="B104">
        <f>Prestiti!B104+Prestiti!C104+Prestiti!D104</f>
        <v>87061.72</v>
      </c>
      <c r="C104">
        <f>Prestiti!E104+Prestiti!F104</f>
        <v>6634.68</v>
      </c>
      <c r="D104">
        <f>Prestiti!G104</f>
        <v>93621.03</v>
      </c>
      <c r="E104">
        <f>Prestiti!H104+Prestiti!K104+Prestiti!L104</f>
        <v>604144.62</v>
      </c>
      <c r="F104">
        <f>Prestiti!I104+Prestiti!J104</f>
        <v>260466.86</v>
      </c>
      <c r="G104">
        <f>Prestiti!M104+Prestiti!N104+Prestiti!O104+Prestiti!P104</f>
        <v>1416273.9</v>
      </c>
      <c r="H104">
        <f t="shared" si="8"/>
        <v>1422908.5799999998</v>
      </c>
      <c r="I104">
        <f>SUM(B104:G104)</f>
        <v>2468202.81</v>
      </c>
      <c r="K104" s="13">
        <f t="shared" si="9"/>
        <v>3.5273325047385389</v>
      </c>
      <c r="L104" s="13">
        <f t="shared" si="10"/>
        <v>0.2688061116015017</v>
      </c>
      <c r="M104" s="13">
        <f t="shared" si="11"/>
        <v>3.7930849774861088</v>
      </c>
      <c r="N104" s="13">
        <f t="shared" si="12"/>
        <v>24.477106077032623</v>
      </c>
      <c r="O104" s="13">
        <f t="shared" si="13"/>
        <v>10.552895367621755</v>
      </c>
      <c r="P104" s="13">
        <f t="shared" si="14"/>
        <v>57.380774961519464</v>
      </c>
      <c r="Q104" s="13">
        <f t="shared" si="15"/>
        <v>57.64958107312097</v>
      </c>
    </row>
    <row r="105" spans="1:17">
      <c r="A105" s="28">
        <v>41910</v>
      </c>
      <c r="B105">
        <f>Prestiti!B105+Prestiti!C105+Prestiti!D105</f>
        <v>83969.18</v>
      </c>
      <c r="C105">
        <f>Prestiti!E105+Prestiti!F105</f>
        <v>6954.74</v>
      </c>
      <c r="D105">
        <f>Prestiti!G105</f>
        <v>100191.66</v>
      </c>
      <c r="E105">
        <f>Prestiti!H105+Prestiti!K105+Prestiti!L105</f>
        <v>612655.12</v>
      </c>
      <c r="F105">
        <f>Prestiti!I105+Prestiti!J105</f>
        <v>263653.31</v>
      </c>
      <c r="G105">
        <f>Prestiti!M105+Prestiti!N105+Prestiti!O105+Prestiti!P105</f>
        <v>1420853.3499999999</v>
      </c>
      <c r="H105">
        <f t="shared" si="8"/>
        <v>1427808.0899999999</v>
      </c>
      <c r="I105">
        <f>SUM(B105:G105)</f>
        <v>2488277.36</v>
      </c>
      <c r="K105" s="13">
        <f t="shared" si="9"/>
        <v>3.3745908454514093</v>
      </c>
      <c r="L105" s="13">
        <f t="shared" si="10"/>
        <v>0.27950019205254517</v>
      </c>
      <c r="M105" s="13">
        <f t="shared" si="11"/>
        <v>4.0265471048613328</v>
      </c>
      <c r="N105" s="13">
        <f t="shared" si="12"/>
        <v>24.621657129091108</v>
      </c>
      <c r="O105" s="13">
        <f t="shared" si="13"/>
        <v>10.595816778238902</v>
      </c>
      <c r="P105" s="13">
        <f t="shared" si="14"/>
        <v>57.1018879503047</v>
      </c>
      <c r="Q105" s="13">
        <f t="shared" si="15"/>
        <v>57.381388142357245</v>
      </c>
    </row>
    <row r="106" spans="1:17">
      <c r="A106" s="28">
        <v>41879</v>
      </c>
      <c r="B106">
        <f>Prestiti!B106+Prestiti!C106+Prestiti!D106</f>
        <v>81104.36</v>
      </c>
      <c r="C106">
        <f>Prestiti!E106+Prestiti!F106</f>
        <v>7052.29</v>
      </c>
      <c r="D106">
        <f>Prestiti!G106</f>
        <v>92765.6</v>
      </c>
      <c r="E106">
        <f>Prestiti!H106+Prestiti!K106+Prestiti!L106</f>
        <v>605361.39</v>
      </c>
      <c r="F106">
        <f>Prestiti!I106+Prestiti!J106</f>
        <v>263649.31</v>
      </c>
      <c r="G106">
        <f>Prestiti!M106+Prestiti!N106+Prestiti!O106+Prestiti!P106</f>
        <v>1415907.34</v>
      </c>
      <c r="H106">
        <f t="shared" si="8"/>
        <v>1422959.6300000001</v>
      </c>
      <c r="I106">
        <f>SUM(B106:G106)</f>
        <v>2465840.29</v>
      </c>
      <c r="K106" s="13">
        <f t="shared" si="9"/>
        <v>3.2891165064060175</v>
      </c>
      <c r="L106" s="13">
        <f t="shared" si="10"/>
        <v>0.2859994634932338</v>
      </c>
      <c r="M106" s="13">
        <f t="shared" si="11"/>
        <v>3.7620279130081049</v>
      </c>
      <c r="N106" s="13">
        <f t="shared" si="12"/>
        <v>24.549902621633294</v>
      </c>
      <c r="O106" s="13">
        <f t="shared" si="13"/>
        <v>10.692067571010448</v>
      </c>
      <c r="P106" s="13">
        <f t="shared" si="14"/>
        <v>57.420885924448903</v>
      </c>
      <c r="Q106" s="13">
        <f t="shared" si="15"/>
        <v>57.706885387942144</v>
      </c>
    </row>
    <row r="107" spans="1:17">
      <c r="A107" s="28">
        <v>41848</v>
      </c>
      <c r="B107">
        <f>Prestiti!B107+Prestiti!C107+Prestiti!D107</f>
        <v>80444.700000000012</v>
      </c>
      <c r="C107">
        <f>Prestiti!E107+Prestiti!F107</f>
        <v>7152.72</v>
      </c>
      <c r="D107">
        <f>Prestiti!G107</f>
        <v>94862.75</v>
      </c>
      <c r="E107">
        <f>Prestiti!H107+Prestiti!K107+Prestiti!L107</f>
        <v>609652.6</v>
      </c>
      <c r="F107">
        <f>Prestiti!I107+Prestiti!J107</f>
        <v>265593.57999999996</v>
      </c>
      <c r="G107">
        <f>Prestiti!M107+Prestiti!N107+Prestiti!O107+Prestiti!P107</f>
        <v>1429828.06</v>
      </c>
      <c r="H107">
        <f t="shared" si="8"/>
        <v>1436980.78</v>
      </c>
      <c r="I107">
        <f>SUM(B107:G107)</f>
        <v>2487534.41</v>
      </c>
      <c r="K107" s="13">
        <f t="shared" si="9"/>
        <v>3.2339130536891756</v>
      </c>
      <c r="L107" s="13">
        <f t="shared" si="10"/>
        <v>0.28754255503946979</v>
      </c>
      <c r="M107" s="13">
        <f t="shared" si="11"/>
        <v>3.8135251363216311</v>
      </c>
      <c r="N107" s="13">
        <f t="shared" si="12"/>
        <v>24.508308208689257</v>
      </c>
      <c r="O107" s="13">
        <f t="shared" si="13"/>
        <v>10.676981147770331</v>
      </c>
      <c r="P107" s="13">
        <f t="shared" si="14"/>
        <v>57.479729898490127</v>
      </c>
      <c r="Q107" s="13">
        <f t="shared" si="15"/>
        <v>57.767272453529593</v>
      </c>
    </row>
    <row r="108" spans="1:17">
      <c r="A108" s="28">
        <v>41818</v>
      </c>
      <c r="B108">
        <f>Prestiti!B108+Prestiti!C108+Prestiti!D108</f>
        <v>83461.76999999999</v>
      </c>
      <c r="C108">
        <f>Prestiti!E108+Prestiti!F108</f>
        <v>7011.43</v>
      </c>
      <c r="D108">
        <f>Prestiti!G108</f>
        <v>93382.04</v>
      </c>
      <c r="E108">
        <f>Prestiti!H108+Prestiti!K108+Prestiti!L108</f>
        <v>613047.02</v>
      </c>
      <c r="F108">
        <f>Prestiti!I108+Prestiti!J108</f>
        <v>267899.7</v>
      </c>
      <c r="G108">
        <f>Prestiti!M108+Prestiti!N108+Prestiti!O108+Prestiti!P108</f>
        <v>1426134.64</v>
      </c>
      <c r="H108">
        <f t="shared" si="8"/>
        <v>1433146.0699999998</v>
      </c>
      <c r="I108">
        <f>SUM(B108:G108)</f>
        <v>2490936.5999999996</v>
      </c>
      <c r="K108" s="13">
        <f t="shared" si="9"/>
        <v>3.3506179964596448</v>
      </c>
      <c r="L108" s="13">
        <f t="shared" si="10"/>
        <v>0.28147765784163281</v>
      </c>
      <c r="M108" s="13">
        <f t="shared" si="11"/>
        <v>3.7488726128155974</v>
      </c>
      <c r="N108" s="13">
        <f t="shared" si="12"/>
        <v>24.611104915315792</v>
      </c>
      <c r="O108" s="13">
        <f t="shared" si="13"/>
        <v>10.75497866946915</v>
      </c>
      <c r="P108" s="13">
        <f t="shared" si="14"/>
        <v>57.252948148098191</v>
      </c>
      <c r="Q108" s="13">
        <f t="shared" si="15"/>
        <v>57.534425805939826</v>
      </c>
    </row>
    <row r="109" spans="1:17">
      <c r="A109" s="28">
        <v>41787</v>
      </c>
      <c r="B109">
        <f>Prestiti!B109+Prestiti!C109+Prestiti!D109</f>
        <v>84583.290000000008</v>
      </c>
      <c r="C109">
        <f>Prestiti!E109+Prestiti!F109</f>
        <v>7194.3700000000008</v>
      </c>
      <c r="D109">
        <f>Prestiti!G109</f>
        <v>91027.78</v>
      </c>
      <c r="E109">
        <f>Prestiti!H109+Prestiti!K109+Prestiti!L109</f>
        <v>588223.47000000009</v>
      </c>
      <c r="F109">
        <f>Prestiti!I109+Prestiti!J109</f>
        <v>267163.58999999997</v>
      </c>
      <c r="G109">
        <f>Prestiti!M109+Prestiti!N109+Prestiti!O109+Prestiti!P109</f>
        <v>1420058.9800000002</v>
      </c>
      <c r="H109">
        <f t="shared" si="8"/>
        <v>1427253.3500000003</v>
      </c>
      <c r="I109">
        <f>SUM(B109:G109)</f>
        <v>2458251.4800000004</v>
      </c>
      <c r="K109" s="13">
        <f t="shared" si="9"/>
        <v>3.4407907688923669</v>
      </c>
      <c r="L109" s="13">
        <f t="shared" si="10"/>
        <v>0.29266208353915035</v>
      </c>
      <c r="M109" s="13">
        <f t="shared" si="11"/>
        <v>3.7029482435214471</v>
      </c>
      <c r="N109" s="13">
        <f t="shared" si="12"/>
        <v>23.928531103742078</v>
      </c>
      <c r="O109" s="13">
        <f t="shared" si="13"/>
        <v>10.868033322611888</v>
      </c>
      <c r="P109" s="13">
        <f t="shared" si="14"/>
        <v>57.767034477693059</v>
      </c>
      <c r="Q109" s="13">
        <f t="shared" si="15"/>
        <v>58.059696561232222</v>
      </c>
    </row>
    <row r="110" spans="1:17">
      <c r="A110" s="28">
        <v>41757</v>
      </c>
      <c r="B110">
        <f>Prestiti!B110+Prestiti!C110+Prestiti!D110</f>
        <v>79163.44</v>
      </c>
      <c r="C110">
        <f>Prestiti!E110+Prestiti!F110</f>
        <v>7428.16</v>
      </c>
      <c r="D110">
        <f>Prestiti!G110</f>
        <v>87794.03</v>
      </c>
      <c r="E110">
        <f>Prestiti!H110+Prestiti!K110+Prestiti!L110</f>
        <v>599836.4</v>
      </c>
      <c r="F110">
        <f>Prestiti!I110+Prestiti!J110</f>
        <v>266182.75</v>
      </c>
      <c r="G110">
        <f>Prestiti!M110+Prestiti!N110+Prestiti!O110+Prestiti!P110</f>
        <v>1427779.51</v>
      </c>
      <c r="H110">
        <f t="shared" si="8"/>
        <v>1435207.67</v>
      </c>
      <c r="I110">
        <f>SUM(B110:G110)</f>
        <v>2468184.29</v>
      </c>
      <c r="K110" s="13">
        <f t="shared" si="9"/>
        <v>3.2073553146227991</v>
      </c>
      <c r="L110" s="13">
        <f t="shared" si="10"/>
        <v>0.30095645734784249</v>
      </c>
      <c r="M110" s="13">
        <f t="shared" si="11"/>
        <v>3.5570289607507388</v>
      </c>
      <c r="N110" s="13">
        <f t="shared" si="12"/>
        <v>24.30273956569102</v>
      </c>
      <c r="O110" s="13">
        <f t="shared" si="13"/>
        <v>10.784557339516978</v>
      </c>
      <c r="P110" s="13">
        <f t="shared" si="14"/>
        <v>57.847362362070619</v>
      </c>
      <c r="Q110" s="13">
        <f t="shared" si="15"/>
        <v>58.148318819418463</v>
      </c>
    </row>
    <row r="111" spans="1:17">
      <c r="A111" s="28">
        <v>41726</v>
      </c>
      <c r="B111">
        <f>Prestiti!B111+Prestiti!C111+Prestiti!D111</f>
        <v>83039.990000000005</v>
      </c>
      <c r="C111">
        <f>Prestiti!E111+Prestiti!F111</f>
        <v>7532.34</v>
      </c>
      <c r="D111">
        <f>Prestiti!G111</f>
        <v>90180.83</v>
      </c>
      <c r="E111">
        <f>Prestiti!H111+Prestiti!K111+Prestiti!L111</f>
        <v>623701.43000000005</v>
      </c>
      <c r="F111">
        <f>Prestiti!I111+Prestiti!J111</f>
        <v>267991.13</v>
      </c>
      <c r="G111">
        <f>Prestiti!M111+Prestiti!N111+Prestiti!O111+Prestiti!P111</f>
        <v>1431272.26</v>
      </c>
      <c r="H111">
        <f t="shared" si="8"/>
        <v>1438804.6</v>
      </c>
      <c r="I111">
        <f>SUM(B111:G111)</f>
        <v>2503717.9800000004</v>
      </c>
      <c r="K111" s="13">
        <f t="shared" si="9"/>
        <v>3.316667079253071</v>
      </c>
      <c r="L111" s="13">
        <f t="shared" si="10"/>
        <v>0.30084618396198115</v>
      </c>
      <c r="M111" s="13">
        <f t="shared" si="11"/>
        <v>3.6018765180573564</v>
      </c>
      <c r="N111" s="13">
        <f t="shared" si="12"/>
        <v>24.911009745594427</v>
      </c>
      <c r="O111" s="13">
        <f t="shared" si="13"/>
        <v>10.703726703276699</v>
      </c>
      <c r="P111" s="13">
        <f t="shared" si="14"/>
        <v>57.165873769856447</v>
      </c>
      <c r="Q111" s="13">
        <f t="shared" si="15"/>
        <v>57.466719953818433</v>
      </c>
    </row>
    <row r="112" spans="1:17">
      <c r="A112" s="28">
        <v>41698</v>
      </c>
      <c r="B112">
        <f>Prestiti!B112+Prestiti!C112+Prestiti!D112</f>
        <v>82378.41</v>
      </c>
      <c r="C112">
        <f>Prestiti!E112+Prestiti!F112</f>
        <v>7520.5999999999995</v>
      </c>
      <c r="D112">
        <f>Prestiti!G112</f>
        <v>87010.9</v>
      </c>
      <c r="E112">
        <f>Prestiti!H112+Prestiti!K112+Prestiti!L112</f>
        <v>612466.55999999994</v>
      </c>
      <c r="F112">
        <f>Prestiti!I112+Prestiti!J112</f>
        <v>264724.78000000003</v>
      </c>
      <c r="G112">
        <f>Prestiti!M112+Prestiti!N112+Prestiti!O112+Prestiti!P112</f>
        <v>1434297.1099999999</v>
      </c>
      <c r="H112">
        <f t="shared" si="8"/>
        <v>1441817.71</v>
      </c>
      <c r="I112">
        <f>SUM(B112:G112)</f>
        <v>2488398.36</v>
      </c>
      <c r="K112" s="13">
        <f t="shared" si="9"/>
        <v>3.3104992883856426</v>
      </c>
      <c r="L112" s="13">
        <f t="shared" si="10"/>
        <v>0.30222652935681887</v>
      </c>
      <c r="M112" s="13">
        <f t="shared" si="11"/>
        <v>3.4966628092457026</v>
      </c>
      <c r="N112" s="13">
        <f t="shared" si="12"/>
        <v>24.612882320015675</v>
      </c>
      <c r="O112" s="13">
        <f t="shared" si="13"/>
        <v>10.638360169952854</v>
      </c>
      <c r="P112" s="13">
        <f t="shared" si="14"/>
        <v>57.639368883043304</v>
      </c>
      <c r="Q112" s="13">
        <f t="shared" si="15"/>
        <v>57.941595412400126</v>
      </c>
    </row>
    <row r="113" spans="1:17">
      <c r="A113" s="28">
        <v>41667</v>
      </c>
      <c r="B113">
        <f>Prestiti!B113+Prestiti!C113+Prestiti!D113</f>
        <v>84217.19</v>
      </c>
      <c r="C113">
        <f>Prestiti!E113+Prestiti!F113</f>
        <v>7779.78</v>
      </c>
      <c r="D113">
        <f>Prestiti!G113</f>
        <v>92512.320000000007</v>
      </c>
      <c r="E113">
        <f>Prestiti!H113+Prestiti!K113+Prestiti!L113</f>
        <v>605193.77999999991</v>
      </c>
      <c r="F113">
        <f>Prestiti!I113+Prestiti!J113</f>
        <v>264722.52</v>
      </c>
      <c r="G113">
        <f>Prestiti!M113+Prestiti!N113+Prestiti!O113+Prestiti!P113</f>
        <v>1439709.54</v>
      </c>
      <c r="H113">
        <f t="shared" si="8"/>
        <v>1447489.32</v>
      </c>
      <c r="I113">
        <f>SUM(B113:G113)</f>
        <v>2494135.13</v>
      </c>
      <c r="K113" s="13">
        <f t="shared" si="9"/>
        <v>3.3766089490107141</v>
      </c>
      <c r="L113" s="13">
        <f t="shared" si="10"/>
        <v>0.31192295503251261</v>
      </c>
      <c r="M113" s="13">
        <f t="shared" si="11"/>
        <v>3.709194377130641</v>
      </c>
      <c r="N113" s="13">
        <f t="shared" si="12"/>
        <v>24.264674865471299</v>
      </c>
      <c r="O113" s="13">
        <f t="shared" si="13"/>
        <v>10.613800223406502</v>
      </c>
      <c r="P113" s="13">
        <f t="shared" si="14"/>
        <v>57.723798629948334</v>
      </c>
      <c r="Q113" s="13">
        <f t="shared" si="15"/>
        <v>58.035721584980848</v>
      </c>
    </row>
    <row r="114" spans="1:17">
      <c r="A114" s="28">
        <v>41636</v>
      </c>
      <c r="B114">
        <f>Prestiti!B114+Prestiti!C114+Prestiti!D114</f>
        <v>84887.270000000019</v>
      </c>
      <c r="C114">
        <f>Prestiti!E114+Prestiti!F114</f>
        <v>7811.96</v>
      </c>
      <c r="D114">
        <f>Prestiti!G114</f>
        <v>90167.12</v>
      </c>
      <c r="E114">
        <f>Prestiti!H114+Prestiti!K114+Prestiti!L114</f>
        <v>609920.51</v>
      </c>
      <c r="F114">
        <f>Prestiti!I114+Prestiti!J114</f>
        <v>262456.03000000003</v>
      </c>
      <c r="G114">
        <f>Prestiti!M114+Prestiti!N114+Prestiti!O114+Prestiti!P114</f>
        <v>1416273.13</v>
      </c>
      <c r="H114">
        <f t="shared" si="8"/>
        <v>1424085.0899999999</v>
      </c>
      <c r="I114">
        <f>SUM(B114:G114)</f>
        <v>2471516.02</v>
      </c>
      <c r="K114" s="13">
        <f t="shared" si="9"/>
        <v>3.4346234988191586</v>
      </c>
      <c r="L114" s="13">
        <f t="shared" si="10"/>
        <v>0.31607968294698735</v>
      </c>
      <c r="M114" s="13">
        <f t="shared" si="11"/>
        <v>3.6482514889788167</v>
      </c>
      <c r="N114" s="13">
        <f t="shared" si="12"/>
        <v>24.677991364992245</v>
      </c>
      <c r="O114" s="13">
        <f t="shared" si="13"/>
        <v>10.619232401333981</v>
      </c>
      <c r="P114" s="13">
        <f t="shared" si="14"/>
        <v>57.303821562928803</v>
      </c>
      <c r="Q114" s="13">
        <f t="shared" si="15"/>
        <v>57.619901245875795</v>
      </c>
    </row>
    <row r="115" spans="1:17">
      <c r="A115" s="28">
        <v>41606</v>
      </c>
      <c r="B115">
        <f>Prestiti!B115+Prestiti!C115+Prestiti!D115</f>
        <v>87695.98</v>
      </c>
      <c r="C115">
        <f>Prestiti!E115+Prestiti!F115</f>
        <v>7550.04</v>
      </c>
      <c r="D115">
        <f>Prestiti!G115</f>
        <v>91069.119999999995</v>
      </c>
      <c r="E115">
        <f>Prestiti!H115+Prestiti!K115+Prestiti!L115</f>
        <v>630375.39</v>
      </c>
      <c r="F115">
        <f>Prestiti!I115+Prestiti!J115</f>
        <v>258112.85000000003</v>
      </c>
      <c r="G115">
        <f>Prestiti!M115+Prestiti!N115+Prestiti!O115+Prestiti!P115</f>
        <v>1419035.96</v>
      </c>
      <c r="H115">
        <f t="shared" si="8"/>
        <v>1426586</v>
      </c>
      <c r="I115">
        <f>SUM(B115:G115)</f>
        <v>2493839.34</v>
      </c>
      <c r="K115" s="13">
        <f t="shared" si="9"/>
        <v>3.5165047961750413</v>
      </c>
      <c r="L115" s="13">
        <f t="shared" si="10"/>
        <v>0.30274765013531307</v>
      </c>
      <c r="M115" s="13">
        <f t="shared" si="11"/>
        <v>3.6517637098466817</v>
      </c>
      <c r="N115" s="13">
        <f t="shared" si="12"/>
        <v>25.277305554093953</v>
      </c>
      <c r="O115" s="13">
        <f t="shared" si="13"/>
        <v>10.350019179663757</v>
      </c>
      <c r="P115" s="13">
        <f t="shared" si="14"/>
        <v>56.901659110085255</v>
      </c>
      <c r="Q115" s="13">
        <f t="shared" si="15"/>
        <v>57.204406760220571</v>
      </c>
    </row>
    <row r="116" spans="1:17">
      <c r="A116" s="28">
        <v>41575</v>
      </c>
      <c r="B116">
        <f>Prestiti!B116+Prestiti!C116+Prestiti!D116</f>
        <v>91204.689999999988</v>
      </c>
      <c r="C116">
        <f>Prestiti!E116+Prestiti!F116</f>
        <v>8848.2699999999986</v>
      </c>
      <c r="D116">
        <f>Prestiti!G116</f>
        <v>99104.31</v>
      </c>
      <c r="E116">
        <f>Prestiti!H116+Prestiti!K116+Prestiti!L116</f>
        <v>620145.82000000007</v>
      </c>
      <c r="F116">
        <f>Prestiti!I116+Prestiti!J116</f>
        <v>257874.44</v>
      </c>
      <c r="G116">
        <f>Prestiti!M116+Prestiti!N116+Prestiti!O116+Prestiti!P116</f>
        <v>1426152.6899999997</v>
      </c>
      <c r="H116">
        <f t="shared" si="8"/>
        <v>1435000.9599999997</v>
      </c>
      <c r="I116">
        <f>SUM(B116:G116)</f>
        <v>2503330.2199999997</v>
      </c>
      <c r="K116" s="13">
        <f t="shared" si="9"/>
        <v>3.6433343580216917</v>
      </c>
      <c r="L116" s="13">
        <f t="shared" si="10"/>
        <v>0.35345996022849913</v>
      </c>
      <c r="M116" s="13">
        <f t="shared" si="11"/>
        <v>3.9588987984174144</v>
      </c>
      <c r="N116" s="13">
        <f t="shared" si="12"/>
        <v>24.772833206160076</v>
      </c>
      <c r="O116" s="13">
        <f t="shared" si="13"/>
        <v>10.301255421268394</v>
      </c>
      <c r="P116" s="13">
        <f t="shared" si="14"/>
        <v>56.970218255903923</v>
      </c>
      <c r="Q116" s="13">
        <f t="shared" si="15"/>
        <v>57.323678216132421</v>
      </c>
    </row>
    <row r="117" spans="1:17">
      <c r="A117" s="28">
        <v>41545</v>
      </c>
      <c r="B117">
        <f>Prestiti!B117+Prestiti!C117+Prestiti!D117</f>
        <v>90759.53</v>
      </c>
      <c r="C117">
        <f>Prestiti!E117+Prestiti!F117</f>
        <v>9198.4499999999989</v>
      </c>
      <c r="D117">
        <f>Prestiti!G117</f>
        <v>99040.48</v>
      </c>
      <c r="E117">
        <f>Prestiti!H117+Prestiti!K117+Prestiti!L117</f>
        <v>617588.53</v>
      </c>
      <c r="F117">
        <f>Prestiti!I117+Prestiti!J117</f>
        <v>260041.46000000002</v>
      </c>
      <c r="G117">
        <f>Prestiti!M117+Prestiti!N117+Prestiti!O117+Prestiti!P117</f>
        <v>1432809.6700000002</v>
      </c>
      <c r="H117">
        <f t="shared" si="8"/>
        <v>1442008.12</v>
      </c>
      <c r="I117">
        <f>SUM(B117:G117)</f>
        <v>2509438.12</v>
      </c>
      <c r="K117" s="13">
        <f t="shared" si="9"/>
        <v>3.616727158030101</v>
      </c>
      <c r="L117" s="13">
        <f t="shared" si="10"/>
        <v>0.36655416711371225</v>
      </c>
      <c r="M117" s="13">
        <f t="shared" si="11"/>
        <v>3.9467193556460356</v>
      </c>
      <c r="N117" s="13">
        <f t="shared" si="12"/>
        <v>24.610629968432935</v>
      </c>
      <c r="O117" s="13">
        <f t="shared" si="13"/>
        <v>10.362537251964596</v>
      </c>
      <c r="P117" s="13">
        <f t="shared" si="14"/>
        <v>57.096832098812619</v>
      </c>
      <c r="Q117" s="13">
        <f t="shared" si="15"/>
        <v>57.463386265926331</v>
      </c>
    </row>
    <row r="118" spans="1:17">
      <c r="A118" s="28">
        <v>41514</v>
      </c>
      <c r="B118">
        <f>Prestiti!B118+Prestiti!C118+Prestiti!D118</f>
        <v>88757.98000000001</v>
      </c>
      <c r="C118">
        <f>Prestiti!E118+Prestiti!F118</f>
        <v>9257.9</v>
      </c>
      <c r="D118">
        <f>Prestiti!G118</f>
        <v>95188.28</v>
      </c>
      <c r="E118">
        <f>Prestiti!H118+Prestiti!K118+Prestiti!L118</f>
        <v>607230.51</v>
      </c>
      <c r="F118">
        <f>Prestiti!I118+Prestiti!J118</f>
        <v>259815.05</v>
      </c>
      <c r="G118">
        <f>Prestiti!M118+Prestiti!N118+Prestiti!O118+Prestiti!P118</f>
        <v>1433698.9399999997</v>
      </c>
      <c r="H118">
        <f t="shared" si="8"/>
        <v>1442956.8399999996</v>
      </c>
      <c r="I118">
        <f>SUM(B118:G118)</f>
        <v>2493948.6599999997</v>
      </c>
      <c r="K118" s="13">
        <f t="shared" si="9"/>
        <v>3.558933727208323</v>
      </c>
      <c r="L118" s="13">
        <f t="shared" si="10"/>
        <v>0.3712145381533235</v>
      </c>
      <c r="M118" s="13">
        <f t="shared" si="11"/>
        <v>3.816769828774262</v>
      </c>
      <c r="N118" s="13">
        <f t="shared" si="12"/>
        <v>24.348155988102821</v>
      </c>
      <c r="O118" s="13">
        <f t="shared" si="13"/>
        <v>10.417818705217453</v>
      </c>
      <c r="P118" s="13">
        <f t="shared" si="14"/>
        <v>57.487107212543819</v>
      </c>
      <c r="Q118" s="13">
        <f t="shared" si="15"/>
        <v>57.858321750697137</v>
      </c>
    </row>
    <row r="119" spans="1:17">
      <c r="A119" s="28">
        <v>41483</v>
      </c>
      <c r="B119">
        <f>Prestiti!B119+Prestiti!C119+Prestiti!D119</f>
        <v>92789.07</v>
      </c>
      <c r="C119">
        <f>Prestiti!E119+Prestiti!F119</f>
        <v>9436.5199999999986</v>
      </c>
      <c r="D119">
        <f>Prestiti!G119</f>
        <v>98235.54</v>
      </c>
      <c r="E119">
        <f>Prestiti!H119+Prestiti!K119+Prestiti!L119</f>
        <v>595996.02999999991</v>
      </c>
      <c r="F119">
        <f>Prestiti!I119+Prestiti!J119</f>
        <v>260252.22999999998</v>
      </c>
      <c r="G119">
        <f>Prestiti!M119+Prestiti!N119+Prestiti!O119+Prestiti!P119</f>
        <v>1448402.0499999998</v>
      </c>
      <c r="H119">
        <f t="shared" si="8"/>
        <v>1457838.5699999998</v>
      </c>
      <c r="I119">
        <f>SUM(B119:G119)</f>
        <v>2505111.4399999995</v>
      </c>
      <c r="K119" s="13">
        <f t="shared" si="9"/>
        <v>3.7039897115315563</v>
      </c>
      <c r="L119" s="13">
        <f t="shared" si="10"/>
        <v>0.37669062738382608</v>
      </c>
      <c r="M119" s="13">
        <f t="shared" si="11"/>
        <v>3.9214039915126495</v>
      </c>
      <c r="N119" s="13">
        <f t="shared" si="12"/>
        <v>23.79119828697122</v>
      </c>
      <c r="O119" s="13">
        <f t="shared" si="13"/>
        <v>10.388848409873535</v>
      </c>
      <c r="P119" s="13">
        <f t="shared" si="14"/>
        <v>57.817868972727226</v>
      </c>
      <c r="Q119" s="13">
        <f t="shared" si="15"/>
        <v>58.194559600111049</v>
      </c>
    </row>
    <row r="120" spans="1:17">
      <c r="A120" s="28">
        <v>41453</v>
      </c>
      <c r="B120">
        <f>Prestiti!B120+Prestiti!C120+Prestiti!D120</f>
        <v>93018.07</v>
      </c>
      <c r="C120">
        <f>Prestiti!E120+Prestiti!F120</f>
        <v>9547.880000000001</v>
      </c>
      <c r="D120">
        <f>Prestiti!G120</f>
        <v>104167.9</v>
      </c>
      <c r="E120">
        <f>Prestiti!H120+Prestiti!K120+Prestiti!L120</f>
        <v>609840.80000000005</v>
      </c>
      <c r="F120">
        <f>Prestiti!I120+Prestiti!J120</f>
        <v>262890.38</v>
      </c>
      <c r="G120">
        <f>Prestiti!M120+Prestiti!N120+Prestiti!O120+Prestiti!P120</f>
        <v>1446460.07</v>
      </c>
      <c r="H120">
        <f t="shared" si="8"/>
        <v>1456007.95</v>
      </c>
      <c r="I120">
        <f>SUM(B120:G120)</f>
        <v>2525925.1</v>
      </c>
      <c r="K120" s="13">
        <f t="shared" si="9"/>
        <v>3.6825347671631281</v>
      </c>
      <c r="L120" s="13">
        <f t="shared" si="10"/>
        <v>0.3779953728635897</v>
      </c>
      <c r="M120" s="13">
        <f t="shared" si="11"/>
        <v>4.123950468681751</v>
      </c>
      <c r="N120" s="13">
        <f t="shared" si="12"/>
        <v>24.143265372358034</v>
      </c>
      <c r="O120" s="13">
        <f t="shared" si="13"/>
        <v>10.407687068789173</v>
      </c>
      <c r="P120" s="13">
        <f t="shared" si="14"/>
        <v>57.264566950144328</v>
      </c>
      <c r="Q120" s="13">
        <f t="shared" si="15"/>
        <v>57.642562323007908</v>
      </c>
    </row>
    <row r="121" spans="1:17">
      <c r="A121" s="28">
        <v>41422</v>
      </c>
      <c r="B121">
        <f>Prestiti!B121+Prestiti!C121+Prestiti!D121</f>
        <v>92896.560000000012</v>
      </c>
      <c r="C121">
        <f>Prestiti!E121+Prestiti!F121</f>
        <v>9451.2300000000014</v>
      </c>
      <c r="D121">
        <f>Prestiti!G121</f>
        <v>104249.31</v>
      </c>
      <c r="E121">
        <f>Prestiti!H121+Prestiti!K121+Prestiti!L121</f>
        <v>621902.26</v>
      </c>
      <c r="F121">
        <f>Prestiti!I121+Prestiti!J121</f>
        <v>266035.21999999997</v>
      </c>
      <c r="G121">
        <f>Prestiti!M121+Prestiti!N121+Prestiti!O121+Prestiti!P121</f>
        <v>1455150.7800000003</v>
      </c>
      <c r="H121">
        <f t="shared" si="8"/>
        <v>1464602.0100000002</v>
      </c>
      <c r="I121">
        <f>SUM(B121:G121)</f>
        <v>2549685.3600000003</v>
      </c>
      <c r="K121" s="13">
        <f t="shared" si="9"/>
        <v>3.6434519120429822</v>
      </c>
      <c r="L121" s="13">
        <f t="shared" si="10"/>
        <v>0.37068220841178612</v>
      </c>
      <c r="M121" s="13">
        <f t="shared" si="11"/>
        <v>4.0887127343430318</v>
      </c>
      <c r="N121" s="13">
        <f t="shared" si="12"/>
        <v>24.391333525168765</v>
      </c>
      <c r="O121" s="13">
        <f t="shared" si="13"/>
        <v>10.434041163416333</v>
      </c>
      <c r="P121" s="13">
        <f t="shared" si="14"/>
        <v>57.071778456617096</v>
      </c>
      <c r="Q121" s="13">
        <f t="shared" si="15"/>
        <v>57.442460665028882</v>
      </c>
    </row>
    <row r="122" spans="1:17">
      <c r="A122" s="28">
        <v>41392</v>
      </c>
      <c r="B122">
        <f>Prestiti!B122+Prestiti!C122+Prestiti!D122</f>
        <v>101782.12</v>
      </c>
      <c r="C122">
        <f>Prestiti!E122+Prestiti!F122</f>
        <v>9507.99</v>
      </c>
      <c r="D122">
        <f>Prestiti!G122</f>
        <v>109975.29</v>
      </c>
      <c r="E122">
        <f>Prestiti!H122+Prestiti!K122+Prestiti!L122</f>
        <v>632732.99</v>
      </c>
      <c r="F122">
        <f>Prestiti!I122+Prestiti!J122</f>
        <v>265091.39</v>
      </c>
      <c r="G122">
        <f>Prestiti!M122+Prestiti!N122+Prestiti!O122+Prestiti!P122</f>
        <v>1458061.0399999998</v>
      </c>
      <c r="H122">
        <f t="shared" si="8"/>
        <v>1467569.0299999998</v>
      </c>
      <c r="I122">
        <f>SUM(B122:G122)</f>
        <v>2577150.8199999998</v>
      </c>
      <c r="K122" s="13">
        <f t="shared" si="9"/>
        <v>3.9494048702978124</v>
      </c>
      <c r="L122" s="13">
        <f t="shared" si="10"/>
        <v>0.3689341704883225</v>
      </c>
      <c r="M122" s="13">
        <f t="shared" si="11"/>
        <v>4.2673206840102589</v>
      </c>
      <c r="N122" s="13">
        <f t="shared" si="12"/>
        <v>24.551647699066368</v>
      </c>
      <c r="O122" s="13">
        <f t="shared" si="13"/>
        <v>10.286219492579018</v>
      </c>
      <c r="P122" s="13">
        <f t="shared" si="14"/>
        <v>56.57647308355822</v>
      </c>
      <c r="Q122" s="13">
        <f t="shared" si="15"/>
        <v>56.945407254046543</v>
      </c>
    </row>
    <row r="123" spans="1:17">
      <c r="A123" s="28">
        <v>41361</v>
      </c>
      <c r="B123">
        <f>Prestiti!B123+Prestiti!C123+Prestiti!D123</f>
        <v>100485.76999999999</v>
      </c>
      <c r="C123">
        <f>Prestiti!E123+Prestiti!F123</f>
        <v>9891.65</v>
      </c>
      <c r="D123">
        <f>Prestiti!G123</f>
        <v>107844.43</v>
      </c>
      <c r="E123">
        <f>Prestiti!H123+Prestiti!K123+Prestiti!L123</f>
        <v>624693.84</v>
      </c>
      <c r="F123">
        <f>Prestiti!I123+Prestiti!J123</f>
        <v>267678.79000000004</v>
      </c>
      <c r="G123">
        <f>Prestiti!M123+Prestiti!N123+Prestiti!O123+Prestiti!P123</f>
        <v>1461796.5200000003</v>
      </c>
      <c r="H123">
        <f t="shared" si="8"/>
        <v>1471688.1700000002</v>
      </c>
      <c r="I123">
        <f>SUM(B123:G123)</f>
        <v>2572391</v>
      </c>
      <c r="K123" s="13">
        <f t="shared" si="9"/>
        <v>3.9063178964628622</v>
      </c>
      <c r="L123" s="13">
        <f t="shared" si="10"/>
        <v>0.38453135623627976</v>
      </c>
      <c r="M123" s="13">
        <f t="shared" si="11"/>
        <v>4.1923809405335346</v>
      </c>
      <c r="N123" s="13">
        <f t="shared" si="12"/>
        <v>24.284560162121544</v>
      </c>
      <c r="O123" s="13">
        <f t="shared" si="13"/>
        <v>10.405836049029874</v>
      </c>
      <c r="P123" s="13">
        <f t="shared" si="14"/>
        <v>56.826373595615919</v>
      </c>
      <c r="Q123" s="13">
        <f t="shared" si="15"/>
        <v>57.210904951852193</v>
      </c>
    </row>
    <row r="124" spans="1:17">
      <c r="A124" s="28">
        <v>41333</v>
      </c>
      <c r="B124">
        <f>Prestiti!B124+Prestiti!C124+Prestiti!D124</f>
        <v>98244.579999999987</v>
      </c>
      <c r="C124">
        <f>Prestiti!E124+Prestiti!F124</f>
        <v>9974.33</v>
      </c>
      <c r="D124">
        <f>Prestiti!G124</f>
        <v>102728.9</v>
      </c>
      <c r="E124">
        <f>Prestiti!H124+Prestiti!K124+Prestiti!L124</f>
        <v>640091.65</v>
      </c>
      <c r="F124">
        <f>Prestiti!I124+Prestiti!J124</f>
        <v>264888.38</v>
      </c>
      <c r="G124">
        <f>Prestiti!M124+Prestiti!N124+Prestiti!O124+Prestiti!P124</f>
        <v>1472083.12</v>
      </c>
      <c r="H124">
        <f t="shared" si="8"/>
        <v>1482057.4500000002</v>
      </c>
      <c r="I124">
        <f>SUM(B124:G124)</f>
        <v>2588010.96</v>
      </c>
      <c r="K124" s="13">
        <f t="shared" si="9"/>
        <v>3.7961423470942326</v>
      </c>
      <c r="L124" s="13">
        <f t="shared" si="10"/>
        <v>0.38540524573358065</v>
      </c>
      <c r="M124" s="13">
        <f t="shared" si="11"/>
        <v>3.9694151836203972</v>
      </c>
      <c r="N124" s="13">
        <f t="shared" si="12"/>
        <v>24.732957467846273</v>
      </c>
      <c r="O124" s="13">
        <f t="shared" si="13"/>
        <v>10.235210904980093</v>
      </c>
      <c r="P124" s="13">
        <f t="shared" si="14"/>
        <v>56.880868850725427</v>
      </c>
      <c r="Q124" s="13">
        <f t="shared" si="15"/>
        <v>57.266274096459014</v>
      </c>
    </row>
    <row r="125" spans="1:17">
      <c r="A125" s="28">
        <v>41302</v>
      </c>
      <c r="B125">
        <f>Prestiti!B125+Prestiti!C125+Prestiti!D125</f>
        <v>103263.93</v>
      </c>
      <c r="C125">
        <f>Prestiti!E125+Prestiti!F125</f>
        <v>9978.86</v>
      </c>
      <c r="D125">
        <f>Prestiti!G125</f>
        <v>104150.31</v>
      </c>
      <c r="E125">
        <f>Prestiti!H125+Prestiti!K125+Prestiti!L125</f>
        <v>612778.36</v>
      </c>
      <c r="F125">
        <f>Prestiti!I125+Prestiti!J125</f>
        <v>266454.26</v>
      </c>
      <c r="G125">
        <f>Prestiti!M125+Prestiti!N125+Prestiti!O125+Prestiti!P125</f>
        <v>1474186.56</v>
      </c>
      <c r="H125">
        <f t="shared" si="8"/>
        <v>1484165.4200000002</v>
      </c>
      <c r="I125">
        <f>SUM(B125:G125)</f>
        <v>2570812.2800000003</v>
      </c>
      <c r="K125" s="13">
        <f t="shared" si="9"/>
        <v>4.0167821977262363</v>
      </c>
      <c r="L125" s="13">
        <f t="shared" si="10"/>
        <v>0.3881598076075784</v>
      </c>
      <c r="M125" s="13">
        <f t="shared" si="11"/>
        <v>4.0512607945065513</v>
      </c>
      <c r="N125" s="13">
        <f t="shared" si="12"/>
        <v>23.835982298948714</v>
      </c>
      <c r="O125" s="13">
        <f t="shared" si="13"/>
        <v>10.364594181882467</v>
      </c>
      <c r="P125" s="13">
        <f t="shared" si="14"/>
        <v>57.343220719328436</v>
      </c>
      <c r="Q125" s="13">
        <f t="shared" si="15"/>
        <v>57.731380526936029</v>
      </c>
    </row>
    <row r="126" spans="1:17">
      <c r="A126" s="28">
        <v>41271</v>
      </c>
      <c r="B126">
        <f>Prestiti!B126+Prestiti!C126+Prestiti!D126</f>
        <v>102369.72999999998</v>
      </c>
      <c r="C126">
        <f>Prestiti!E126+Prestiti!F126</f>
        <v>10799.68</v>
      </c>
      <c r="D126">
        <f>Prestiti!G126</f>
        <v>107785.23</v>
      </c>
      <c r="E126">
        <f>Prestiti!H126+Prestiti!K126+Prestiti!L126</f>
        <v>613894.35</v>
      </c>
      <c r="F126">
        <f>Prestiti!I126+Prestiti!J126</f>
        <v>267774.75</v>
      </c>
      <c r="G126">
        <f>Prestiti!M126+Prestiti!N126+Prestiti!O126+Prestiti!P126</f>
        <v>1474704.0999999999</v>
      </c>
      <c r="H126">
        <f t="shared" si="8"/>
        <v>1485503.7799999998</v>
      </c>
      <c r="I126">
        <f>SUM(B126:G126)</f>
        <v>2577327.84</v>
      </c>
      <c r="K126" s="13">
        <f t="shared" si="9"/>
        <v>3.9719328061889088</v>
      </c>
      <c r="L126" s="13">
        <f t="shared" si="10"/>
        <v>0.41902624231149427</v>
      </c>
      <c r="M126" s="13">
        <f t="shared" si="11"/>
        <v>4.1820535333991504</v>
      </c>
      <c r="N126" s="13">
        <f t="shared" si="12"/>
        <v>23.819024513389031</v>
      </c>
      <c r="O126" s="13">
        <f t="shared" si="13"/>
        <v>10.389627033245411</v>
      </c>
      <c r="P126" s="13">
        <f t="shared" si="14"/>
        <v>57.21833587146601</v>
      </c>
      <c r="Q126" s="13">
        <f t="shared" si="15"/>
        <v>57.637362113777492</v>
      </c>
    </row>
    <row r="127" spans="1:17">
      <c r="A127" s="28">
        <v>41241</v>
      </c>
      <c r="B127">
        <f>Prestiti!B127+Prestiti!C127+Prestiti!D127</f>
        <v>94973.83</v>
      </c>
      <c r="C127">
        <f>Prestiti!E127+Prestiti!F127</f>
        <v>11561.1</v>
      </c>
      <c r="D127">
        <f>Prestiti!G127</f>
        <v>105032.4</v>
      </c>
      <c r="E127">
        <f>Prestiti!H127+Prestiti!K127+Prestiti!L127</f>
        <v>639397.59000000008</v>
      </c>
      <c r="F127">
        <f>Prestiti!I127+Prestiti!J127</f>
        <v>266762.37</v>
      </c>
      <c r="G127">
        <f>Prestiti!M127+Prestiti!N127+Prestiti!O127+Prestiti!P127</f>
        <v>1485242.51</v>
      </c>
      <c r="H127">
        <f t="shared" si="8"/>
        <v>1496803.61</v>
      </c>
      <c r="I127">
        <f>SUM(B127:G127)</f>
        <v>2602969.7999999998</v>
      </c>
      <c r="K127" s="13">
        <f t="shared" si="9"/>
        <v>3.6486719899708406</v>
      </c>
      <c r="L127" s="13">
        <f t="shared" si="10"/>
        <v>0.4441503700888117</v>
      </c>
      <c r="M127" s="13">
        <f t="shared" si="11"/>
        <v>4.0350986784402956</v>
      </c>
      <c r="N127" s="13">
        <f t="shared" si="12"/>
        <v>24.564157063981309</v>
      </c>
      <c r="O127" s="13">
        <f t="shared" si="13"/>
        <v>10.248385133012301</v>
      </c>
      <c r="P127" s="13">
        <f t="shared" si="14"/>
        <v>57.059536764506461</v>
      </c>
      <c r="Q127" s="13">
        <f t="shared" si="15"/>
        <v>57.503687134595275</v>
      </c>
    </row>
    <row r="128" spans="1:17">
      <c r="A128" s="28">
        <v>41210</v>
      </c>
      <c r="B128">
        <f>Prestiti!B128+Prestiti!C128+Prestiti!D128</f>
        <v>98735.91</v>
      </c>
      <c r="C128">
        <f>Prestiti!E128+Prestiti!F128</f>
        <v>11708.66</v>
      </c>
      <c r="D128">
        <f>Prestiti!G128</f>
        <v>109366.61</v>
      </c>
      <c r="E128">
        <f>Prestiti!H128+Prestiti!K128+Prestiti!L128</f>
        <v>626714.99</v>
      </c>
      <c r="F128">
        <f>Prestiti!I128+Prestiti!J128</f>
        <v>269416.52</v>
      </c>
      <c r="G128">
        <f>Prestiti!M128+Prestiti!N128+Prestiti!O128+Prestiti!P128</f>
        <v>1480908.29</v>
      </c>
      <c r="H128">
        <f t="shared" si="8"/>
        <v>1492616.95</v>
      </c>
      <c r="I128">
        <f>SUM(B128:G128)</f>
        <v>2596850.98</v>
      </c>
      <c r="K128" s="13">
        <f t="shared" si="9"/>
        <v>3.8021400057387966</v>
      </c>
      <c r="L128" s="13">
        <f t="shared" si="10"/>
        <v>0.45087916442552278</v>
      </c>
      <c r="M128" s="13">
        <f t="shared" si="11"/>
        <v>4.2115088945150019</v>
      </c>
      <c r="N128" s="13">
        <f t="shared" si="12"/>
        <v>24.13365244393038</v>
      </c>
      <c r="O128" s="13">
        <f t="shared" si="13"/>
        <v>10.374739331403607</v>
      </c>
      <c r="P128" s="13">
        <f t="shared" si="14"/>
        <v>57.027080159986696</v>
      </c>
      <c r="Q128" s="13">
        <f t="shared" si="15"/>
        <v>57.477959324412211</v>
      </c>
    </row>
    <row r="129" spans="1:17">
      <c r="A129" s="28">
        <v>41180</v>
      </c>
      <c r="B129">
        <f>Prestiti!B129+Prestiti!C129+Prestiti!D129</f>
        <v>100200.81</v>
      </c>
      <c r="C129">
        <f>Prestiti!E129+Prestiti!F129</f>
        <v>11772.81</v>
      </c>
      <c r="D129">
        <f>Prestiti!G129</f>
        <v>109384.4</v>
      </c>
      <c r="E129">
        <f>Prestiti!H129+Prestiti!K129+Prestiti!L129</f>
        <v>649222.63</v>
      </c>
      <c r="F129">
        <f>Prestiti!I129+Prestiti!J129</f>
        <v>270268.27</v>
      </c>
      <c r="G129">
        <f>Prestiti!M129+Prestiti!N129+Prestiti!O129+Prestiti!P129</f>
        <v>1479694.19</v>
      </c>
      <c r="H129">
        <f t="shared" si="8"/>
        <v>1491467</v>
      </c>
      <c r="I129">
        <f>SUM(B129:G129)</f>
        <v>2620543.11</v>
      </c>
      <c r="K129" s="13">
        <f t="shared" si="9"/>
        <v>3.8236657743821665</v>
      </c>
      <c r="L129" s="13">
        <f t="shared" si="10"/>
        <v>0.44925076618945609</v>
      </c>
      <c r="M129" s="13">
        <f t="shared" si="11"/>
        <v>4.1741118313447627</v>
      </c>
      <c r="N129" s="13">
        <f t="shared" si="12"/>
        <v>24.774354122340693</v>
      </c>
      <c r="O129" s="13">
        <f t="shared" si="13"/>
        <v>10.313444910280451</v>
      </c>
      <c r="P129" s="13">
        <f t="shared" si="14"/>
        <v>56.465172595462477</v>
      </c>
      <c r="Q129" s="13">
        <f t="shared" si="15"/>
        <v>56.914423361651934</v>
      </c>
    </row>
    <row r="130" spans="1:17">
      <c r="A130" s="28">
        <v>41149</v>
      </c>
      <c r="B130">
        <f>Prestiti!B130+Prestiti!C130+Prestiti!D130</f>
        <v>102120.38999999998</v>
      </c>
      <c r="C130">
        <f>Prestiti!E130+Prestiti!F130</f>
        <v>12056.86</v>
      </c>
      <c r="D130">
        <f>Prestiti!G130</f>
        <v>108989.68</v>
      </c>
      <c r="E130">
        <f>Prestiti!H130+Prestiti!K130+Prestiti!L130</f>
        <v>613371.86</v>
      </c>
      <c r="F130">
        <f>Prestiti!I130+Prestiti!J130</f>
        <v>266996.78000000003</v>
      </c>
      <c r="G130">
        <f>Prestiti!M130+Prestiti!N130+Prestiti!O130+Prestiti!P130</f>
        <v>1485861.31</v>
      </c>
      <c r="H130">
        <f t="shared" si="8"/>
        <v>1497918.1700000002</v>
      </c>
      <c r="I130">
        <f>SUM(B130:G130)</f>
        <v>2589396.88</v>
      </c>
      <c r="K130" s="13">
        <f t="shared" si="9"/>
        <v>3.9437905710305787</v>
      </c>
      <c r="L130" s="13">
        <f t="shared" si="10"/>
        <v>0.46562425764566462</v>
      </c>
      <c r="M130" s="13">
        <f t="shared" si="11"/>
        <v>4.2090758987861303</v>
      </c>
      <c r="N130" s="13">
        <f t="shared" si="12"/>
        <v>23.687827259604948</v>
      </c>
      <c r="O130" s="13">
        <f t="shared" si="13"/>
        <v>10.311157090758526</v>
      </c>
      <c r="P130" s="13">
        <f t="shared" si="14"/>
        <v>57.382524922174163</v>
      </c>
      <c r="Q130" s="13">
        <f t="shared" si="15"/>
        <v>57.848149179819828</v>
      </c>
    </row>
    <row r="131" spans="1:17">
      <c r="A131" s="28">
        <v>41118</v>
      </c>
      <c r="B131">
        <f>Prestiti!B131+Prestiti!C131+Prestiti!D131</f>
        <v>106125.73000000001</v>
      </c>
      <c r="C131">
        <f>Prestiti!E131+Prestiti!F131</f>
        <v>12197.13</v>
      </c>
      <c r="D131">
        <f>Prestiti!G131</f>
        <v>107844</v>
      </c>
      <c r="E131">
        <f>Prestiti!H131+Prestiti!K131+Prestiti!L131</f>
        <v>616032.53</v>
      </c>
      <c r="F131">
        <f>Prestiti!I131+Prestiti!J131</f>
        <v>266237.81</v>
      </c>
      <c r="G131">
        <f>Prestiti!M131+Prestiti!N131+Prestiti!O131+Prestiti!P131</f>
        <v>1496343.7200000002</v>
      </c>
      <c r="H131">
        <f t="shared" si="8"/>
        <v>1508540.85</v>
      </c>
      <c r="I131">
        <f>SUM(B131:G131)</f>
        <v>2604780.92</v>
      </c>
      <c r="K131" s="13">
        <f t="shared" si="9"/>
        <v>4.0742670212740961</v>
      </c>
      <c r="L131" s="13">
        <f t="shared" si="10"/>
        <v>0.4682593421330804</v>
      </c>
      <c r="M131" s="13">
        <f t="shared" si="11"/>
        <v>4.1402330296553309</v>
      </c>
      <c r="N131" s="13">
        <f t="shared" si="12"/>
        <v>23.650070732244156</v>
      </c>
      <c r="O131" s="13">
        <f t="shared" si="13"/>
        <v>10.221121014660996</v>
      </c>
      <c r="P131" s="13">
        <f t="shared" si="14"/>
        <v>57.446048860032349</v>
      </c>
      <c r="Q131" s="13">
        <f t="shared" si="15"/>
        <v>57.914308202165429</v>
      </c>
    </row>
    <row r="132" spans="1:17">
      <c r="A132" s="28">
        <v>41088</v>
      </c>
      <c r="B132">
        <f>Prestiti!B132+Prestiti!C132+Prestiti!D132</f>
        <v>104832.67</v>
      </c>
      <c r="C132">
        <f>Prestiti!E132+Prestiti!F132</f>
        <v>11987.95</v>
      </c>
      <c r="D132">
        <f>Prestiti!G132</f>
        <v>111409.25</v>
      </c>
      <c r="E132">
        <f>Prestiti!H132+Prestiti!K132+Prestiti!L132</f>
        <v>608023.05000000005</v>
      </c>
      <c r="F132">
        <f>Prestiti!I132+Prestiti!J132</f>
        <v>265039.29000000004</v>
      </c>
      <c r="G132">
        <f>Prestiti!M132+Prestiti!N132+Prestiti!O132+Prestiti!P132</f>
        <v>1497947.2100000002</v>
      </c>
      <c r="H132">
        <f t="shared" ref="H132:H195" si="16">G132+C132</f>
        <v>1509935.1600000001</v>
      </c>
      <c r="I132">
        <f>SUM(B132:G132)</f>
        <v>2599239.42</v>
      </c>
      <c r="K132" s="13">
        <f t="shared" ref="K132:K195" si="17">B132/I132*100</f>
        <v>4.0332056059691492</v>
      </c>
      <c r="L132" s="13">
        <f t="shared" ref="L132:L195" si="18">C132/I132*100</f>
        <v>0.46120991809211642</v>
      </c>
      <c r="M132" s="13">
        <f t="shared" ref="M132:M195" si="19">D132/I132*100</f>
        <v>4.2862250065444147</v>
      </c>
      <c r="N132" s="13">
        <f t="shared" ref="N132:N195" si="20">E132/I132*100</f>
        <v>23.392344903725721</v>
      </c>
      <c r="O132" s="13">
        <f t="shared" ref="O132:O195" si="21">F132/I132*100</f>
        <v>10.196801724405983</v>
      </c>
      <c r="P132" s="13">
        <f t="shared" ref="P132:P195" si="22">G132/I132*100</f>
        <v>57.630212841262626</v>
      </c>
      <c r="Q132" s="13">
        <f t="shared" ref="Q132:Q195" si="23">H132/I132*100</f>
        <v>58.091422759354735</v>
      </c>
    </row>
    <row r="133" spans="1:17">
      <c r="A133" s="28">
        <v>41057</v>
      </c>
      <c r="B133">
        <f>Prestiti!B133+Prestiti!C133+Prestiti!D133</f>
        <v>98874.66</v>
      </c>
      <c r="C133">
        <f>Prestiti!E133+Prestiti!F133</f>
        <v>11777.93</v>
      </c>
      <c r="D133">
        <f>Prestiti!G133</f>
        <v>111835.12</v>
      </c>
      <c r="E133">
        <f>Prestiti!H133+Prestiti!K133+Prestiti!L133</f>
        <v>596192.56999999995</v>
      </c>
      <c r="F133">
        <f>Prestiti!I133+Prestiti!J133</f>
        <v>266128.49</v>
      </c>
      <c r="G133">
        <f>Prestiti!M133+Prestiti!N133+Prestiti!O133+Prestiti!P133</f>
        <v>1502264.77</v>
      </c>
      <c r="H133">
        <f t="shared" si="16"/>
        <v>1514042.7</v>
      </c>
      <c r="I133">
        <f>SUM(B133:G133)</f>
        <v>2587073.54</v>
      </c>
      <c r="K133" s="13">
        <f t="shared" si="17"/>
        <v>3.8218728022706303</v>
      </c>
      <c r="L133" s="13">
        <f t="shared" si="18"/>
        <v>0.45526073448998283</v>
      </c>
      <c r="M133" s="13">
        <f t="shared" si="19"/>
        <v>4.322842712851525</v>
      </c>
      <c r="N133" s="13">
        <f t="shared" si="20"/>
        <v>23.045056925594775</v>
      </c>
      <c r="O133" s="13">
        <f t="shared" si="21"/>
        <v>10.286854466456335</v>
      </c>
      <c r="P133" s="13">
        <f t="shared" si="22"/>
        <v>58.068112358336741</v>
      </c>
      <c r="Q133" s="13">
        <f t="shared" si="23"/>
        <v>58.523373092826724</v>
      </c>
    </row>
    <row r="134" spans="1:17">
      <c r="A134" s="28">
        <v>41027</v>
      </c>
      <c r="B134">
        <f>Prestiti!B134+Prestiti!C134+Prestiti!D134</f>
        <v>99671.71</v>
      </c>
      <c r="C134">
        <f>Prestiti!E134+Prestiti!F134</f>
        <v>11799.25</v>
      </c>
      <c r="D134">
        <f>Prestiti!G134</f>
        <v>101850.92</v>
      </c>
      <c r="E134">
        <f>Prestiti!H134+Prestiti!K134+Prestiti!L134</f>
        <v>598401.80000000005</v>
      </c>
      <c r="F134">
        <f>Prestiti!I134+Prestiti!J134</f>
        <v>267717.04000000004</v>
      </c>
      <c r="G134">
        <f>Prestiti!M134+Prestiti!N134+Prestiti!O134+Prestiti!P134</f>
        <v>1504892.83</v>
      </c>
      <c r="H134">
        <f t="shared" si="16"/>
        <v>1516692.08</v>
      </c>
      <c r="I134">
        <f>SUM(B134:G134)</f>
        <v>2584333.5500000003</v>
      </c>
      <c r="K134" s="13">
        <f t="shared" si="17"/>
        <v>3.8567664766028362</v>
      </c>
      <c r="L134" s="13">
        <f t="shared" si="18"/>
        <v>0.45656838684774254</v>
      </c>
      <c r="M134" s="13">
        <f t="shared" si="19"/>
        <v>3.9410903441624243</v>
      </c>
      <c r="N134" s="13">
        <f t="shared" si="20"/>
        <v>23.154975486813612</v>
      </c>
      <c r="O134" s="13">
        <f t="shared" si="21"/>
        <v>10.359229364955619</v>
      </c>
      <c r="P134" s="13">
        <f t="shared" si="22"/>
        <v>58.231369940617761</v>
      </c>
      <c r="Q134" s="13">
        <f t="shared" si="23"/>
        <v>58.687938327465503</v>
      </c>
    </row>
    <row r="135" spans="1:17">
      <c r="A135" s="28">
        <v>40996</v>
      </c>
      <c r="B135">
        <f>Prestiti!B135+Prestiti!C135+Prestiti!D135</f>
        <v>99535.930000000008</v>
      </c>
      <c r="C135">
        <f>Prestiti!E135+Prestiti!F135</f>
        <v>10803.29</v>
      </c>
      <c r="D135">
        <f>Prestiti!G135</f>
        <v>102237.04</v>
      </c>
      <c r="E135">
        <f>Prestiti!H135+Prestiti!K135+Prestiti!L135</f>
        <v>597300.54999999993</v>
      </c>
      <c r="F135">
        <f>Prestiti!I135+Prestiti!J135</f>
        <v>267592.61</v>
      </c>
      <c r="G135">
        <f>Prestiti!M135+Prestiti!N135+Prestiti!O135+Prestiti!P135</f>
        <v>1499550.2000000002</v>
      </c>
      <c r="H135">
        <f t="shared" si="16"/>
        <v>1510353.4900000002</v>
      </c>
      <c r="I135">
        <f>SUM(B135:G135)</f>
        <v>2577019.62</v>
      </c>
      <c r="K135" s="13">
        <f t="shared" si="17"/>
        <v>3.8624436239255329</v>
      </c>
      <c r="L135" s="13">
        <f t="shared" si="18"/>
        <v>0.41921644352866827</v>
      </c>
      <c r="M135" s="13">
        <f t="shared" si="19"/>
        <v>3.9672588911061526</v>
      </c>
      <c r="N135" s="13">
        <f t="shared" si="20"/>
        <v>23.177958963308161</v>
      </c>
      <c r="O135" s="13">
        <f t="shared" si="21"/>
        <v>10.383801812110379</v>
      </c>
      <c r="P135" s="13">
        <f t="shared" si="22"/>
        <v>58.189320266021106</v>
      </c>
      <c r="Q135" s="13">
        <f t="shared" si="23"/>
        <v>58.608536709549774</v>
      </c>
    </row>
    <row r="136" spans="1:17">
      <c r="A136" s="28">
        <v>40967</v>
      </c>
      <c r="B136">
        <f>Prestiti!B136+Prestiti!C136+Prestiti!D136</f>
        <v>93779.4</v>
      </c>
      <c r="C136">
        <f>Prestiti!E136+Prestiti!F136</f>
        <v>11079.38</v>
      </c>
      <c r="D136">
        <f>Prestiti!G136</f>
        <v>97934.26</v>
      </c>
      <c r="E136">
        <f>Prestiti!H136+Prestiti!K136+Prestiti!L136</f>
        <v>579082.02</v>
      </c>
      <c r="F136">
        <f>Prestiti!I136+Prestiti!J136</f>
        <v>257299.7</v>
      </c>
      <c r="G136">
        <f>Prestiti!M136+Prestiti!N136+Prestiti!O136+Prestiti!P136</f>
        <v>1510960.4800000002</v>
      </c>
      <c r="H136">
        <f t="shared" si="16"/>
        <v>1522039.86</v>
      </c>
      <c r="I136">
        <f>SUM(B136:G136)</f>
        <v>2550135.2400000002</v>
      </c>
      <c r="K136" s="13">
        <f t="shared" si="17"/>
        <v>3.6774284959098869</v>
      </c>
      <c r="L136" s="13">
        <f t="shared" si="18"/>
        <v>0.43446244835234693</v>
      </c>
      <c r="M136" s="13">
        <f t="shared" si="19"/>
        <v>3.8403555413006245</v>
      </c>
      <c r="N136" s="13">
        <f t="shared" si="20"/>
        <v>22.707894503665614</v>
      </c>
      <c r="O136" s="13">
        <f t="shared" si="21"/>
        <v>10.089649206212295</v>
      </c>
      <c r="P136" s="13">
        <f t="shared" si="22"/>
        <v>59.250209804559226</v>
      </c>
      <c r="Q136" s="13">
        <f t="shared" si="23"/>
        <v>59.684672252911575</v>
      </c>
    </row>
    <row r="137" spans="1:17">
      <c r="A137" s="28">
        <v>40936</v>
      </c>
      <c r="B137">
        <f>Prestiti!B137+Prestiti!C137+Prestiti!D137</f>
        <v>92565.150000000009</v>
      </c>
      <c r="C137">
        <f>Prestiti!E137+Prestiti!F137</f>
        <v>11244.89</v>
      </c>
      <c r="D137">
        <f>Prestiti!G137</f>
        <v>98675.23</v>
      </c>
      <c r="E137">
        <f>Prestiti!H137+Prestiti!K137+Prestiti!L137</f>
        <v>597043.37</v>
      </c>
      <c r="F137">
        <f>Prestiti!I137+Prestiti!J137</f>
        <v>254548.02999999997</v>
      </c>
      <c r="G137">
        <f>Prestiti!M137+Prestiti!N137+Prestiti!O137+Prestiti!P137</f>
        <v>1516323.1</v>
      </c>
      <c r="H137">
        <f t="shared" si="16"/>
        <v>1527567.99</v>
      </c>
      <c r="I137">
        <f>SUM(B137:G137)</f>
        <v>2570399.77</v>
      </c>
      <c r="K137" s="13">
        <f t="shared" si="17"/>
        <v>3.6011966340940034</v>
      </c>
      <c r="L137" s="13">
        <f t="shared" si="18"/>
        <v>0.43747630743057531</v>
      </c>
      <c r="M137" s="13">
        <f t="shared" si="19"/>
        <v>3.8389059613088903</v>
      </c>
      <c r="N137" s="13">
        <f t="shared" si="20"/>
        <v>23.227646413927278</v>
      </c>
      <c r="O137" s="13">
        <f t="shared" si="21"/>
        <v>9.9030521621934309</v>
      </c>
      <c r="P137" s="13">
        <f t="shared" si="22"/>
        <v>58.991722521045823</v>
      </c>
      <c r="Q137" s="13">
        <f t="shared" si="23"/>
        <v>59.429198828476395</v>
      </c>
    </row>
    <row r="138" spans="1:17">
      <c r="A138" s="28">
        <v>40905</v>
      </c>
      <c r="B138">
        <f>Prestiti!B138+Prestiti!C138+Prestiti!D138</f>
        <v>102846.92000000001</v>
      </c>
      <c r="C138">
        <f>Prestiti!E138+Prestiti!F138</f>
        <v>11500.14</v>
      </c>
      <c r="D138">
        <f>Prestiti!G138</f>
        <v>100093.85</v>
      </c>
      <c r="E138">
        <f>Prestiti!H138+Prestiti!K138+Prestiti!L138</f>
        <v>605020.12999999989</v>
      </c>
      <c r="F138">
        <f>Prestiti!I138+Prestiti!J138</f>
        <v>257472.76</v>
      </c>
      <c r="G138">
        <f>Prestiti!M138+Prestiti!N138+Prestiti!O138+Prestiti!P138</f>
        <v>1512076.1800000002</v>
      </c>
      <c r="H138">
        <f t="shared" si="16"/>
        <v>1523576.32</v>
      </c>
      <c r="I138">
        <f>SUM(B138:G138)</f>
        <v>2589009.98</v>
      </c>
      <c r="K138" s="13">
        <f t="shared" si="17"/>
        <v>3.9724420065773565</v>
      </c>
      <c r="L138" s="13">
        <f t="shared" si="18"/>
        <v>0.44419064000672559</v>
      </c>
      <c r="M138" s="13">
        <f t="shared" si="19"/>
        <v>3.8661052206527229</v>
      </c>
      <c r="N138" s="13">
        <f t="shared" si="20"/>
        <v>23.368783228869589</v>
      </c>
      <c r="O138" s="13">
        <f t="shared" si="21"/>
        <v>9.9448345888570131</v>
      </c>
      <c r="P138" s="13">
        <f t="shared" si="22"/>
        <v>58.403644315036594</v>
      </c>
      <c r="Q138" s="13">
        <f t="shared" si="23"/>
        <v>58.847834955043318</v>
      </c>
    </row>
    <row r="139" spans="1:17">
      <c r="A139" s="28">
        <v>40875</v>
      </c>
      <c r="B139">
        <f>Prestiti!B139+Prestiti!C139+Prestiti!D139</f>
        <v>98363.839999999997</v>
      </c>
      <c r="C139">
        <f>Prestiti!E139+Prestiti!F139</f>
        <v>12079.78</v>
      </c>
      <c r="D139">
        <f>Prestiti!G139</f>
        <v>94527.34</v>
      </c>
      <c r="E139">
        <f>Prestiti!H139+Prestiti!K139+Prestiti!L139</f>
        <v>606800.78</v>
      </c>
      <c r="F139">
        <f>Prestiti!I139+Prestiti!J139</f>
        <v>257105.58000000002</v>
      </c>
      <c r="G139">
        <f>Prestiti!M139+Prestiti!N139+Prestiti!O139+Prestiti!P139</f>
        <v>1533359.0599999998</v>
      </c>
      <c r="H139">
        <f t="shared" si="16"/>
        <v>1545438.8399999999</v>
      </c>
      <c r="I139">
        <f>SUM(B139:G139)</f>
        <v>2602236.38</v>
      </c>
      <c r="K139" s="13">
        <f t="shared" si="17"/>
        <v>3.7799732859011068</v>
      </c>
      <c r="L139" s="13">
        <f t="shared" si="18"/>
        <v>0.46420763666366083</v>
      </c>
      <c r="M139" s="13">
        <f t="shared" si="19"/>
        <v>3.6325424056979791</v>
      </c>
      <c r="N139" s="13">
        <f t="shared" si="20"/>
        <v>23.318434276904547</v>
      </c>
      <c r="O139" s="13">
        <f t="shared" si="21"/>
        <v>9.8801777569491982</v>
      </c>
      <c r="P139" s="13">
        <f t="shared" si="22"/>
        <v>58.924664637883509</v>
      </c>
      <c r="Q139" s="13">
        <f t="shared" si="23"/>
        <v>59.388872274547168</v>
      </c>
    </row>
    <row r="140" spans="1:17">
      <c r="A140" s="28">
        <v>40844</v>
      </c>
      <c r="B140">
        <f>Prestiti!B140+Prestiti!C140+Prestiti!D140</f>
        <v>102584.19</v>
      </c>
      <c r="C140">
        <f>Prestiti!E140+Prestiti!F140</f>
        <v>12152.67</v>
      </c>
      <c r="D140">
        <f>Prestiti!G140</f>
        <v>93552.11</v>
      </c>
      <c r="E140">
        <f>Prestiti!H140+Prestiti!K140+Prestiti!L140</f>
        <v>610337.70000000007</v>
      </c>
      <c r="F140">
        <f>Prestiti!I140+Prestiti!J140</f>
        <v>257425.69999999998</v>
      </c>
      <c r="G140">
        <f>Prestiti!M140+Prestiti!N140+Prestiti!O140+Prestiti!P140</f>
        <v>1522167.71</v>
      </c>
      <c r="H140">
        <f t="shared" si="16"/>
        <v>1534320.38</v>
      </c>
      <c r="I140">
        <f>SUM(B140:G140)</f>
        <v>2598220.08</v>
      </c>
      <c r="K140" s="13">
        <f t="shared" si="17"/>
        <v>3.9482486795344913</v>
      </c>
      <c r="L140" s="13">
        <f t="shared" si="18"/>
        <v>0.46773058577855342</v>
      </c>
      <c r="M140" s="13">
        <f t="shared" si="19"/>
        <v>3.6006230080401811</v>
      </c>
      <c r="N140" s="13">
        <f t="shared" si="20"/>
        <v>23.490608232078632</v>
      </c>
      <c r="O140" s="13">
        <f t="shared" si="21"/>
        <v>9.9077711692536834</v>
      </c>
      <c r="P140" s="13">
        <f t="shared" si="22"/>
        <v>58.585018325314451</v>
      </c>
      <c r="Q140" s="13">
        <f t="shared" si="23"/>
        <v>59.052748911093012</v>
      </c>
    </row>
    <row r="141" spans="1:17">
      <c r="A141" s="28">
        <v>40814</v>
      </c>
      <c r="B141">
        <f>Prestiti!B141+Prestiti!C141+Prestiti!D141</f>
        <v>102608.14</v>
      </c>
      <c r="C141">
        <f>Prestiti!E141+Prestiti!F141</f>
        <v>11974.039999999999</v>
      </c>
      <c r="D141">
        <f>Prestiti!G141</f>
        <v>95210.07</v>
      </c>
      <c r="E141">
        <f>Prestiti!H141+Prestiti!K141+Prestiti!L141</f>
        <v>608377.16</v>
      </c>
      <c r="F141">
        <f>Prestiti!I141+Prestiti!J141</f>
        <v>258060.41999999998</v>
      </c>
      <c r="G141">
        <f>Prestiti!M141+Prestiti!N141+Prestiti!O141+Prestiti!P141</f>
        <v>1523710.3</v>
      </c>
      <c r="H141">
        <f t="shared" si="16"/>
        <v>1535684.34</v>
      </c>
      <c r="I141">
        <f>SUM(B141:G141)</f>
        <v>2599940.13</v>
      </c>
      <c r="K141" s="13">
        <f t="shared" si="17"/>
        <v>3.9465578001598063</v>
      </c>
      <c r="L141" s="13">
        <f t="shared" si="18"/>
        <v>0.46055060506335577</v>
      </c>
      <c r="M141" s="13">
        <f t="shared" si="19"/>
        <v>3.6620100940555123</v>
      </c>
      <c r="N141" s="13">
        <f t="shared" si="20"/>
        <v>23.399660360640691</v>
      </c>
      <c r="O141" s="13">
        <f t="shared" si="21"/>
        <v>9.9256293259337482</v>
      </c>
      <c r="P141" s="13">
        <f t="shared" si="22"/>
        <v>58.605591814146898</v>
      </c>
      <c r="Q141" s="13">
        <f t="shared" si="23"/>
        <v>59.066142419210252</v>
      </c>
    </row>
    <row r="142" spans="1:17">
      <c r="A142" s="28">
        <v>40783</v>
      </c>
      <c r="B142">
        <f>Prestiti!B142+Prestiti!C142+Prestiti!D142</f>
        <v>88499.69</v>
      </c>
      <c r="C142">
        <f>Prestiti!E142+Prestiti!F142</f>
        <v>11565.34</v>
      </c>
      <c r="D142">
        <f>Prestiti!G142</f>
        <v>91008.21</v>
      </c>
      <c r="E142">
        <f>Prestiti!H142+Prestiti!K142+Prestiti!L142</f>
        <v>576437.48</v>
      </c>
      <c r="F142">
        <f>Prestiti!I142+Prestiti!J142</f>
        <v>258898.37</v>
      </c>
      <c r="G142">
        <f>Prestiti!M142+Prestiti!N142+Prestiti!O142+Prestiti!P142</f>
        <v>1513174.01</v>
      </c>
      <c r="H142">
        <f t="shared" si="16"/>
        <v>1524739.35</v>
      </c>
      <c r="I142">
        <f>SUM(B142:G142)</f>
        <v>2539583.1</v>
      </c>
      <c r="K142" s="13">
        <f t="shared" si="17"/>
        <v>3.4848117393756475</v>
      </c>
      <c r="L142" s="13">
        <f t="shared" si="18"/>
        <v>0.45540309352349995</v>
      </c>
      <c r="M142" s="13">
        <f t="shared" si="19"/>
        <v>3.5835885819211821</v>
      </c>
      <c r="N142" s="13">
        <f t="shared" si="20"/>
        <v>22.698114505487137</v>
      </c>
      <c r="O142" s="13">
        <f t="shared" si="21"/>
        <v>10.194522478906084</v>
      </c>
      <c r="P142" s="13">
        <f t="shared" si="22"/>
        <v>59.583559600786437</v>
      </c>
      <c r="Q142" s="13">
        <f t="shared" si="23"/>
        <v>60.038962694309951</v>
      </c>
    </row>
    <row r="143" spans="1:17">
      <c r="A143" s="28">
        <v>40752</v>
      </c>
      <c r="B143">
        <f>Prestiti!B143+Prestiti!C143+Prestiti!D143</f>
        <v>91767.87</v>
      </c>
      <c r="C143">
        <f>Prestiti!E143+Prestiti!F143</f>
        <v>11510.88</v>
      </c>
      <c r="D143">
        <f>Prestiti!G143</f>
        <v>87549.41</v>
      </c>
      <c r="E143">
        <f>Prestiti!H143+Prestiti!K143+Prestiti!L143</f>
        <v>575845.51</v>
      </c>
      <c r="F143">
        <f>Prestiti!I143+Prestiti!J143</f>
        <v>260788.7</v>
      </c>
      <c r="G143">
        <f>Prestiti!M143+Prestiti!N143+Prestiti!O143+Prestiti!P143</f>
        <v>1513168.3</v>
      </c>
      <c r="H143">
        <f t="shared" si="16"/>
        <v>1524679.18</v>
      </c>
      <c r="I143">
        <f>SUM(B143:G143)</f>
        <v>2540630.67</v>
      </c>
      <c r="K143" s="13">
        <f t="shared" si="17"/>
        <v>3.6120114223449877</v>
      </c>
      <c r="L143" s="13">
        <f t="shared" si="18"/>
        <v>0.45307175639188829</v>
      </c>
      <c r="M143" s="13">
        <f t="shared" si="19"/>
        <v>3.4459715468994165</v>
      </c>
      <c r="N143" s="13">
        <f t="shared" si="20"/>
        <v>22.665455345384775</v>
      </c>
      <c r="O143" s="13">
        <f t="shared" si="21"/>
        <v>10.264722971324282</v>
      </c>
      <c r="P143" s="13">
        <f t="shared" si="22"/>
        <v>59.558766957654655</v>
      </c>
      <c r="Q143" s="13">
        <f t="shared" si="23"/>
        <v>60.01183871404654</v>
      </c>
    </row>
    <row r="144" spans="1:17">
      <c r="A144" s="28">
        <v>40722</v>
      </c>
      <c r="B144">
        <f>Prestiti!B144+Prestiti!C144+Prestiti!D144</f>
        <v>88389.38</v>
      </c>
      <c r="C144">
        <f>Prestiti!E144+Prestiti!F144</f>
        <v>11540.09</v>
      </c>
      <c r="D144">
        <f>Prestiti!G144</f>
        <v>84180.36</v>
      </c>
      <c r="E144">
        <f>Prestiti!H144+Prestiti!K144+Prestiti!L144</f>
        <v>579949.88</v>
      </c>
      <c r="F144">
        <f>Prestiti!I144+Prestiti!J144</f>
        <v>263610.56</v>
      </c>
      <c r="G144">
        <f>Prestiti!M144+Prestiti!N144+Prestiti!O144+Prestiti!P144</f>
        <v>1513636.28</v>
      </c>
      <c r="H144">
        <f t="shared" si="16"/>
        <v>1525176.37</v>
      </c>
      <c r="I144">
        <f>SUM(B144:G144)</f>
        <v>2541306.5499999998</v>
      </c>
      <c r="K144" s="13">
        <f t="shared" si="17"/>
        <v>3.4781077473711313</v>
      </c>
      <c r="L144" s="13">
        <f t="shared" si="18"/>
        <v>0.45410066723355358</v>
      </c>
      <c r="M144" s="13">
        <f t="shared" si="19"/>
        <v>3.3124834939728149</v>
      </c>
      <c r="N144" s="13">
        <f t="shared" si="20"/>
        <v>22.820933586308197</v>
      </c>
      <c r="O144" s="13">
        <f t="shared" si="21"/>
        <v>10.373032722085417</v>
      </c>
      <c r="P144" s="13">
        <f t="shared" si="22"/>
        <v>59.561341783028901</v>
      </c>
      <c r="Q144" s="13">
        <f t="shared" si="23"/>
        <v>60.015442450262455</v>
      </c>
    </row>
    <row r="145" spans="1:17">
      <c r="A145" s="28">
        <v>40691</v>
      </c>
      <c r="B145">
        <f>Prestiti!B145+Prestiti!C145+Prestiti!D145</f>
        <v>87156.65</v>
      </c>
      <c r="C145">
        <f>Prestiti!E145+Prestiti!F145</f>
        <v>11245.55</v>
      </c>
      <c r="D145">
        <f>Prestiti!G145</f>
        <v>83076.289999999994</v>
      </c>
      <c r="E145">
        <f>Prestiti!H145+Prestiti!K145+Prestiti!L145</f>
        <v>589556.84</v>
      </c>
      <c r="F145">
        <f>Prestiti!I145+Prestiti!J145</f>
        <v>263331.15000000002</v>
      </c>
      <c r="G145">
        <f>Prestiti!M145+Prestiti!N145+Prestiti!O145+Prestiti!P145</f>
        <v>1506039.34</v>
      </c>
      <c r="H145">
        <f t="shared" si="16"/>
        <v>1517284.8900000001</v>
      </c>
      <c r="I145">
        <f>SUM(B145:G145)</f>
        <v>2540405.8200000003</v>
      </c>
      <c r="K145" s="13">
        <f t="shared" si="17"/>
        <v>3.4308160260788561</v>
      </c>
      <c r="L145" s="13">
        <f t="shared" si="18"/>
        <v>0.44266746326380235</v>
      </c>
      <c r="M145" s="13">
        <f t="shared" si="19"/>
        <v>3.2701975938631724</v>
      </c>
      <c r="N145" s="13">
        <f t="shared" si="20"/>
        <v>23.207191361260538</v>
      </c>
      <c r="O145" s="13">
        <f t="shared" si="21"/>
        <v>10.36571196329569</v>
      </c>
      <c r="P145" s="13">
        <f t="shared" si="22"/>
        <v>59.28341559223793</v>
      </c>
      <c r="Q145" s="13">
        <f t="shared" si="23"/>
        <v>59.726083055501732</v>
      </c>
    </row>
    <row r="146" spans="1:17">
      <c r="A146" s="28">
        <v>40661</v>
      </c>
      <c r="B146">
        <f>Prestiti!B146+Prestiti!C146+Prestiti!D146</f>
        <v>94589.560000000012</v>
      </c>
      <c r="C146">
        <f>Prestiti!E146+Prestiti!F146</f>
        <v>11316.6</v>
      </c>
      <c r="D146">
        <f>Prestiti!G146</f>
        <v>80631.73</v>
      </c>
      <c r="E146">
        <f>Prestiti!H146+Prestiti!K146+Prestiti!L146</f>
        <v>589170.24</v>
      </c>
      <c r="F146">
        <f>Prestiti!I146+Prestiti!J146</f>
        <v>262544.44</v>
      </c>
      <c r="G146">
        <f>Prestiti!M146+Prestiti!N146+Prestiti!O146+Prestiti!P146</f>
        <v>1490384.48</v>
      </c>
      <c r="H146">
        <f t="shared" si="16"/>
        <v>1501701.08</v>
      </c>
      <c r="I146">
        <f>SUM(B146:G146)</f>
        <v>2528637.0499999998</v>
      </c>
      <c r="K146" s="13">
        <f t="shared" si="17"/>
        <v>3.740732977079491</v>
      </c>
      <c r="L146" s="13">
        <f t="shared" si="18"/>
        <v>0.44753753805829904</v>
      </c>
      <c r="M146" s="13">
        <f t="shared" si="19"/>
        <v>3.1887427260468248</v>
      </c>
      <c r="N146" s="13">
        <f t="shared" si="20"/>
        <v>23.299913287278617</v>
      </c>
      <c r="O146" s="13">
        <f t="shared" si="21"/>
        <v>10.38284399099507</v>
      </c>
      <c r="P146" s="13">
        <f t="shared" si="22"/>
        <v>58.940229480541703</v>
      </c>
      <c r="Q146" s="13">
        <f t="shared" si="23"/>
        <v>59.387767018600016</v>
      </c>
    </row>
    <row r="147" spans="1:17">
      <c r="A147" s="28">
        <v>40630</v>
      </c>
      <c r="B147">
        <f>Prestiti!B147+Prestiti!C147+Prestiti!D147</f>
        <v>98603.68</v>
      </c>
      <c r="C147">
        <f>Prestiti!E147+Prestiti!F147</f>
        <v>11928.26</v>
      </c>
      <c r="D147">
        <f>Prestiti!G147</f>
        <v>80961.399999999994</v>
      </c>
      <c r="E147">
        <f>Prestiti!H147+Prestiti!K147+Prestiti!L147</f>
        <v>587144.22</v>
      </c>
      <c r="F147">
        <f>Prestiti!I147+Prestiti!J147</f>
        <v>261268.89</v>
      </c>
      <c r="G147">
        <f>Prestiti!M147+Prestiti!N147+Prestiti!O147+Prestiti!P147</f>
        <v>1494997.99</v>
      </c>
      <c r="H147">
        <f t="shared" si="16"/>
        <v>1506926.25</v>
      </c>
      <c r="I147">
        <f>SUM(B147:G147)</f>
        <v>2534904.44</v>
      </c>
      <c r="K147" s="13">
        <f t="shared" si="17"/>
        <v>3.8898381510586644</v>
      </c>
      <c r="L147" s="13">
        <f t="shared" si="18"/>
        <v>0.47056053915783902</v>
      </c>
      <c r="M147" s="13">
        <f t="shared" si="19"/>
        <v>3.1938639864467633</v>
      </c>
      <c r="N147" s="13">
        <f t="shared" si="20"/>
        <v>23.162380827263057</v>
      </c>
      <c r="O147" s="13">
        <f t="shared" si="21"/>
        <v>10.306853618513525</v>
      </c>
      <c r="P147" s="13">
        <f t="shared" si="22"/>
        <v>58.976502877560158</v>
      </c>
      <c r="Q147" s="13">
        <f t="shared" si="23"/>
        <v>59.447063416717995</v>
      </c>
    </row>
    <row r="148" spans="1:17">
      <c r="A148" s="28">
        <v>40602</v>
      </c>
      <c r="B148">
        <f>Prestiti!B148+Prestiti!C148+Prestiti!D148</f>
        <v>94686.549999999988</v>
      </c>
      <c r="C148">
        <f>Prestiti!E148+Prestiti!F148</f>
        <v>12282.880000000001</v>
      </c>
      <c r="D148">
        <f>Prestiti!G148</f>
        <v>77723.570000000007</v>
      </c>
      <c r="E148">
        <f>Prestiti!H148+Prestiti!K148+Prestiti!L148</f>
        <v>602672.59000000008</v>
      </c>
      <c r="F148">
        <f>Prestiti!I148+Prestiti!J148</f>
        <v>261354.35</v>
      </c>
      <c r="G148">
        <f>Prestiti!M148+Prestiti!N148+Prestiti!O148+Prestiti!P148</f>
        <v>1494132.53</v>
      </c>
      <c r="H148">
        <f t="shared" si="16"/>
        <v>1506415.41</v>
      </c>
      <c r="I148">
        <f>SUM(B148:G148)</f>
        <v>2542852.4700000002</v>
      </c>
      <c r="K148" s="13">
        <f t="shared" si="17"/>
        <v>3.7236352134892035</v>
      </c>
      <c r="L148" s="13">
        <f t="shared" si="18"/>
        <v>0.48303549438713606</v>
      </c>
      <c r="M148" s="13">
        <f t="shared" si="19"/>
        <v>3.0565505044812924</v>
      </c>
      <c r="N148" s="13">
        <f t="shared" si="20"/>
        <v>23.700651025185117</v>
      </c>
      <c r="O148" s="13">
        <f t="shared" si="21"/>
        <v>10.277998943446374</v>
      </c>
      <c r="P148" s="13">
        <f t="shared" si="22"/>
        <v>58.758128819010878</v>
      </c>
      <c r="Q148" s="13">
        <f t="shared" si="23"/>
        <v>59.241164313398009</v>
      </c>
    </row>
    <row r="149" spans="1:17">
      <c r="A149" s="28">
        <v>40571</v>
      </c>
      <c r="B149">
        <f>Prestiti!B149+Prestiti!C149+Prestiti!D149</f>
        <v>95155.69</v>
      </c>
      <c r="C149">
        <f>Prestiti!E149+Prestiti!F149</f>
        <v>12030.16</v>
      </c>
      <c r="D149">
        <f>Prestiti!G149</f>
        <v>79039.62</v>
      </c>
      <c r="E149">
        <f>Prestiti!H149+Prestiti!K149+Prestiti!L149</f>
        <v>591483.89</v>
      </c>
      <c r="F149">
        <f>Prestiti!I149+Prestiti!J149</f>
        <v>261885.53999999998</v>
      </c>
      <c r="G149">
        <f>Prestiti!M149+Prestiti!N149+Prestiti!O149+Prestiti!P149</f>
        <v>1488828.59</v>
      </c>
      <c r="H149">
        <f t="shared" si="16"/>
        <v>1500858.75</v>
      </c>
      <c r="I149">
        <f>SUM(B149:G149)</f>
        <v>2528423.4900000002</v>
      </c>
      <c r="K149" s="13">
        <f t="shared" si="17"/>
        <v>3.7634395652604855</v>
      </c>
      <c r="L149" s="13">
        <f t="shared" si="18"/>
        <v>0.4757968768910622</v>
      </c>
      <c r="M149" s="13">
        <f t="shared" si="19"/>
        <v>3.1260435727086207</v>
      </c>
      <c r="N149" s="13">
        <f t="shared" si="20"/>
        <v>23.393386920321639</v>
      </c>
      <c r="O149" s="13">
        <f t="shared" si="21"/>
        <v>10.357661247641706</v>
      </c>
      <c r="P149" s="13">
        <f t="shared" si="22"/>
        <v>58.883671817176477</v>
      </c>
      <c r="Q149" s="13">
        <f t="shared" si="23"/>
        <v>59.359468694067544</v>
      </c>
    </row>
    <row r="150" spans="1:17">
      <c r="A150" s="28">
        <v>40540</v>
      </c>
      <c r="B150">
        <f>Prestiti!B150+Prestiti!C150+Prestiti!D150</f>
        <v>95067.01</v>
      </c>
      <c r="C150">
        <f>Prestiti!E150+Prestiti!F150</f>
        <v>12222.69</v>
      </c>
      <c r="D150">
        <f>Prestiti!G150</f>
        <v>75019.34</v>
      </c>
      <c r="E150">
        <f>Prestiti!H150+Prestiti!K150+Prestiti!L150</f>
        <v>599870.77</v>
      </c>
      <c r="F150">
        <f>Prestiti!I150+Prestiti!J150</f>
        <v>258866.79</v>
      </c>
      <c r="G150">
        <f>Prestiti!M150+Prestiti!N150+Prestiti!O150+Prestiti!P150</f>
        <v>1459690.0799999998</v>
      </c>
      <c r="H150">
        <f t="shared" si="16"/>
        <v>1471912.7699999998</v>
      </c>
      <c r="I150">
        <f>SUM(B150:G150)</f>
        <v>2500736.6799999997</v>
      </c>
      <c r="K150" s="13">
        <f t="shared" si="17"/>
        <v>3.8015601866566779</v>
      </c>
      <c r="L150" s="13">
        <f t="shared" si="18"/>
        <v>0.48876357505981005</v>
      </c>
      <c r="M150" s="13">
        <f t="shared" si="19"/>
        <v>2.9998896165269193</v>
      </c>
      <c r="N150" s="13">
        <f t="shared" si="20"/>
        <v>23.987762278113987</v>
      </c>
      <c r="O150" s="13">
        <f t="shared" si="21"/>
        <v>10.351621267057995</v>
      </c>
      <c r="P150" s="13">
        <f t="shared" si="22"/>
        <v>58.370403076584623</v>
      </c>
      <c r="Q150" s="13">
        <f t="shared" si="23"/>
        <v>58.859166651644422</v>
      </c>
    </row>
    <row r="151" spans="1:17">
      <c r="A151" s="28">
        <v>40510</v>
      </c>
      <c r="B151">
        <f>Prestiti!B151+Prestiti!C151+Prestiti!D151</f>
        <v>89941.400000000009</v>
      </c>
      <c r="C151">
        <f>Prestiti!E151+Prestiti!F151</f>
        <v>11685.130000000001</v>
      </c>
      <c r="D151">
        <f>Prestiti!G151</f>
        <v>73935.05</v>
      </c>
      <c r="E151">
        <f>Prestiti!H151+Prestiti!K151+Prestiti!L151</f>
        <v>596439.10000000009</v>
      </c>
      <c r="F151">
        <f>Prestiti!I151+Prestiti!J151</f>
        <v>256852.71</v>
      </c>
      <c r="G151">
        <f>Prestiti!M151+Prestiti!N151+Prestiti!O151+Prestiti!P151</f>
        <v>1462825.66</v>
      </c>
      <c r="H151">
        <f t="shared" si="16"/>
        <v>1474510.7899999998</v>
      </c>
      <c r="I151">
        <f>SUM(B151:G151)</f>
        <v>2491679.0499999998</v>
      </c>
      <c r="K151" s="13">
        <f t="shared" si="17"/>
        <v>3.6096703546148938</v>
      </c>
      <c r="L151" s="13">
        <f t="shared" si="18"/>
        <v>0.46896609737919509</v>
      </c>
      <c r="M151" s="13">
        <f t="shared" si="19"/>
        <v>2.9672782295135489</v>
      </c>
      <c r="N151" s="13">
        <f t="shared" si="20"/>
        <v>23.93723621828422</v>
      </c>
      <c r="O151" s="13">
        <f t="shared" si="21"/>
        <v>10.308418734748361</v>
      </c>
      <c r="P151" s="13">
        <f t="shared" si="22"/>
        <v>58.708430365459783</v>
      </c>
      <c r="Q151" s="13">
        <f t="shared" si="23"/>
        <v>59.177396462838985</v>
      </c>
    </row>
    <row r="152" spans="1:17">
      <c r="A152" s="28">
        <v>40479</v>
      </c>
      <c r="B152">
        <f>Prestiti!B152+Prestiti!C152+Prestiti!D152</f>
        <v>89889.749999999985</v>
      </c>
      <c r="C152">
        <f>Prestiti!E152+Prestiti!F152</f>
        <v>11340.52</v>
      </c>
      <c r="D152">
        <f>Prestiti!G152</f>
        <v>75892.990000000005</v>
      </c>
      <c r="E152">
        <f>Prestiti!H152+Prestiti!K152+Prestiti!L152</f>
        <v>736430.33</v>
      </c>
      <c r="F152">
        <f>Prestiti!I152+Prestiti!J152</f>
        <v>254115.68</v>
      </c>
      <c r="G152">
        <f>Prestiti!M152+Prestiti!N152+Prestiti!O152+Prestiti!P152</f>
        <v>1441259.92</v>
      </c>
      <c r="H152">
        <f t="shared" si="16"/>
        <v>1452600.44</v>
      </c>
      <c r="I152">
        <f>SUM(B152:G152)</f>
        <v>2608929.19</v>
      </c>
      <c r="K152" s="13">
        <f t="shared" si="17"/>
        <v>3.445465302183996</v>
      </c>
      <c r="L152" s="13">
        <f t="shared" si="18"/>
        <v>0.43468101945687537</v>
      </c>
      <c r="M152" s="13">
        <f t="shared" si="19"/>
        <v>2.9089708640195022</v>
      </c>
      <c r="N152" s="13">
        <f t="shared" si="20"/>
        <v>28.227302328584852</v>
      </c>
      <c r="O152" s="13">
        <f t="shared" si="21"/>
        <v>9.7402290937608775</v>
      </c>
      <c r="P152" s="13">
        <f t="shared" si="22"/>
        <v>55.24335139199389</v>
      </c>
      <c r="Q152" s="13">
        <f t="shared" si="23"/>
        <v>55.678032411450772</v>
      </c>
    </row>
    <row r="153" spans="1:17">
      <c r="A153" s="28">
        <v>40449</v>
      </c>
      <c r="B153">
        <f>Prestiti!B153+Prestiti!C153+Prestiti!D153</f>
        <v>90450.18</v>
      </c>
      <c r="C153">
        <f>Prestiti!E153+Prestiti!F153</f>
        <v>11970.949999999999</v>
      </c>
      <c r="D153">
        <f>Prestiti!G153</f>
        <v>75921.759999999995</v>
      </c>
      <c r="E153">
        <f>Prestiti!H153+Prestiti!K153+Prestiti!L153</f>
        <v>745974.76</v>
      </c>
      <c r="F153">
        <f>Prestiti!I153+Prestiti!J153</f>
        <v>255080.24</v>
      </c>
      <c r="G153">
        <f>Prestiti!M153+Prestiti!N153+Prestiti!O153+Prestiti!P153</f>
        <v>1446279.74</v>
      </c>
      <c r="H153">
        <f t="shared" si="16"/>
        <v>1458250.69</v>
      </c>
      <c r="I153">
        <f>SUM(B153:G153)</f>
        <v>2625677.63</v>
      </c>
      <c r="K153" s="13">
        <f t="shared" si="17"/>
        <v>3.4448318775523101</v>
      </c>
      <c r="L153" s="13">
        <f t="shared" si="18"/>
        <v>0.45591849750420427</v>
      </c>
      <c r="M153" s="13">
        <f t="shared" si="19"/>
        <v>2.8915110953662655</v>
      </c>
      <c r="N153" s="13">
        <f t="shared" si="20"/>
        <v>28.410752008425344</v>
      </c>
      <c r="O153" s="13">
        <f t="shared" si="21"/>
        <v>9.7148346425147398</v>
      </c>
      <c r="P153" s="13">
        <f t="shared" si="22"/>
        <v>55.082151878637141</v>
      </c>
      <c r="Q153" s="13">
        <f t="shared" si="23"/>
        <v>55.538070376141334</v>
      </c>
    </row>
    <row r="154" spans="1:17">
      <c r="A154" s="28">
        <v>40418</v>
      </c>
      <c r="B154">
        <f>Prestiti!B154+Prestiti!C154+Prestiti!D154</f>
        <v>91777.53</v>
      </c>
      <c r="C154">
        <f>Prestiti!E154+Prestiti!F154</f>
        <v>11543.04</v>
      </c>
      <c r="D154">
        <f>Prestiti!G154</f>
        <v>77338.14</v>
      </c>
      <c r="E154">
        <f>Prestiti!H154+Prestiti!K154+Prestiti!L154</f>
        <v>732644.29</v>
      </c>
      <c r="F154">
        <f>Prestiti!I154+Prestiti!J154</f>
        <v>253263.65000000002</v>
      </c>
      <c r="G154">
        <f>Prestiti!M154+Prestiti!N154+Prestiti!O154+Prestiti!P154</f>
        <v>1436844.5499999998</v>
      </c>
      <c r="H154">
        <f t="shared" si="16"/>
        <v>1448387.5899999999</v>
      </c>
      <c r="I154">
        <f>SUM(B154:G154)</f>
        <v>2603411.1999999997</v>
      </c>
      <c r="K154" s="13">
        <f t="shared" si="17"/>
        <v>3.5252798328592889</v>
      </c>
      <c r="L154" s="13">
        <f t="shared" si="18"/>
        <v>0.44338136057799871</v>
      </c>
      <c r="M154" s="13">
        <f t="shared" si="19"/>
        <v>2.9706463581319773</v>
      </c>
      <c r="N154" s="13">
        <f t="shared" si="20"/>
        <v>28.141704621997484</v>
      </c>
      <c r="O154" s="13">
        <f t="shared" si="21"/>
        <v>9.7281462874554769</v>
      </c>
      <c r="P154" s="13">
        <f t="shared" si="22"/>
        <v>55.190841538977786</v>
      </c>
      <c r="Q154" s="13">
        <f t="shared" si="23"/>
        <v>55.634222899555787</v>
      </c>
    </row>
    <row r="155" spans="1:17">
      <c r="A155" s="28">
        <v>40387</v>
      </c>
      <c r="B155">
        <f>Prestiti!B155+Prestiti!C155+Prestiti!D155</f>
        <v>100157.81</v>
      </c>
      <c r="C155">
        <f>Prestiti!E155+Prestiti!F155</f>
        <v>11460.97</v>
      </c>
      <c r="D155">
        <f>Prestiti!G155</f>
        <v>72779.759999999995</v>
      </c>
      <c r="E155">
        <f>Prestiti!H155+Prestiti!K155+Prestiti!L155</f>
        <v>736879.61999999988</v>
      </c>
      <c r="F155">
        <f>Prestiti!I155+Prestiti!J155</f>
        <v>252664.18</v>
      </c>
      <c r="G155">
        <f>Prestiti!M155+Prestiti!N155+Prestiti!O155+Prestiti!P155</f>
        <v>1435574.46</v>
      </c>
      <c r="H155">
        <f t="shared" si="16"/>
        <v>1447035.43</v>
      </c>
      <c r="I155">
        <f>SUM(B155:G155)</f>
        <v>2609516.7999999998</v>
      </c>
      <c r="K155" s="13">
        <f t="shared" si="17"/>
        <v>3.8381745616659759</v>
      </c>
      <c r="L155" s="13">
        <f t="shared" si="18"/>
        <v>0.43919893522049752</v>
      </c>
      <c r="M155" s="13">
        <f t="shared" si="19"/>
        <v>2.7890128931149243</v>
      </c>
      <c r="N155" s="13">
        <f t="shared" si="20"/>
        <v>28.238163479154455</v>
      </c>
      <c r="O155" s="13">
        <f t="shared" si="21"/>
        <v>9.6824124680860457</v>
      </c>
      <c r="P155" s="13">
        <f t="shared" si="22"/>
        <v>55.013037662758101</v>
      </c>
      <c r="Q155" s="13">
        <f t="shared" si="23"/>
        <v>55.452236597978597</v>
      </c>
    </row>
    <row r="156" spans="1:17">
      <c r="A156" s="28">
        <v>40357</v>
      </c>
      <c r="B156">
        <f>Prestiti!B156+Prestiti!C156+Prestiti!D156</f>
        <v>100711.75</v>
      </c>
      <c r="C156">
        <f>Prestiti!E156+Prestiti!F156</f>
        <v>12006.859999999999</v>
      </c>
      <c r="D156">
        <f>Prestiti!G156</f>
        <v>71899.55</v>
      </c>
      <c r="E156">
        <f>Prestiti!H156+Prestiti!K156+Prestiti!L156</f>
        <v>752773.83</v>
      </c>
      <c r="F156">
        <f>Prestiti!I156+Prestiti!J156</f>
        <v>252709.4</v>
      </c>
      <c r="G156">
        <f>Prestiti!M156+Prestiti!N156+Prestiti!O156+Prestiti!P156</f>
        <v>1433497.46</v>
      </c>
      <c r="H156">
        <f t="shared" si="16"/>
        <v>1445504.32</v>
      </c>
      <c r="I156">
        <f>SUM(B156:G156)</f>
        <v>2623598.8499999996</v>
      </c>
      <c r="K156" s="13">
        <f t="shared" si="17"/>
        <v>3.8386870767228771</v>
      </c>
      <c r="L156" s="13">
        <f t="shared" si="18"/>
        <v>0.45764847015388804</v>
      </c>
      <c r="M156" s="13">
        <f t="shared" si="19"/>
        <v>2.740493273199903</v>
      </c>
      <c r="N156" s="13">
        <f t="shared" si="20"/>
        <v>28.692413476244667</v>
      </c>
      <c r="O156" s="13">
        <f t="shared" si="21"/>
        <v>9.6321661369839386</v>
      </c>
      <c r="P156" s="13">
        <f t="shared" si="22"/>
        <v>54.638591566694735</v>
      </c>
      <c r="Q156" s="13">
        <f t="shared" si="23"/>
        <v>55.096240036848634</v>
      </c>
    </row>
    <row r="157" spans="1:17">
      <c r="A157" s="28">
        <v>40326</v>
      </c>
      <c r="B157">
        <f>Prestiti!B157+Prestiti!C157+Prestiti!D157</f>
        <v>107897.88</v>
      </c>
      <c r="C157">
        <f>Prestiti!E157+Prestiti!F157</f>
        <v>11512.81</v>
      </c>
      <c r="D157">
        <f>Prestiti!G157</f>
        <v>70774.38</v>
      </c>
      <c r="E157">
        <f>Prestiti!H157+Prestiti!K157+Prestiti!L157</f>
        <v>753669.57</v>
      </c>
      <c r="F157">
        <f>Prestiti!I157+Prestiti!J157</f>
        <v>253036.84000000003</v>
      </c>
      <c r="G157">
        <f>Prestiti!M157+Prestiti!N157+Prestiti!O157+Prestiti!P157</f>
        <v>1359267.1400000001</v>
      </c>
      <c r="H157">
        <f t="shared" si="16"/>
        <v>1370779.9500000002</v>
      </c>
      <c r="I157">
        <f>SUM(B157:G157)</f>
        <v>2556158.62</v>
      </c>
      <c r="K157" s="13">
        <f t="shared" si="17"/>
        <v>4.2210948552167702</v>
      </c>
      <c r="L157" s="13">
        <f t="shared" si="18"/>
        <v>0.45039497587986144</v>
      </c>
      <c r="M157" s="13">
        <f t="shared" si="19"/>
        <v>2.768778879614286</v>
      </c>
      <c r="N157" s="13">
        <f t="shared" si="20"/>
        <v>29.484460162335306</v>
      </c>
      <c r="O157" s="13">
        <f t="shared" si="21"/>
        <v>9.8991055570721986</v>
      </c>
      <c r="P157" s="13">
        <f t="shared" si="22"/>
        <v>53.176165569881576</v>
      </c>
      <c r="Q157" s="13">
        <f t="shared" si="23"/>
        <v>53.626560545761436</v>
      </c>
    </row>
    <row r="158" spans="1:17">
      <c r="A158" s="28">
        <v>40296</v>
      </c>
      <c r="B158">
        <f>Prestiti!B158+Prestiti!C158+Prestiti!D158</f>
        <v>104804.51999999999</v>
      </c>
      <c r="C158">
        <f>Prestiti!E158+Prestiti!F158</f>
        <v>11913.119999999999</v>
      </c>
      <c r="D158">
        <f>Prestiti!G158</f>
        <v>68570.789999999994</v>
      </c>
      <c r="E158">
        <f>Prestiti!H158+Prestiti!K158+Prestiti!L158</f>
        <v>753407.25</v>
      </c>
      <c r="F158">
        <f>Prestiti!I158+Prestiti!J158</f>
        <v>254343.53999999998</v>
      </c>
      <c r="G158">
        <f>Prestiti!M158+Prestiti!N158+Prestiti!O158+Prestiti!P158</f>
        <v>1346237.9</v>
      </c>
      <c r="H158">
        <f t="shared" si="16"/>
        <v>1358151.02</v>
      </c>
      <c r="I158">
        <f>SUM(B158:G158)</f>
        <v>2539277.12</v>
      </c>
      <c r="K158" s="13">
        <f t="shared" si="17"/>
        <v>4.1273368382888425</v>
      </c>
      <c r="L158" s="13">
        <f t="shared" si="18"/>
        <v>0.46915399292850707</v>
      </c>
      <c r="M158" s="13">
        <f t="shared" si="19"/>
        <v>2.7004059328506842</v>
      </c>
      <c r="N158" s="13">
        <f t="shared" si="20"/>
        <v>29.670146832969536</v>
      </c>
      <c r="O158" s="13">
        <f t="shared" si="21"/>
        <v>10.016375841641104</v>
      </c>
      <c r="P158" s="13">
        <f t="shared" si="22"/>
        <v>53.016580561321327</v>
      </c>
      <c r="Q158" s="13">
        <f t="shared" si="23"/>
        <v>53.485734554249831</v>
      </c>
    </row>
    <row r="159" spans="1:17">
      <c r="A159" s="28">
        <v>40265</v>
      </c>
      <c r="B159">
        <f>Prestiti!B159+Prestiti!C159+Prestiti!D159</f>
        <v>100249.84</v>
      </c>
      <c r="C159">
        <f>Prestiti!E159+Prestiti!F159</f>
        <v>12081.17</v>
      </c>
      <c r="D159">
        <f>Prestiti!G159</f>
        <v>66279.97</v>
      </c>
      <c r="E159">
        <f>Prestiti!H159+Prestiti!K159+Prestiti!L159</f>
        <v>748005.97</v>
      </c>
      <c r="F159">
        <f>Prestiti!I159+Prestiti!J159</f>
        <v>252653.21000000002</v>
      </c>
      <c r="G159">
        <f>Prestiti!M159+Prestiti!N159+Prestiti!O159+Prestiti!P159</f>
        <v>1351699.52</v>
      </c>
      <c r="H159">
        <f t="shared" si="16"/>
        <v>1363780.69</v>
      </c>
      <c r="I159">
        <f>SUM(B159:G159)</f>
        <v>2530969.6799999997</v>
      </c>
      <c r="K159" s="13">
        <f t="shared" si="17"/>
        <v>3.9609261538052087</v>
      </c>
      <c r="L159" s="13">
        <f t="shared" si="18"/>
        <v>0.47733365181996179</v>
      </c>
      <c r="M159" s="13">
        <f t="shared" si="19"/>
        <v>2.6187579615730523</v>
      </c>
      <c r="N159" s="13">
        <f t="shared" si="20"/>
        <v>29.554126069183102</v>
      </c>
      <c r="O159" s="13">
        <f t="shared" si="21"/>
        <v>9.9824668780702286</v>
      </c>
      <c r="P159" s="13">
        <f t="shared" si="22"/>
        <v>53.406389285548464</v>
      </c>
      <c r="Q159" s="13">
        <f t="shared" si="23"/>
        <v>53.883722937368418</v>
      </c>
    </row>
    <row r="160" spans="1:17">
      <c r="A160" s="28">
        <v>40237</v>
      </c>
      <c r="B160">
        <f>Prestiti!B160+Prestiti!C160+Prestiti!D160</f>
        <v>104714.76999999999</v>
      </c>
      <c r="C160">
        <f>Prestiti!E160+Prestiti!F160</f>
        <v>12075.140000000001</v>
      </c>
      <c r="D160">
        <f>Prestiti!G160</f>
        <v>66062.570000000007</v>
      </c>
      <c r="E160">
        <f>Prestiti!H160+Prestiti!K160+Prestiti!L160</f>
        <v>753717.25</v>
      </c>
      <c r="F160">
        <f>Prestiti!I160+Prestiti!J160</f>
        <v>251326.65</v>
      </c>
      <c r="G160">
        <f>Prestiti!M160+Prestiti!N160+Prestiti!O160+Prestiti!P160</f>
        <v>1349132.9299999997</v>
      </c>
      <c r="H160">
        <f t="shared" si="16"/>
        <v>1361208.0699999996</v>
      </c>
      <c r="I160">
        <f>SUM(B160:G160)</f>
        <v>2537029.3099999996</v>
      </c>
      <c r="K160" s="13">
        <f t="shared" si="17"/>
        <v>4.127456060016903</v>
      </c>
      <c r="L160" s="13">
        <f t="shared" si="18"/>
        <v>0.47595587297333991</v>
      </c>
      <c r="M160" s="13">
        <f t="shared" si="19"/>
        <v>2.6039340475731443</v>
      </c>
      <c r="N160" s="13">
        <f t="shared" si="20"/>
        <v>29.708653622137305</v>
      </c>
      <c r="O160" s="13">
        <f t="shared" si="21"/>
        <v>9.9063360840714925</v>
      </c>
      <c r="P160" s="13">
        <f t="shared" si="22"/>
        <v>53.177664313227815</v>
      </c>
      <c r="Q160" s="13">
        <f t="shared" si="23"/>
        <v>53.653620186201159</v>
      </c>
    </row>
    <row r="161" spans="1:17">
      <c r="A161" s="28">
        <v>40206</v>
      </c>
      <c r="B161">
        <f>Prestiti!B161+Prestiti!C161+Prestiti!D161</f>
        <v>112206.42000000001</v>
      </c>
      <c r="C161">
        <f>Prestiti!E161+Prestiti!F161</f>
        <v>12093.310000000001</v>
      </c>
      <c r="D161">
        <f>Prestiti!G161</f>
        <v>62822.17</v>
      </c>
      <c r="E161">
        <f>Prestiti!H161+Prestiti!K161+Prestiti!L161</f>
        <v>760011.79999999993</v>
      </c>
      <c r="F161">
        <f>Prestiti!I161+Prestiti!J161</f>
        <v>251414.15999999997</v>
      </c>
      <c r="G161">
        <f>Prestiti!M161+Prestiti!N161+Prestiti!O161+Prestiti!P161</f>
        <v>1345823.8499999999</v>
      </c>
      <c r="H161">
        <f t="shared" si="16"/>
        <v>1357917.16</v>
      </c>
      <c r="I161">
        <f>SUM(B161:G161)</f>
        <v>2544371.71</v>
      </c>
      <c r="K161" s="13">
        <f t="shared" si="17"/>
        <v>4.4099853633414279</v>
      </c>
      <c r="L161" s="13">
        <f t="shared" si="18"/>
        <v>0.47529651239519566</v>
      </c>
      <c r="M161" s="13">
        <f t="shared" si="19"/>
        <v>2.4690641604406141</v>
      </c>
      <c r="N161" s="13">
        <f t="shared" si="20"/>
        <v>29.870313249159651</v>
      </c>
      <c r="O161" s="13">
        <f t="shared" si="21"/>
        <v>9.8811883111214112</v>
      </c>
      <c r="P161" s="13">
        <f t="shared" si="22"/>
        <v>52.894152403541696</v>
      </c>
      <c r="Q161" s="13">
        <f t="shared" si="23"/>
        <v>53.369448915936893</v>
      </c>
    </row>
    <row r="162" spans="1:17">
      <c r="A162" s="28">
        <v>40175</v>
      </c>
      <c r="B162">
        <f>Prestiti!B162+Prestiti!C162+Prestiti!D162</f>
        <v>100080.42</v>
      </c>
      <c r="C162">
        <f>Prestiti!E162+Prestiti!F162</f>
        <v>12290.08</v>
      </c>
      <c r="D162">
        <f>Prestiti!G162</f>
        <v>62905.58</v>
      </c>
      <c r="E162">
        <f>Prestiti!H162+Prestiti!K162+Prestiti!L162</f>
        <v>781351.4</v>
      </c>
      <c r="F162">
        <f>Prestiti!I162+Prestiti!J162</f>
        <v>247678.24</v>
      </c>
      <c r="G162">
        <f>Prestiti!M162+Prestiti!N162+Prestiti!O162+Prestiti!P162</f>
        <v>1345424.04</v>
      </c>
      <c r="H162">
        <f t="shared" si="16"/>
        <v>1357714.12</v>
      </c>
      <c r="I162">
        <f>SUM(B162:G162)</f>
        <v>2549729.7599999998</v>
      </c>
      <c r="K162" s="13">
        <f t="shared" si="17"/>
        <v>3.925138325247457</v>
      </c>
      <c r="L162" s="13">
        <f t="shared" si="18"/>
        <v>0.48201500381750262</v>
      </c>
      <c r="M162" s="13">
        <f t="shared" si="19"/>
        <v>2.4671469497222329</v>
      </c>
      <c r="N162" s="13">
        <f t="shared" si="20"/>
        <v>30.644478966272885</v>
      </c>
      <c r="O162" s="13">
        <f t="shared" si="21"/>
        <v>9.7139016018701536</v>
      </c>
      <c r="P162" s="13">
        <f t="shared" si="22"/>
        <v>52.767319153069778</v>
      </c>
      <c r="Q162" s="13">
        <f t="shared" si="23"/>
        <v>53.249334156887286</v>
      </c>
    </row>
    <row r="163" spans="1:17">
      <c r="A163" s="28">
        <v>40145</v>
      </c>
      <c r="B163">
        <f>Prestiti!B163+Prestiti!C163+Prestiti!D163</f>
        <v>115396.12</v>
      </c>
      <c r="C163">
        <f>Prestiti!E163+Prestiti!F163</f>
        <v>11038.98</v>
      </c>
      <c r="D163">
        <f>Prestiti!G163</f>
        <v>58236.78</v>
      </c>
      <c r="E163">
        <f>Prestiti!H163+Prestiti!K163+Prestiti!L163</f>
        <v>763708.27</v>
      </c>
      <c r="F163">
        <f>Prestiti!I163+Prestiti!J163</f>
        <v>247242.88</v>
      </c>
      <c r="G163">
        <f>Prestiti!M163+Prestiti!N163+Prestiti!O163+Prestiti!P163</f>
        <v>1350684.9200000002</v>
      </c>
      <c r="H163">
        <f t="shared" si="16"/>
        <v>1361723.9000000001</v>
      </c>
      <c r="I163">
        <f>SUM(B163:G163)</f>
        <v>2546307.9500000002</v>
      </c>
      <c r="K163" s="13">
        <f t="shared" si="17"/>
        <v>4.5318996078223766</v>
      </c>
      <c r="L163" s="13">
        <f t="shared" si="18"/>
        <v>0.43352886676570285</v>
      </c>
      <c r="M163" s="13">
        <f t="shared" si="19"/>
        <v>2.2871067107181595</v>
      </c>
      <c r="N163" s="13">
        <f t="shared" si="20"/>
        <v>29.992769334910964</v>
      </c>
      <c r="O163" s="13">
        <f t="shared" si="21"/>
        <v>9.7098577569928253</v>
      </c>
      <c r="P163" s="13">
        <f t="shared" si="22"/>
        <v>53.044837722789971</v>
      </c>
      <c r="Q163" s="13">
        <f t="shared" si="23"/>
        <v>53.478366589555669</v>
      </c>
    </row>
    <row r="164" spans="1:17">
      <c r="A164" s="28">
        <v>40114</v>
      </c>
      <c r="B164">
        <f>Prestiti!B164+Prestiti!C164+Prestiti!D164</f>
        <v>115871.51</v>
      </c>
      <c r="C164">
        <f>Prestiti!E164+Prestiti!F164</f>
        <v>10969.140000000001</v>
      </c>
      <c r="D164">
        <f>Prestiti!G164</f>
        <v>59644.01</v>
      </c>
      <c r="E164">
        <f>Prestiti!H164+Prestiti!K164+Prestiti!L164</f>
        <v>746054.09</v>
      </c>
      <c r="F164">
        <f>Prestiti!I164+Prestiti!J164</f>
        <v>246101.34000000003</v>
      </c>
      <c r="G164">
        <f>Prestiti!M164+Prestiti!N164+Prestiti!O164+Prestiti!P164</f>
        <v>1335497.31</v>
      </c>
      <c r="H164">
        <f t="shared" si="16"/>
        <v>1346466.45</v>
      </c>
      <c r="I164">
        <f>SUM(B164:G164)</f>
        <v>2514137.4000000004</v>
      </c>
      <c r="K164" s="13">
        <f t="shared" si="17"/>
        <v>4.6087978326085111</v>
      </c>
      <c r="L164" s="13">
        <f t="shared" si="18"/>
        <v>0.43629835028109437</v>
      </c>
      <c r="M164" s="13">
        <f t="shared" si="19"/>
        <v>2.3723448845715431</v>
      </c>
      <c r="N164" s="13">
        <f t="shared" si="20"/>
        <v>29.674356302085954</v>
      </c>
      <c r="O164" s="13">
        <f t="shared" si="21"/>
        <v>9.7886988992725694</v>
      </c>
      <c r="P164" s="13">
        <f t="shared" si="22"/>
        <v>53.119503731180316</v>
      </c>
      <c r="Q164" s="13">
        <f t="shared" si="23"/>
        <v>53.555802081461415</v>
      </c>
    </row>
    <row r="165" spans="1:17">
      <c r="A165" s="28">
        <v>40084</v>
      </c>
      <c r="B165">
        <f>Prestiti!B165+Prestiti!C165+Prestiti!D165</f>
        <v>116575.45999999999</v>
      </c>
      <c r="C165">
        <f>Prestiti!E165+Prestiti!F165</f>
        <v>11368.230000000001</v>
      </c>
      <c r="D165">
        <f>Prestiti!G165</f>
        <v>57287.94</v>
      </c>
      <c r="E165">
        <f>Prestiti!H165+Prestiti!K165+Prestiti!L165</f>
        <v>739837.91</v>
      </c>
      <c r="F165">
        <f>Prestiti!I165+Prestiti!J165</f>
        <v>243901.18</v>
      </c>
      <c r="G165">
        <f>Prestiti!M165+Prestiti!N165+Prestiti!O165+Prestiti!P165</f>
        <v>1339811.6600000001</v>
      </c>
      <c r="H165">
        <f t="shared" si="16"/>
        <v>1351179.8900000001</v>
      </c>
      <c r="I165">
        <f>SUM(B165:G165)</f>
        <v>2508782.38</v>
      </c>
      <c r="K165" s="13">
        <f t="shared" si="17"/>
        <v>4.6466947842642288</v>
      </c>
      <c r="L165" s="13">
        <f t="shared" si="18"/>
        <v>0.45313735023920254</v>
      </c>
      <c r="M165" s="13">
        <f t="shared" si="19"/>
        <v>2.2834957889013876</v>
      </c>
      <c r="N165" s="13">
        <f t="shared" si="20"/>
        <v>29.489919727513396</v>
      </c>
      <c r="O165" s="13">
        <f t="shared" si="21"/>
        <v>9.7218946507428843</v>
      </c>
      <c r="P165" s="13">
        <f t="shared" si="22"/>
        <v>53.404857698338915</v>
      </c>
      <c r="Q165" s="13">
        <f t="shared" si="23"/>
        <v>53.857995048578111</v>
      </c>
    </row>
    <row r="166" spans="1:17">
      <c r="A166" s="28">
        <v>40053</v>
      </c>
      <c r="B166">
        <f>Prestiti!B166+Prestiti!C166+Prestiti!D166</f>
        <v>117915.37999999999</v>
      </c>
      <c r="C166">
        <f>Prestiti!E166+Prestiti!F166</f>
        <v>11519.62</v>
      </c>
      <c r="D166">
        <f>Prestiti!G166</f>
        <v>55300.06</v>
      </c>
      <c r="E166">
        <f>Prestiti!H166+Prestiti!K166+Prestiti!L166</f>
        <v>731206.7</v>
      </c>
      <c r="F166">
        <f>Prestiti!I166+Prestiti!J166</f>
        <v>242811.43</v>
      </c>
      <c r="G166">
        <f>Prestiti!M166+Prestiti!N166+Prestiti!O166+Prestiti!P166</f>
        <v>1336323.79</v>
      </c>
      <c r="H166">
        <f t="shared" si="16"/>
        <v>1347843.4100000001</v>
      </c>
      <c r="I166">
        <f>SUM(B166:G166)</f>
        <v>2495076.98</v>
      </c>
      <c r="K166" s="13">
        <f t="shared" si="17"/>
        <v>4.7259215224694184</v>
      </c>
      <c r="L166" s="13">
        <f t="shared" si="18"/>
        <v>0.46169397146215507</v>
      </c>
      <c r="M166" s="13">
        <f t="shared" si="19"/>
        <v>2.2163668874056142</v>
      </c>
      <c r="N166" s="13">
        <f t="shared" si="20"/>
        <v>29.305977565469743</v>
      </c>
      <c r="O166" s="13">
        <f t="shared" si="21"/>
        <v>9.7316207855037806</v>
      </c>
      <c r="P166" s="13">
        <f t="shared" si="22"/>
        <v>53.558419267689295</v>
      </c>
      <c r="Q166" s="13">
        <f t="shared" si="23"/>
        <v>54.020113239151449</v>
      </c>
    </row>
    <row r="167" spans="1:17">
      <c r="A167" s="28">
        <v>40022</v>
      </c>
      <c r="B167">
        <f>Prestiti!B167+Prestiti!C167+Prestiti!D167</f>
        <v>121482.78</v>
      </c>
      <c r="C167">
        <f>Prestiti!E167+Prestiti!F167</f>
        <v>11597.34</v>
      </c>
      <c r="D167">
        <f>Prestiti!G167</f>
        <v>59988.63</v>
      </c>
      <c r="E167">
        <f>Prestiti!H167+Prestiti!K167+Prestiti!L167</f>
        <v>739594.67999999993</v>
      </c>
      <c r="F167">
        <f>Prestiti!I167+Prestiti!J167</f>
        <v>242060.82</v>
      </c>
      <c r="G167">
        <f>Prestiti!M167+Prestiti!N167+Prestiti!O167+Prestiti!P167</f>
        <v>1343217.6299999997</v>
      </c>
      <c r="H167">
        <f t="shared" si="16"/>
        <v>1354814.9699999997</v>
      </c>
      <c r="I167">
        <f>SUM(B167:G167)</f>
        <v>2517941.88</v>
      </c>
      <c r="K167" s="13">
        <f t="shared" si="17"/>
        <v>4.8246856277715198</v>
      </c>
      <c r="L167" s="13">
        <f t="shared" si="18"/>
        <v>0.46058807362146109</v>
      </c>
      <c r="M167" s="13">
        <f t="shared" si="19"/>
        <v>2.3824469689506893</v>
      </c>
      <c r="N167" s="13">
        <f t="shared" si="20"/>
        <v>29.37298457421106</v>
      </c>
      <c r="O167" s="13">
        <f t="shared" si="21"/>
        <v>9.6134395286359844</v>
      </c>
      <c r="P167" s="13">
        <f t="shared" si="22"/>
        <v>53.345855226809277</v>
      </c>
      <c r="Q167" s="13">
        <f t="shared" si="23"/>
        <v>53.806443300430743</v>
      </c>
    </row>
    <row r="168" spans="1:17">
      <c r="A168" s="28">
        <v>39992</v>
      </c>
      <c r="B168">
        <f>Prestiti!B168+Prestiti!C168+Prestiti!D168</f>
        <v>124673.71</v>
      </c>
      <c r="C168">
        <f>Prestiti!E168+Prestiti!F168</f>
        <v>11608.99</v>
      </c>
      <c r="D168">
        <f>Prestiti!G168</f>
        <v>60089.09</v>
      </c>
      <c r="E168">
        <f>Prestiti!H168+Prestiti!K168+Prestiti!L168</f>
        <v>752657.49000000011</v>
      </c>
      <c r="F168">
        <f>Prestiti!I168+Prestiti!J168</f>
        <v>250150.95</v>
      </c>
      <c r="G168">
        <f>Prestiti!M168+Prestiti!N168+Prestiti!O168+Prestiti!P168</f>
        <v>1345747.8200000003</v>
      </c>
      <c r="H168">
        <f t="shared" si="16"/>
        <v>1357356.8100000003</v>
      </c>
      <c r="I168">
        <f>SUM(B168:G168)</f>
        <v>2544928.0500000007</v>
      </c>
      <c r="K168" s="13">
        <f t="shared" si="17"/>
        <v>4.8989090280960976</v>
      </c>
      <c r="L168" s="13">
        <f t="shared" si="18"/>
        <v>0.45616181565525971</v>
      </c>
      <c r="M168" s="13">
        <f t="shared" si="19"/>
        <v>2.3611311919014755</v>
      </c>
      <c r="N168" s="13">
        <f t="shared" si="20"/>
        <v>29.574804285724298</v>
      </c>
      <c r="O168" s="13">
        <f t="shared" si="21"/>
        <v>9.8293918368340485</v>
      </c>
      <c r="P168" s="13">
        <f t="shared" si="22"/>
        <v>52.879601841788805</v>
      </c>
      <c r="Q168" s="13">
        <f t="shared" si="23"/>
        <v>53.335763657444069</v>
      </c>
    </row>
    <row r="169" spans="1:17">
      <c r="A169" s="28">
        <v>39961</v>
      </c>
      <c r="B169">
        <f>Prestiti!B169+Prestiti!C169+Prestiti!D169</f>
        <v>125979.22</v>
      </c>
      <c r="C169">
        <f>Prestiti!E169+Prestiti!F169</f>
        <v>11751.52</v>
      </c>
      <c r="D169">
        <f>Prestiti!G169</f>
        <v>60356.25</v>
      </c>
      <c r="E169">
        <f>Prestiti!H169+Prestiti!K169+Prestiti!L169</f>
        <v>752300.45000000007</v>
      </c>
      <c r="F169">
        <f>Prestiti!I169+Prestiti!J169</f>
        <v>244685.26</v>
      </c>
      <c r="G169">
        <f>Prestiti!M169+Prestiti!N169+Prestiti!O169+Prestiti!P169</f>
        <v>1334920.52</v>
      </c>
      <c r="H169">
        <f t="shared" si="16"/>
        <v>1346672.04</v>
      </c>
      <c r="I169">
        <f>SUM(B169:G169)</f>
        <v>2529993.2200000002</v>
      </c>
      <c r="K169" s="13">
        <f t="shared" si="17"/>
        <v>4.9794291543595515</v>
      </c>
      <c r="L169" s="13">
        <f t="shared" si="18"/>
        <v>0.46448820127668167</v>
      </c>
      <c r="M169" s="13">
        <f t="shared" si="19"/>
        <v>2.3856289227526069</v>
      </c>
      <c r="N169" s="13">
        <f t="shared" si="20"/>
        <v>29.735275338010592</v>
      </c>
      <c r="O169" s="13">
        <f t="shared" si="21"/>
        <v>9.6713800679671369</v>
      </c>
      <c r="P169" s="13">
        <f t="shared" si="22"/>
        <v>52.763798315633423</v>
      </c>
      <c r="Q169" s="13">
        <f t="shared" si="23"/>
        <v>53.228286516910103</v>
      </c>
    </row>
    <row r="170" spans="1:17">
      <c r="A170" s="28">
        <v>39931</v>
      </c>
      <c r="B170">
        <f>Prestiti!B170+Prestiti!C170+Prestiti!D170</f>
        <v>138155.90000000002</v>
      </c>
      <c r="C170">
        <f>Prestiti!E170+Prestiti!F170</f>
        <v>11785.310000000001</v>
      </c>
      <c r="D170">
        <f>Prestiti!G170</f>
        <v>62434.99</v>
      </c>
      <c r="E170">
        <f>Prestiti!H170+Prestiti!K170+Prestiti!L170</f>
        <v>746786.97000000009</v>
      </c>
      <c r="F170">
        <f>Prestiti!I170+Prestiti!J170</f>
        <v>245377.16</v>
      </c>
      <c r="G170">
        <f>Prestiti!M170+Prestiti!N170+Prestiti!O170+Prestiti!P170</f>
        <v>1335236.51</v>
      </c>
      <c r="H170">
        <f t="shared" si="16"/>
        <v>1347021.82</v>
      </c>
      <c r="I170">
        <f>SUM(B170:G170)</f>
        <v>2539776.84</v>
      </c>
      <c r="K170" s="13">
        <f t="shared" si="17"/>
        <v>5.4396865828574148</v>
      </c>
      <c r="L170" s="13">
        <f t="shared" si="18"/>
        <v>0.46402935149215718</v>
      </c>
      <c r="M170" s="13">
        <f t="shared" si="19"/>
        <v>2.4582864532302766</v>
      </c>
      <c r="N170" s="13">
        <f t="shared" si="20"/>
        <v>29.403645164352319</v>
      </c>
      <c r="O170" s="13">
        <f t="shared" si="21"/>
        <v>9.6613669411994501</v>
      </c>
      <c r="P170" s="13">
        <f t="shared" si="22"/>
        <v>52.572985506868399</v>
      </c>
      <c r="Q170" s="13">
        <f t="shared" si="23"/>
        <v>53.037014858360557</v>
      </c>
    </row>
    <row r="171" spans="1:17">
      <c r="A171" s="28">
        <v>39900</v>
      </c>
      <c r="B171">
        <f>Prestiti!B171+Prestiti!C171+Prestiti!D171</f>
        <v>128188.26</v>
      </c>
      <c r="C171">
        <f>Prestiti!E171+Prestiti!F171</f>
        <v>11654.2</v>
      </c>
      <c r="D171">
        <f>Prestiti!G171</f>
        <v>60279.25</v>
      </c>
      <c r="E171">
        <f>Prestiti!H171+Prestiti!K171+Prestiti!L171</f>
        <v>767424.67999999993</v>
      </c>
      <c r="F171">
        <f>Prestiti!I171+Prestiti!J171</f>
        <v>242295.27</v>
      </c>
      <c r="G171">
        <f>Prestiti!M171+Prestiti!N171+Prestiti!O171+Prestiti!P171</f>
        <v>1335221.53</v>
      </c>
      <c r="H171">
        <f t="shared" si="16"/>
        <v>1346875.73</v>
      </c>
      <c r="I171">
        <f>SUM(B171:G171)</f>
        <v>2545063.19</v>
      </c>
      <c r="K171" s="13">
        <f t="shared" si="17"/>
        <v>5.0367417399958541</v>
      </c>
      <c r="L171" s="13">
        <f t="shared" si="18"/>
        <v>0.45791397423024299</v>
      </c>
      <c r="M171" s="13">
        <f t="shared" si="19"/>
        <v>2.3684775386657493</v>
      </c>
      <c r="N171" s="13">
        <f t="shared" si="20"/>
        <v>30.15346271225588</v>
      </c>
      <c r="O171" s="13">
        <f t="shared" si="21"/>
        <v>9.520206451141199</v>
      </c>
      <c r="P171" s="13">
        <f t="shared" si="22"/>
        <v>52.463197583711072</v>
      </c>
      <c r="Q171" s="13">
        <f t="shared" si="23"/>
        <v>52.921111557941316</v>
      </c>
    </row>
    <row r="172" spans="1:17">
      <c r="A172" s="28">
        <v>39872</v>
      </c>
      <c r="B172">
        <f>Prestiti!B172+Prestiti!C172+Prestiti!D172</f>
        <v>132679.32999999999</v>
      </c>
      <c r="C172">
        <f>Prestiti!E172+Prestiti!F172</f>
        <v>11780.79</v>
      </c>
      <c r="D172">
        <f>Prestiti!G172</f>
        <v>61989.21</v>
      </c>
      <c r="E172">
        <f>Prestiti!H172+Prestiti!K172+Prestiti!L172</f>
        <v>767275.17999999993</v>
      </c>
      <c r="F172">
        <f>Prestiti!I172+Prestiti!J172</f>
        <v>241180.43</v>
      </c>
      <c r="G172">
        <f>Prestiti!M172+Prestiti!N172+Prestiti!O172+Prestiti!P172</f>
        <v>1338977.4100000001</v>
      </c>
      <c r="H172">
        <f t="shared" si="16"/>
        <v>1350758.2000000002</v>
      </c>
      <c r="I172">
        <f>SUM(B172:G172)</f>
        <v>2553882.35</v>
      </c>
      <c r="K172" s="13">
        <f t="shared" si="17"/>
        <v>5.1952013372894799</v>
      </c>
      <c r="L172" s="13">
        <f t="shared" si="18"/>
        <v>0.46128945603152005</v>
      </c>
      <c r="M172" s="13">
        <f t="shared" si="19"/>
        <v>2.4272539414354775</v>
      </c>
      <c r="N172" s="13">
        <f t="shared" si="20"/>
        <v>30.043481838542796</v>
      </c>
      <c r="O172" s="13">
        <f t="shared" si="21"/>
        <v>9.4436781710011033</v>
      </c>
      <c r="P172" s="13">
        <f t="shared" si="22"/>
        <v>52.429095255699622</v>
      </c>
      <c r="Q172" s="13">
        <f t="shared" si="23"/>
        <v>52.890384711731144</v>
      </c>
    </row>
    <row r="173" spans="1:17">
      <c r="A173" s="28">
        <v>39841</v>
      </c>
      <c r="B173">
        <f>Prestiti!B173+Prestiti!C173+Prestiti!D173</f>
        <v>144663.63999999998</v>
      </c>
      <c r="C173">
        <f>Prestiti!E173+Prestiti!F173</f>
        <v>11677.27</v>
      </c>
      <c r="D173">
        <f>Prestiti!G173</f>
        <v>62135.35</v>
      </c>
      <c r="E173">
        <f>Prestiti!H173+Prestiti!K173+Prestiti!L173</f>
        <v>754986.9</v>
      </c>
      <c r="F173">
        <f>Prestiti!I173+Prestiti!J173</f>
        <v>238508.97999999998</v>
      </c>
      <c r="G173">
        <f>Prestiti!M173+Prestiti!N173+Prestiti!O173+Prestiti!P173</f>
        <v>1341867.3199999998</v>
      </c>
      <c r="H173">
        <f t="shared" si="16"/>
        <v>1353544.5899999999</v>
      </c>
      <c r="I173">
        <f>SUM(B173:G173)</f>
        <v>2553839.46</v>
      </c>
      <c r="K173" s="13">
        <f t="shared" si="17"/>
        <v>5.6645549677582316</v>
      </c>
      <c r="L173" s="13">
        <f t="shared" si="18"/>
        <v>0.45724369847429641</v>
      </c>
      <c r="M173" s="13">
        <f t="shared" si="19"/>
        <v>2.433017069914019</v>
      </c>
      <c r="N173" s="13">
        <f t="shared" si="20"/>
        <v>29.562817546879007</v>
      </c>
      <c r="O173" s="13">
        <f t="shared" si="21"/>
        <v>9.33923152710625</v>
      </c>
      <c r="P173" s="13">
        <f t="shared" si="22"/>
        <v>52.543135189868195</v>
      </c>
      <c r="Q173" s="13">
        <f t="shared" si="23"/>
        <v>53.000378888342489</v>
      </c>
    </row>
    <row r="174" spans="1:17">
      <c r="A174" s="28">
        <v>39810</v>
      </c>
      <c r="B174">
        <f>Prestiti!B174+Prestiti!C174+Prestiti!D174</f>
        <v>142230.6</v>
      </c>
      <c r="C174">
        <f>Prestiti!E174+Prestiti!F174</f>
        <v>11392.529999999999</v>
      </c>
      <c r="D174">
        <f>Prestiti!G174</f>
        <v>62829</v>
      </c>
      <c r="E174">
        <f>Prestiti!H174+Prestiti!K174+Prestiti!L174</f>
        <v>749179.53999999992</v>
      </c>
      <c r="F174">
        <f>Prestiti!I174+Prestiti!J174</f>
        <v>235232.08</v>
      </c>
      <c r="G174">
        <f>Prestiti!M174+Prestiti!N174+Prestiti!O174+Prestiti!P174</f>
        <v>1338057.1299999999</v>
      </c>
      <c r="H174">
        <f t="shared" si="16"/>
        <v>1349449.66</v>
      </c>
      <c r="I174">
        <f>SUM(B174:G174)</f>
        <v>2538920.88</v>
      </c>
      <c r="K174" s="13">
        <f t="shared" si="17"/>
        <v>5.6020099373872574</v>
      </c>
      <c r="L174" s="13">
        <f t="shared" si="18"/>
        <v>0.4487154400809843</v>
      </c>
      <c r="M174" s="13">
        <f t="shared" si="19"/>
        <v>2.474634026405738</v>
      </c>
      <c r="N174" s="13">
        <f t="shared" si="20"/>
        <v>29.507793878161337</v>
      </c>
      <c r="O174" s="13">
        <f t="shared" si="21"/>
        <v>9.2650417684540045</v>
      </c>
      <c r="P174" s="13">
        <f t="shared" si="22"/>
        <v>52.701804949510681</v>
      </c>
      <c r="Q174" s="13">
        <f t="shared" si="23"/>
        <v>53.150520389591662</v>
      </c>
    </row>
    <row r="175" spans="1:17">
      <c r="A175" s="28">
        <v>39780</v>
      </c>
      <c r="B175">
        <f>Prestiti!B175+Prestiti!C175+Prestiti!D175</f>
        <v>155250.45000000001</v>
      </c>
      <c r="C175">
        <f>Prestiti!E175+Prestiti!F175</f>
        <v>11311.86</v>
      </c>
      <c r="D175">
        <f>Prestiti!G175</f>
        <v>76254.03</v>
      </c>
      <c r="E175">
        <f>Prestiti!H175+Prestiti!K175+Prestiti!L175</f>
        <v>785896.28</v>
      </c>
      <c r="F175">
        <f>Prestiti!I175+Prestiti!J175</f>
        <v>233958.53999999998</v>
      </c>
      <c r="G175">
        <f>Prestiti!M175+Prestiti!N175+Prestiti!O175+Prestiti!P175</f>
        <v>1327616.2199999997</v>
      </c>
      <c r="H175">
        <f t="shared" si="16"/>
        <v>1338928.0799999998</v>
      </c>
      <c r="I175">
        <f>SUM(B175:G175)</f>
        <v>2590287.38</v>
      </c>
      <c r="K175" s="13">
        <f t="shared" si="17"/>
        <v>5.9935608380256262</v>
      </c>
      <c r="L175" s="13">
        <f t="shared" si="18"/>
        <v>0.43670289587713629</v>
      </c>
      <c r="M175" s="13">
        <f t="shared" si="19"/>
        <v>2.9438444007706974</v>
      </c>
      <c r="N175" s="13">
        <f t="shared" si="20"/>
        <v>30.340119249625502</v>
      </c>
      <c r="O175" s="13">
        <f t="shared" si="21"/>
        <v>9.0321460779382701</v>
      </c>
      <c r="P175" s="13">
        <f t="shared" si="22"/>
        <v>51.253626537762763</v>
      </c>
      <c r="Q175" s="13">
        <f t="shared" si="23"/>
        <v>51.690329433639903</v>
      </c>
    </row>
    <row r="176" spans="1:17">
      <c r="A176" s="28">
        <v>39749</v>
      </c>
      <c r="B176">
        <f>Prestiti!B176+Prestiti!C176+Prestiti!D176</f>
        <v>160979.43</v>
      </c>
      <c r="C176">
        <f>Prestiti!E176+Prestiti!F176</f>
        <v>11276.2</v>
      </c>
      <c r="D176">
        <f>Prestiti!G176</f>
        <v>71629.84</v>
      </c>
      <c r="E176">
        <f>Prestiti!H176+Prestiti!K176+Prestiti!L176</f>
        <v>935847.96999999986</v>
      </c>
      <c r="F176">
        <f>Prestiti!I176+Prestiti!J176</f>
        <v>232141.92</v>
      </c>
      <c r="G176">
        <f>Prestiti!M176+Prestiti!N176+Prestiti!O176+Prestiti!P176</f>
        <v>1328908.6600000001</v>
      </c>
      <c r="H176">
        <f t="shared" si="16"/>
        <v>1340184.8600000001</v>
      </c>
      <c r="I176">
        <f>SUM(B176:G176)</f>
        <v>2740784.02</v>
      </c>
      <c r="K176" s="13">
        <f t="shared" si="17"/>
        <v>5.8734810486818292</v>
      </c>
      <c r="L176" s="13">
        <f t="shared" si="18"/>
        <v>0.41142242211409275</v>
      </c>
      <c r="M176" s="13">
        <f t="shared" si="19"/>
        <v>2.6134799195158762</v>
      </c>
      <c r="N176" s="13">
        <f t="shared" si="20"/>
        <v>34.145265120160758</v>
      </c>
      <c r="O176" s="13">
        <f t="shared" si="21"/>
        <v>8.4699092780028682</v>
      </c>
      <c r="P176" s="13">
        <f t="shared" si="22"/>
        <v>48.486442211524569</v>
      </c>
      <c r="Q176" s="13">
        <f t="shared" si="23"/>
        <v>48.897864633638669</v>
      </c>
    </row>
    <row r="177" spans="1:17">
      <c r="A177" s="28">
        <v>39719</v>
      </c>
      <c r="B177">
        <f>Prestiti!B177+Prestiti!C177+Prestiti!D177</f>
        <v>168545.03</v>
      </c>
      <c r="C177">
        <f>Prestiti!E177+Prestiti!F177</f>
        <v>10849.2</v>
      </c>
      <c r="D177">
        <f>Prestiti!G177</f>
        <v>74506.509999999995</v>
      </c>
      <c r="E177">
        <f>Prestiti!H177+Prestiti!K177+Prestiti!L177</f>
        <v>712273.62</v>
      </c>
      <c r="F177">
        <f>Prestiti!I177+Prestiti!J177</f>
        <v>229789.86</v>
      </c>
      <c r="G177">
        <f>Prestiti!M177+Prestiti!N177+Prestiti!O177+Prestiti!P177</f>
        <v>1324507.6600000001</v>
      </c>
      <c r="H177">
        <f t="shared" si="16"/>
        <v>1335356.8600000001</v>
      </c>
      <c r="I177">
        <f>SUM(B177:G177)</f>
        <v>2520471.88</v>
      </c>
      <c r="K177" s="13">
        <f t="shared" si="17"/>
        <v>6.6870426659947508</v>
      </c>
      <c r="L177" s="13">
        <f t="shared" si="18"/>
        <v>0.43044320732512997</v>
      </c>
      <c r="M177" s="13">
        <f t="shared" si="19"/>
        <v>2.9560540068393859</v>
      </c>
      <c r="N177" s="13">
        <f t="shared" si="20"/>
        <v>28.259534480503707</v>
      </c>
      <c r="O177" s="13">
        <f t="shared" si="21"/>
        <v>9.116938055266063</v>
      </c>
      <c r="P177" s="13">
        <f t="shared" si="22"/>
        <v>52.549987584070969</v>
      </c>
      <c r="Q177" s="13">
        <f t="shared" si="23"/>
        <v>52.980430791396103</v>
      </c>
    </row>
    <row r="178" spans="1:17">
      <c r="A178" s="28">
        <v>39688</v>
      </c>
      <c r="B178">
        <f>Prestiti!B178+Prestiti!C178+Prestiti!D178</f>
        <v>161724.24</v>
      </c>
      <c r="C178">
        <f>Prestiti!E178+Prestiti!F178</f>
        <v>10642.29</v>
      </c>
      <c r="D178">
        <f>Prestiti!G178</f>
        <v>71283.679999999993</v>
      </c>
      <c r="E178">
        <f>Prestiti!H178+Prestiti!K178+Prestiti!L178</f>
        <v>699818.58</v>
      </c>
      <c r="F178">
        <f>Prestiti!I178+Prestiti!J178</f>
        <v>228345.79</v>
      </c>
      <c r="G178">
        <f>Prestiti!M178+Prestiti!N178+Prestiti!O178+Prestiti!P178</f>
        <v>1311722.8099999998</v>
      </c>
      <c r="H178">
        <f t="shared" si="16"/>
        <v>1322365.0999999999</v>
      </c>
      <c r="I178">
        <f>SUM(B178:G178)</f>
        <v>2483537.3899999997</v>
      </c>
      <c r="K178" s="13">
        <f t="shared" si="17"/>
        <v>6.5118504215473081</v>
      </c>
      <c r="L178" s="13">
        <f t="shared" si="18"/>
        <v>0.42851337945832185</v>
      </c>
      <c r="M178" s="13">
        <f t="shared" si="19"/>
        <v>2.8702479087701596</v>
      </c>
      <c r="N178" s="13">
        <f t="shared" si="20"/>
        <v>28.178298535702741</v>
      </c>
      <c r="O178" s="13">
        <f t="shared" si="21"/>
        <v>9.1943769769457777</v>
      </c>
      <c r="P178" s="13">
        <f t="shared" si="22"/>
        <v>52.816712777575702</v>
      </c>
      <c r="Q178" s="13">
        <f t="shared" si="23"/>
        <v>53.245226157034018</v>
      </c>
    </row>
    <row r="179" spans="1:17">
      <c r="A179" s="28">
        <v>39657</v>
      </c>
      <c r="B179">
        <f>Prestiti!B179+Prestiti!C179+Prestiti!D179</f>
        <v>168320.51</v>
      </c>
      <c r="C179">
        <f>Prestiti!E179+Prestiti!F179</f>
        <v>10626.54</v>
      </c>
      <c r="D179">
        <f>Prestiti!G179</f>
        <v>73406.080000000002</v>
      </c>
      <c r="E179">
        <f>Prestiti!H179+Prestiti!K179+Prestiti!L179</f>
        <v>685406.73</v>
      </c>
      <c r="F179">
        <f>Prestiti!I179+Prestiti!J179</f>
        <v>228227.25</v>
      </c>
      <c r="G179">
        <f>Prestiti!M179+Prestiti!N179+Prestiti!O179+Prestiti!P179</f>
        <v>1319327.03</v>
      </c>
      <c r="H179">
        <f t="shared" si="16"/>
        <v>1329953.57</v>
      </c>
      <c r="I179">
        <f>SUM(B179:G179)</f>
        <v>2485314.1399999997</v>
      </c>
      <c r="K179" s="13">
        <f t="shared" si="17"/>
        <v>6.7726050116143481</v>
      </c>
      <c r="L179" s="13">
        <f t="shared" si="18"/>
        <v>0.42757331272416144</v>
      </c>
      <c r="M179" s="13">
        <f t="shared" si="19"/>
        <v>2.953593624989395</v>
      </c>
      <c r="N179" s="13">
        <f t="shared" si="20"/>
        <v>27.578273465261017</v>
      </c>
      <c r="O179" s="13">
        <f t="shared" si="21"/>
        <v>9.1830343024564307</v>
      </c>
      <c r="P179" s="13">
        <f t="shared" si="22"/>
        <v>53.084920282954663</v>
      </c>
      <c r="Q179" s="13">
        <f t="shared" si="23"/>
        <v>53.512493595678819</v>
      </c>
    </row>
    <row r="180" spans="1:17">
      <c r="A180" s="28">
        <v>39627</v>
      </c>
      <c r="B180">
        <f>Prestiti!B180+Prestiti!C180+Prestiti!D180</f>
        <v>183762.57</v>
      </c>
      <c r="C180">
        <f>Prestiti!E180+Prestiti!F180</f>
        <v>10739.98</v>
      </c>
      <c r="D180">
        <f>Prestiti!G180</f>
        <v>65537.45</v>
      </c>
      <c r="E180">
        <f>Prestiti!H180+Prestiti!K180+Prestiti!L180</f>
        <v>685379.02999999991</v>
      </c>
      <c r="F180">
        <f>Prestiti!I180+Prestiti!J180</f>
        <v>233640.41999999998</v>
      </c>
      <c r="G180">
        <f>Prestiti!M180+Prestiti!N180+Prestiti!O180+Prestiti!P180</f>
        <v>1310237.6700000002</v>
      </c>
      <c r="H180">
        <f t="shared" si="16"/>
        <v>1320977.6500000001</v>
      </c>
      <c r="I180">
        <f>SUM(B180:G180)</f>
        <v>2489297.12</v>
      </c>
      <c r="K180" s="13">
        <f t="shared" si="17"/>
        <v>7.3821067209526188</v>
      </c>
      <c r="L180" s="13">
        <f t="shared" si="18"/>
        <v>0.43144628713506078</v>
      </c>
      <c r="M180" s="13">
        <f t="shared" si="19"/>
        <v>2.632769285492123</v>
      </c>
      <c r="N180" s="13">
        <f t="shared" si="20"/>
        <v>27.533034304880406</v>
      </c>
      <c r="O180" s="13">
        <f t="shared" si="21"/>
        <v>9.3857988314388106</v>
      </c>
      <c r="P180" s="13">
        <f t="shared" si="22"/>
        <v>52.634844570100981</v>
      </c>
      <c r="Q180" s="13">
        <f t="shared" si="23"/>
        <v>53.066290857236041</v>
      </c>
    </row>
    <row r="181" spans="1:17">
      <c r="A181" s="28">
        <v>39596</v>
      </c>
      <c r="B181">
        <f>Prestiti!B181+Prestiti!C181+Prestiti!D181</f>
        <v>182181.17</v>
      </c>
      <c r="C181">
        <f>Prestiti!E181+Prestiti!F181</f>
        <v>10520.050000000001</v>
      </c>
      <c r="D181">
        <f>Prestiti!G181</f>
        <v>74959.53</v>
      </c>
      <c r="E181">
        <f>Prestiti!H181+Prestiti!K181+Prestiti!L181</f>
        <v>699433.72000000009</v>
      </c>
      <c r="F181">
        <f>Prestiti!I181+Prestiti!J181</f>
        <v>227451.83</v>
      </c>
      <c r="G181">
        <f>Prestiti!M181+Prestiti!N181+Prestiti!O181+Prestiti!P181</f>
        <v>1296445.7700000003</v>
      </c>
      <c r="H181">
        <f t="shared" si="16"/>
        <v>1306965.8200000003</v>
      </c>
      <c r="I181">
        <f>SUM(B181:G181)</f>
        <v>2490992.0700000003</v>
      </c>
      <c r="K181" s="13">
        <f t="shared" si="17"/>
        <v>7.3135989549737905</v>
      </c>
      <c r="L181" s="13">
        <f t="shared" si="18"/>
        <v>0.4223237049486071</v>
      </c>
      <c r="M181" s="13">
        <f t="shared" si="19"/>
        <v>3.0092239514837154</v>
      </c>
      <c r="N181" s="13">
        <f t="shared" si="20"/>
        <v>28.078520539007577</v>
      </c>
      <c r="O181" s="13">
        <f t="shared" si="21"/>
        <v>9.1309736686556349</v>
      </c>
      <c r="P181" s="13">
        <f t="shared" si="22"/>
        <v>52.045359180930674</v>
      </c>
      <c r="Q181" s="13">
        <f t="shared" si="23"/>
        <v>52.467682885879285</v>
      </c>
    </row>
    <row r="182" spans="1:17">
      <c r="A182" s="28">
        <v>39566</v>
      </c>
      <c r="B182">
        <f>Prestiti!B182+Prestiti!C182+Prestiti!D182</f>
        <v>181029.37000000002</v>
      </c>
      <c r="C182">
        <f>Prestiti!E182+Prestiti!F182</f>
        <v>10313.549999999999</v>
      </c>
      <c r="D182">
        <f>Prestiti!G182</f>
        <v>69919.759999999995</v>
      </c>
      <c r="E182">
        <f>Prestiti!H182+Prestiti!K182+Prestiti!L182</f>
        <v>659652.16</v>
      </c>
      <c r="F182">
        <f>Prestiti!I182+Prestiti!J182</f>
        <v>227652.03999999998</v>
      </c>
      <c r="G182">
        <f>Prestiti!M182+Prestiti!N182+Prestiti!O182+Prestiti!P182</f>
        <v>1291331.73</v>
      </c>
      <c r="H182">
        <f t="shared" si="16"/>
        <v>1301645.28</v>
      </c>
      <c r="I182">
        <f>SUM(B182:G182)</f>
        <v>2439898.6100000003</v>
      </c>
      <c r="K182" s="13">
        <f t="shared" si="17"/>
        <v>7.419544781821898</v>
      </c>
      <c r="L182" s="13">
        <f t="shared" si="18"/>
        <v>0.42270404014861901</v>
      </c>
      <c r="M182" s="13">
        <f t="shared" si="19"/>
        <v>2.8656830129510991</v>
      </c>
      <c r="N182" s="13">
        <f t="shared" si="20"/>
        <v>27.036048026602217</v>
      </c>
      <c r="O182" s="13">
        <f t="shared" si="21"/>
        <v>9.3303893476130941</v>
      </c>
      <c r="P182" s="13">
        <f t="shared" si="22"/>
        <v>52.925630790863067</v>
      </c>
      <c r="Q182" s="13">
        <f t="shared" si="23"/>
        <v>53.348334831011677</v>
      </c>
    </row>
    <row r="183" spans="1:17">
      <c r="A183" s="28">
        <v>39535</v>
      </c>
      <c r="B183">
        <f>Prestiti!B183+Prestiti!C183+Prestiti!D183</f>
        <v>163439.27000000002</v>
      </c>
      <c r="C183">
        <f>Prestiti!E183+Prestiti!F183</f>
        <v>10071.48</v>
      </c>
      <c r="D183">
        <f>Prestiti!G183</f>
        <v>71822.429999999993</v>
      </c>
      <c r="E183">
        <f>Prestiti!H183+Prestiti!K183+Prestiti!L183</f>
        <v>659194.54</v>
      </c>
      <c r="F183">
        <f>Prestiti!I183+Prestiti!J183</f>
        <v>227698.09999999998</v>
      </c>
      <c r="G183">
        <f>Prestiti!M183+Prestiti!N183+Prestiti!O183+Prestiti!P183</f>
        <v>1293270.8799999999</v>
      </c>
      <c r="H183">
        <f t="shared" si="16"/>
        <v>1303342.3599999999</v>
      </c>
      <c r="I183">
        <f>SUM(B183:G183)</f>
        <v>2425496.7000000002</v>
      </c>
      <c r="K183" s="13">
        <f t="shared" si="17"/>
        <v>6.7383835236716676</v>
      </c>
      <c r="L183" s="13">
        <f t="shared" si="18"/>
        <v>0.41523371274840321</v>
      </c>
      <c r="M183" s="13">
        <f t="shared" si="19"/>
        <v>2.9611431753339423</v>
      </c>
      <c r="N183" s="13">
        <f t="shared" si="20"/>
        <v>27.177713331871363</v>
      </c>
      <c r="O183" s="13">
        <f t="shared" si="21"/>
        <v>9.3876895400434872</v>
      </c>
      <c r="P183" s="13">
        <f t="shared" si="22"/>
        <v>53.319836716331125</v>
      </c>
      <c r="Q183" s="13">
        <f t="shared" si="23"/>
        <v>53.735070429079521</v>
      </c>
    </row>
    <row r="184" spans="1:17">
      <c r="A184" s="28">
        <v>39506</v>
      </c>
      <c r="B184">
        <f>Prestiti!B184+Prestiti!C184+Prestiti!D184</f>
        <v>163578.68</v>
      </c>
      <c r="C184">
        <f>Prestiti!E184+Prestiti!F184</f>
        <v>9979.2899999999991</v>
      </c>
      <c r="D184">
        <f>Prestiti!G184</f>
        <v>76176.34</v>
      </c>
      <c r="E184">
        <f>Prestiti!H184+Prestiti!K184+Prestiti!L184</f>
        <v>648009.51</v>
      </c>
      <c r="F184">
        <f>Prestiti!I184+Prestiti!J184</f>
        <v>225129.76</v>
      </c>
      <c r="G184">
        <f>Prestiti!M184+Prestiti!N184+Prestiti!O184+Prestiti!P184</f>
        <v>1298902.21</v>
      </c>
      <c r="H184">
        <f t="shared" si="16"/>
        <v>1308881.5</v>
      </c>
      <c r="I184">
        <f>SUM(B184:G184)</f>
        <v>2421775.79</v>
      </c>
      <c r="K184" s="13">
        <f t="shared" si="17"/>
        <v>6.7544931564453359</v>
      </c>
      <c r="L184" s="13">
        <f t="shared" si="18"/>
        <v>0.41206498310894418</v>
      </c>
      <c r="M184" s="13">
        <f t="shared" si="19"/>
        <v>3.1454745032363216</v>
      </c>
      <c r="N184" s="13">
        <f t="shared" si="20"/>
        <v>26.757617805734196</v>
      </c>
      <c r="O184" s="13">
        <f t="shared" si="21"/>
        <v>9.2960612179544508</v>
      </c>
      <c r="P184" s="13">
        <f t="shared" si="22"/>
        <v>53.63428833352075</v>
      </c>
      <c r="Q184" s="13">
        <f t="shared" si="23"/>
        <v>54.046353316629691</v>
      </c>
    </row>
    <row r="185" spans="1:17">
      <c r="A185" s="28">
        <v>39475</v>
      </c>
      <c r="B185">
        <f>Prestiti!B185+Prestiti!C185+Prestiti!D185</f>
        <v>167665.27999999997</v>
      </c>
      <c r="C185">
        <f>Prestiti!E185+Prestiti!F185</f>
        <v>10017.120000000001</v>
      </c>
      <c r="D185">
        <f>Prestiti!G185</f>
        <v>81783.990000000005</v>
      </c>
      <c r="E185">
        <f>Prestiti!H185+Prestiti!K185+Prestiti!L185</f>
        <v>628081.34000000008</v>
      </c>
      <c r="F185">
        <f>Prestiti!I185+Prestiti!J185</f>
        <v>225221.93</v>
      </c>
      <c r="G185">
        <f>Prestiti!M185+Prestiti!N185+Prestiti!O185+Prestiti!P185</f>
        <v>1287666.2000000002</v>
      </c>
      <c r="H185">
        <f t="shared" si="16"/>
        <v>1297683.3200000003</v>
      </c>
      <c r="I185">
        <f>SUM(B185:G185)</f>
        <v>2400435.8600000003</v>
      </c>
      <c r="K185" s="13">
        <f t="shared" si="17"/>
        <v>6.9847848382001736</v>
      </c>
      <c r="L185" s="13">
        <f t="shared" si="18"/>
        <v>0.41730421407718848</v>
      </c>
      <c r="M185" s="13">
        <f t="shared" si="19"/>
        <v>3.407047501781614</v>
      </c>
      <c r="N185" s="13">
        <f t="shared" si="20"/>
        <v>26.165303996083445</v>
      </c>
      <c r="O185" s="13">
        <f t="shared" si="21"/>
        <v>9.3825431353120994</v>
      </c>
      <c r="P185" s="13">
        <f t="shared" si="22"/>
        <v>53.643016314545477</v>
      </c>
      <c r="Q185" s="13">
        <f t="shared" si="23"/>
        <v>54.060320528622675</v>
      </c>
    </row>
    <row r="186" spans="1:17">
      <c r="A186" s="28">
        <v>39444</v>
      </c>
      <c r="B186">
        <f>Prestiti!B186+Prestiti!C186+Prestiti!D186</f>
        <v>155692.12</v>
      </c>
      <c r="C186">
        <f>Prestiti!E186+Prestiti!F186</f>
        <v>9661.3900000000012</v>
      </c>
      <c r="D186">
        <f>Prestiti!G186</f>
        <v>76185.69</v>
      </c>
      <c r="E186">
        <f>Prestiti!H186+Prestiti!K186+Prestiti!L186</f>
        <v>658715.43000000005</v>
      </c>
      <c r="F186">
        <f>Prestiti!I186+Prestiti!J186</f>
        <v>223076.06</v>
      </c>
      <c r="G186">
        <f>Prestiti!M186+Prestiti!N186+Prestiti!O186+Prestiti!P186</f>
        <v>1278782.72</v>
      </c>
      <c r="H186">
        <f t="shared" si="16"/>
        <v>1288444.1099999999</v>
      </c>
      <c r="I186">
        <f>SUM(B186:G186)</f>
        <v>2402113.41</v>
      </c>
      <c r="K186" s="13">
        <f t="shared" si="17"/>
        <v>6.4814641703365687</v>
      </c>
      <c r="L186" s="13">
        <f t="shared" si="18"/>
        <v>0.40220374107981854</v>
      </c>
      <c r="M186" s="13">
        <f t="shared" si="19"/>
        <v>3.1716108691137936</v>
      </c>
      <c r="N186" s="13">
        <f t="shared" si="20"/>
        <v>27.422328490310537</v>
      </c>
      <c r="O186" s="13">
        <f t="shared" si="21"/>
        <v>9.2866581182776038</v>
      </c>
      <c r="P186" s="13">
        <f t="shared" si="22"/>
        <v>53.235734610881671</v>
      </c>
      <c r="Q186" s="13">
        <f t="shared" si="23"/>
        <v>53.637938351961481</v>
      </c>
    </row>
    <row r="187" spans="1:17">
      <c r="A187" s="28">
        <v>39414</v>
      </c>
      <c r="B187">
        <f>Prestiti!B187+Prestiti!C187+Prestiti!D187</f>
        <v>169070.45</v>
      </c>
      <c r="C187">
        <f>Prestiti!E187+Prestiti!F187</f>
        <v>9596.5500000000011</v>
      </c>
      <c r="D187">
        <f>Prestiti!G187</f>
        <v>90975.12</v>
      </c>
      <c r="E187">
        <f>Prestiti!H187+Prestiti!K187+Prestiti!L187</f>
        <v>632354.47000000009</v>
      </c>
      <c r="F187">
        <f>Prestiti!I187+Prestiti!J187</f>
        <v>217277.59</v>
      </c>
      <c r="G187">
        <f>Prestiti!M187+Prestiti!N187+Prestiti!O187+Prestiti!P187</f>
        <v>1281397.0199999998</v>
      </c>
      <c r="H187">
        <f t="shared" si="16"/>
        <v>1290993.5699999998</v>
      </c>
      <c r="I187">
        <f>SUM(B187:G187)</f>
        <v>2400671.2000000002</v>
      </c>
      <c r="K187" s="13">
        <f t="shared" si="17"/>
        <v>7.0426324937792399</v>
      </c>
      <c r="L187" s="13">
        <f t="shared" si="18"/>
        <v>0.39974445480080739</v>
      </c>
      <c r="M187" s="13">
        <f t="shared" si="19"/>
        <v>3.7895701835386699</v>
      </c>
      <c r="N187" s="13">
        <f t="shared" si="20"/>
        <v>26.340736290750687</v>
      </c>
      <c r="O187" s="13">
        <f t="shared" si="21"/>
        <v>9.0507017370808622</v>
      </c>
      <c r="P187" s="13">
        <f t="shared" si="22"/>
        <v>53.376614840049719</v>
      </c>
      <c r="Q187" s="13">
        <f t="shared" si="23"/>
        <v>53.776359294850529</v>
      </c>
    </row>
    <row r="188" spans="1:17">
      <c r="A188" s="28">
        <v>39383</v>
      </c>
      <c r="B188">
        <f>Prestiti!B188+Prestiti!C188+Prestiti!D188</f>
        <v>169495.2</v>
      </c>
      <c r="C188">
        <f>Prestiti!E188+Prestiti!F188</f>
        <v>9315.91</v>
      </c>
      <c r="D188">
        <f>Prestiti!G188</f>
        <v>89946.240000000005</v>
      </c>
      <c r="E188">
        <f>Prestiti!H188+Prestiti!K188+Prestiti!L188</f>
        <v>631409.56999999995</v>
      </c>
      <c r="F188">
        <f>Prestiti!I188+Prestiti!J188</f>
        <v>213912.84999999998</v>
      </c>
      <c r="G188">
        <f>Prestiti!M188+Prestiti!N188+Prestiti!O188+Prestiti!P188</f>
        <v>1259623.1300000001</v>
      </c>
      <c r="H188">
        <f t="shared" si="16"/>
        <v>1268939.04</v>
      </c>
      <c r="I188">
        <f>SUM(B188:G188)</f>
        <v>2373702.9000000004</v>
      </c>
      <c r="K188" s="13">
        <f t="shared" si="17"/>
        <v>7.1405397870137834</v>
      </c>
      <c r="L188" s="13">
        <f t="shared" si="18"/>
        <v>0.39246318484086606</v>
      </c>
      <c r="M188" s="13">
        <f t="shared" si="19"/>
        <v>3.7892796103505622</v>
      </c>
      <c r="N188" s="13">
        <f t="shared" si="20"/>
        <v>26.600193731068867</v>
      </c>
      <c r="O188" s="13">
        <f t="shared" si="21"/>
        <v>9.0117786012731393</v>
      </c>
      <c r="P188" s="13">
        <f t="shared" si="22"/>
        <v>53.065745085452775</v>
      </c>
      <c r="Q188" s="13">
        <f t="shared" si="23"/>
        <v>53.458208270293639</v>
      </c>
    </row>
    <row r="189" spans="1:17">
      <c r="A189" s="28">
        <v>39353</v>
      </c>
      <c r="B189">
        <f>Prestiti!B189+Prestiti!C189+Prestiti!D189</f>
        <v>158917.71000000002</v>
      </c>
      <c r="C189">
        <f>Prestiti!E189+Prestiti!F189</f>
        <v>10207.74</v>
      </c>
      <c r="D189">
        <f>Prestiti!G189</f>
        <v>81248.28</v>
      </c>
      <c r="E189">
        <f>Prestiti!H189+Prestiti!K189+Prestiti!L189</f>
        <v>626387.1</v>
      </c>
      <c r="F189">
        <f>Prestiti!I189+Prestiti!J189</f>
        <v>59784.229999999996</v>
      </c>
      <c r="G189">
        <f>Prestiti!M189+Prestiti!N189+Prestiti!O189+Prestiti!P189</f>
        <v>1233798.22</v>
      </c>
      <c r="H189">
        <f t="shared" si="16"/>
        <v>1244005.96</v>
      </c>
      <c r="I189">
        <f>SUM(B189:G189)</f>
        <v>2170343.2799999998</v>
      </c>
      <c r="K189" s="13">
        <f t="shared" si="17"/>
        <v>7.3222384433120666</v>
      </c>
      <c r="L189" s="13">
        <f t="shared" si="18"/>
        <v>0.4703283620644565</v>
      </c>
      <c r="M189" s="13">
        <f t="shared" si="19"/>
        <v>3.7435681603326825</v>
      </c>
      <c r="N189" s="13">
        <f t="shared" si="20"/>
        <v>28.861199321427161</v>
      </c>
      <c r="O189" s="13">
        <f t="shared" si="21"/>
        <v>2.7545978809398299</v>
      </c>
      <c r="P189" s="13">
        <f t="shared" si="22"/>
        <v>56.848067831923807</v>
      </c>
      <c r="Q189" s="13">
        <f t="shared" si="23"/>
        <v>57.318396193988264</v>
      </c>
    </row>
    <row r="190" spans="1:17">
      <c r="A190" s="28">
        <v>39322</v>
      </c>
      <c r="B190">
        <f>Prestiti!B190+Prestiti!C190+Prestiti!D190</f>
        <v>151665.68</v>
      </c>
      <c r="C190">
        <f>Prestiti!E190+Prestiti!F190</f>
        <v>10011.14</v>
      </c>
      <c r="D190">
        <f>Prestiti!G190</f>
        <v>88947.65</v>
      </c>
      <c r="E190">
        <f>Prestiti!H190+Prestiti!K190+Prestiti!L190</f>
        <v>619158.5</v>
      </c>
      <c r="F190">
        <f>Prestiti!I190+Prestiti!J190</f>
        <v>59320.930000000008</v>
      </c>
      <c r="G190">
        <f>Prestiti!M190+Prestiti!N190+Prestiti!O190+Prestiti!P190</f>
        <v>1226259.2</v>
      </c>
      <c r="H190">
        <f t="shared" si="16"/>
        <v>1236270.3399999999</v>
      </c>
      <c r="I190">
        <f>SUM(B190:G190)</f>
        <v>2155363.1</v>
      </c>
      <c r="K190" s="13">
        <f t="shared" si="17"/>
        <v>7.0366649591430779</v>
      </c>
      <c r="L190" s="13">
        <f t="shared" si="18"/>
        <v>0.46447579992438387</v>
      </c>
      <c r="M190" s="13">
        <f t="shared" si="19"/>
        <v>4.1268058268233316</v>
      </c>
      <c r="N190" s="13">
        <f t="shared" si="20"/>
        <v>28.726412732963645</v>
      </c>
      <c r="O190" s="13">
        <f t="shared" si="21"/>
        <v>2.7522476375326272</v>
      </c>
      <c r="P190" s="13">
        <f t="shared" si="22"/>
        <v>56.893393043612924</v>
      </c>
      <c r="Q190" s="13">
        <f t="shared" si="23"/>
        <v>57.357868843537304</v>
      </c>
    </row>
    <row r="191" spans="1:17">
      <c r="A191" s="28">
        <v>39291</v>
      </c>
      <c r="B191">
        <f>Prestiti!B191+Prestiti!C191+Prestiti!D191</f>
        <v>156401.22999999998</v>
      </c>
      <c r="C191">
        <f>Prestiti!E191+Prestiti!F191</f>
        <v>9645.08</v>
      </c>
      <c r="D191">
        <f>Prestiti!G191</f>
        <v>89154.08</v>
      </c>
      <c r="E191">
        <f>Prestiti!H191+Prestiti!K191+Prestiti!L191</f>
        <v>619684.81999999995</v>
      </c>
      <c r="F191">
        <f>Prestiti!I191+Prestiti!J191</f>
        <v>59700.65</v>
      </c>
      <c r="G191">
        <f>Prestiti!M191+Prestiti!N191+Prestiti!O191+Prestiti!P191</f>
        <v>1224563.5199999998</v>
      </c>
      <c r="H191">
        <f t="shared" si="16"/>
        <v>1234208.5999999999</v>
      </c>
      <c r="I191">
        <f>SUM(B191:G191)</f>
        <v>2159149.38</v>
      </c>
      <c r="K191" s="13">
        <f t="shared" si="17"/>
        <v>7.2436502749059439</v>
      </c>
      <c r="L191" s="13">
        <f t="shared" si="18"/>
        <v>0.44670739733626025</v>
      </c>
      <c r="M191" s="13">
        <f t="shared" si="19"/>
        <v>4.1291297779498706</v>
      </c>
      <c r="N191" s="13">
        <f t="shared" si="20"/>
        <v>28.700414419682254</v>
      </c>
      <c r="O191" s="13">
        <f t="shared" si="21"/>
        <v>2.7650078569366983</v>
      </c>
      <c r="P191" s="13">
        <f t="shared" si="22"/>
        <v>56.715090273188963</v>
      </c>
      <c r="Q191" s="13">
        <f t="shared" si="23"/>
        <v>57.161797670525225</v>
      </c>
    </row>
    <row r="192" spans="1:17">
      <c r="A192" s="28">
        <v>39261</v>
      </c>
      <c r="B192">
        <f>Prestiti!B192+Prestiti!C192+Prestiti!D192</f>
        <v>151080.23000000001</v>
      </c>
      <c r="C192">
        <f>Prestiti!E192+Prestiti!F192</f>
        <v>9460.09</v>
      </c>
      <c r="D192">
        <f>Prestiti!G192</f>
        <v>84102.89</v>
      </c>
      <c r="E192">
        <f>Prestiti!H192+Prestiti!K192+Prestiti!L192</f>
        <v>623376.81000000006</v>
      </c>
      <c r="F192">
        <f>Prestiti!I192+Prestiti!J192</f>
        <v>60628.209999999992</v>
      </c>
      <c r="G192">
        <f>Prestiti!M192+Prestiti!N192+Prestiti!O192+Prestiti!P192</f>
        <v>1206615.8599999999</v>
      </c>
      <c r="H192">
        <f t="shared" si="16"/>
        <v>1216075.95</v>
      </c>
      <c r="I192">
        <f>SUM(B192:G192)</f>
        <v>2135264.09</v>
      </c>
      <c r="K192" s="13">
        <f t="shared" si="17"/>
        <v>7.075482171387991</v>
      </c>
      <c r="L192" s="13">
        <f t="shared" si="18"/>
        <v>0.4430407481821137</v>
      </c>
      <c r="M192" s="13">
        <f t="shared" si="19"/>
        <v>3.9387582263887557</v>
      </c>
      <c r="N192" s="13">
        <f t="shared" si="20"/>
        <v>29.194365836031089</v>
      </c>
      <c r="O192" s="13">
        <f t="shared" si="21"/>
        <v>2.8393775872472991</v>
      </c>
      <c r="P192" s="13">
        <f t="shared" si="22"/>
        <v>56.508975430762753</v>
      </c>
      <c r="Q192" s="13">
        <f t="shared" si="23"/>
        <v>56.952016178944874</v>
      </c>
    </row>
    <row r="193" spans="1:17">
      <c r="A193" s="28">
        <v>39230</v>
      </c>
      <c r="B193">
        <f>Prestiti!B193+Prestiti!C193+Prestiti!D193</f>
        <v>143234.26</v>
      </c>
      <c r="C193">
        <f>Prestiti!E193+Prestiti!F193</f>
        <v>9182.2199999999993</v>
      </c>
      <c r="D193">
        <f>Prestiti!G193</f>
        <v>94008.19</v>
      </c>
      <c r="E193">
        <f>Prestiti!H193+Prestiti!K193+Prestiti!L193</f>
        <v>616298.43000000005</v>
      </c>
      <c r="F193">
        <f>Prestiti!I193+Prestiti!J193</f>
        <v>60446.380000000005</v>
      </c>
      <c r="G193">
        <f>Prestiti!M193+Prestiti!N193+Prestiti!O193+Prestiti!P193</f>
        <v>1187524.0199999998</v>
      </c>
      <c r="H193">
        <f t="shared" si="16"/>
        <v>1196706.2399999998</v>
      </c>
      <c r="I193">
        <f>SUM(B193:G193)</f>
        <v>2110693.5</v>
      </c>
      <c r="K193" s="13">
        <f t="shared" si="17"/>
        <v>6.7861231391483425</v>
      </c>
      <c r="L193" s="13">
        <f t="shared" si="18"/>
        <v>0.43503331961746222</v>
      </c>
      <c r="M193" s="13">
        <f t="shared" si="19"/>
        <v>4.4539005781748982</v>
      </c>
      <c r="N193" s="13">
        <f t="shared" si="20"/>
        <v>29.198859521763822</v>
      </c>
      <c r="O193" s="13">
        <f t="shared" si="21"/>
        <v>2.8638160869875233</v>
      </c>
      <c r="P193" s="13">
        <f t="shared" si="22"/>
        <v>56.262267354307951</v>
      </c>
      <c r="Q193" s="13">
        <f t="shared" si="23"/>
        <v>56.697300673925412</v>
      </c>
    </row>
    <row r="194" spans="1:17">
      <c r="A194" s="28">
        <v>39200</v>
      </c>
      <c r="B194">
        <f>Prestiti!B194+Prestiti!C194+Prestiti!D194</f>
        <v>139918.05000000002</v>
      </c>
      <c r="C194">
        <f>Prestiti!E194+Prestiti!F194</f>
        <v>8690.9</v>
      </c>
      <c r="D194">
        <f>Prestiti!G194</f>
        <v>88523.69</v>
      </c>
      <c r="E194">
        <f>Prestiti!H194+Prestiti!K194+Prestiti!L194</f>
        <v>599491.47</v>
      </c>
      <c r="F194">
        <f>Prestiti!I194+Prestiti!J194</f>
        <v>63067.42</v>
      </c>
      <c r="G194">
        <f>Prestiti!M194+Prestiti!N194+Prestiti!O194+Prestiti!P194</f>
        <v>1180937.4600000002</v>
      </c>
      <c r="H194">
        <f t="shared" si="16"/>
        <v>1189628.3600000001</v>
      </c>
      <c r="I194">
        <f>SUM(B194:G194)</f>
        <v>2080628.9900000002</v>
      </c>
      <c r="K194" s="13">
        <f t="shared" si="17"/>
        <v>6.7247957551528685</v>
      </c>
      <c r="L194" s="13">
        <f t="shared" si="18"/>
        <v>0.41770541705275377</v>
      </c>
      <c r="M194" s="13">
        <f t="shared" si="19"/>
        <v>4.2546600295134791</v>
      </c>
      <c r="N194" s="13">
        <f t="shared" si="20"/>
        <v>28.812992267304701</v>
      </c>
      <c r="O194" s="13">
        <f t="shared" si="21"/>
        <v>3.0311708768414301</v>
      </c>
      <c r="P194" s="13">
        <f t="shared" si="22"/>
        <v>56.758675654134763</v>
      </c>
      <c r="Q194" s="13">
        <f t="shared" si="23"/>
        <v>57.176381071187507</v>
      </c>
    </row>
    <row r="195" spans="1:17">
      <c r="A195" s="28">
        <v>39169</v>
      </c>
      <c r="B195">
        <f>Prestiti!B195+Prestiti!C195+Prestiti!D195</f>
        <v>132119.57</v>
      </c>
      <c r="C195">
        <f>Prestiti!E195+Prestiti!F195</f>
        <v>8943.23</v>
      </c>
      <c r="D195">
        <f>Prestiti!G195</f>
        <v>85172.54</v>
      </c>
      <c r="E195">
        <f>Prestiti!H195+Prestiti!K195+Prestiti!L195</f>
        <v>605878.88</v>
      </c>
      <c r="F195">
        <f>Prestiti!I195+Prestiti!J195</f>
        <v>60216.67</v>
      </c>
      <c r="G195">
        <f>Prestiti!M195+Prestiti!N195+Prestiti!O195+Prestiti!P195</f>
        <v>1174712.7699999998</v>
      </c>
      <c r="H195">
        <f t="shared" si="16"/>
        <v>1183655.9999999998</v>
      </c>
      <c r="I195">
        <f>SUM(B195:G195)</f>
        <v>2067043.6599999997</v>
      </c>
      <c r="K195" s="13">
        <f t="shared" si="17"/>
        <v>6.3917164671790259</v>
      </c>
      <c r="L195" s="13">
        <f t="shared" si="18"/>
        <v>0.43265801168418477</v>
      </c>
      <c r="M195" s="13">
        <f t="shared" si="19"/>
        <v>4.1205002897713348</v>
      </c>
      <c r="N195" s="13">
        <f t="shared" si="20"/>
        <v>29.311373132776502</v>
      </c>
      <c r="O195" s="13">
        <f t="shared" si="21"/>
        <v>2.9131784279776656</v>
      </c>
      <c r="P195" s="13">
        <f t="shared" si="22"/>
        <v>56.830573670611294</v>
      </c>
      <c r="Q195" s="13">
        <f t="shared" si="23"/>
        <v>57.263231682295476</v>
      </c>
    </row>
    <row r="196" spans="1:17">
      <c r="A196" s="28">
        <v>39141</v>
      </c>
      <c r="B196">
        <f>Prestiti!B196+Prestiti!C196+Prestiti!D196</f>
        <v>125973.6</v>
      </c>
      <c r="C196">
        <f>Prestiti!E196+Prestiti!F196</f>
        <v>8930.84</v>
      </c>
      <c r="D196">
        <f>Prestiti!G196</f>
        <v>80730.25</v>
      </c>
      <c r="E196">
        <f>Prestiti!H196+Prestiti!K196+Prestiti!L196</f>
        <v>584695.56999999995</v>
      </c>
      <c r="F196">
        <f>Prestiti!I196+Prestiti!J196</f>
        <v>60468.490000000005</v>
      </c>
      <c r="G196">
        <f>Prestiti!M196+Prestiti!N196+Prestiti!O196+Prestiti!P196</f>
        <v>1170343.03</v>
      </c>
      <c r="H196">
        <f t="shared" ref="H196:H259" si="24">G196+C196</f>
        <v>1179273.8700000001</v>
      </c>
      <c r="I196">
        <f>SUM(B196:G196)</f>
        <v>2031141.78</v>
      </c>
      <c r="K196" s="13">
        <f t="shared" ref="K196:K259" si="25">B196/I196*100</f>
        <v>6.2021076637988317</v>
      </c>
      <c r="L196" s="13">
        <f t="shared" ref="L196:L259" si="26">C196/I196*100</f>
        <v>0.43969554897344487</v>
      </c>
      <c r="M196" s="13">
        <f t="shared" ref="M196:M259" si="27">D196/I196*100</f>
        <v>3.9746240658788476</v>
      </c>
      <c r="N196" s="13">
        <f t="shared" ref="N196:N259" si="28">E196/I196*100</f>
        <v>28.786546353253584</v>
      </c>
      <c r="O196" s="13">
        <f t="shared" ref="O196:O259" si="29">F196/I196*100</f>
        <v>2.9770688878252507</v>
      </c>
      <c r="P196" s="13">
        <f t="shared" ref="P196:P259" si="30">G196/I196*100</f>
        <v>57.619957480270031</v>
      </c>
      <c r="Q196" s="13">
        <f t="shared" ref="Q196:Q259" si="31">H196/I196*100</f>
        <v>58.059653029243485</v>
      </c>
    </row>
    <row r="197" spans="1:17">
      <c r="A197" s="28">
        <v>39110</v>
      </c>
      <c r="B197">
        <f>Prestiti!B197+Prestiti!C197+Prestiti!D197</f>
        <v>121560.6</v>
      </c>
      <c r="C197">
        <f>Prestiti!E197+Prestiti!F197</f>
        <v>9077.9699999999993</v>
      </c>
      <c r="D197">
        <f>Prestiti!G197</f>
        <v>78578.649999999994</v>
      </c>
      <c r="E197">
        <f>Prestiti!H197+Prestiti!K197+Prestiti!L197</f>
        <v>590602.95000000007</v>
      </c>
      <c r="F197">
        <f>Prestiti!I197+Prestiti!J197</f>
        <v>59979.15</v>
      </c>
      <c r="G197">
        <f>Prestiti!M197+Prestiti!N197+Prestiti!O197+Prestiti!P197</f>
        <v>1160920.3999999999</v>
      </c>
      <c r="H197">
        <f t="shared" si="24"/>
        <v>1169998.3699999999</v>
      </c>
      <c r="I197">
        <f>SUM(B197:G197)</f>
        <v>2020719.72</v>
      </c>
      <c r="K197" s="13">
        <f t="shared" si="25"/>
        <v>6.0157081062187094</v>
      </c>
      <c r="L197" s="13">
        <f t="shared" si="26"/>
        <v>0.44924439100341929</v>
      </c>
      <c r="M197" s="13">
        <f t="shared" si="27"/>
        <v>3.8886466649615317</v>
      </c>
      <c r="N197" s="13">
        <f t="shared" si="28"/>
        <v>29.227356181786561</v>
      </c>
      <c r="O197" s="13">
        <f t="shared" si="29"/>
        <v>2.9682072880448755</v>
      </c>
      <c r="P197" s="13">
        <f t="shared" si="30"/>
        <v>57.45083736798491</v>
      </c>
      <c r="Q197" s="13">
        <f t="shared" si="31"/>
        <v>57.900081758988321</v>
      </c>
    </row>
    <row r="198" spans="1:17">
      <c r="A198" s="28">
        <v>39079</v>
      </c>
      <c r="B198">
        <f>Prestiti!B198+Prestiti!C198+Prestiti!D198</f>
        <v>142122.73000000001</v>
      </c>
      <c r="C198">
        <f>Prestiti!E198+Prestiti!F198</f>
        <v>8931.41</v>
      </c>
      <c r="D198">
        <f>Prestiti!G198</f>
        <v>74839.070000000007</v>
      </c>
      <c r="E198">
        <f>Prestiti!H198+Prestiti!K198+Prestiti!L198</f>
        <v>594710.79</v>
      </c>
      <c r="F198">
        <f>Prestiti!I198+Prestiti!J198</f>
        <v>59613.090000000004</v>
      </c>
      <c r="G198">
        <f>Prestiti!M198+Prestiti!N198+Prestiti!O198+Prestiti!P198</f>
        <v>1150430.7899999998</v>
      </c>
      <c r="H198">
        <f t="shared" si="24"/>
        <v>1159362.1999999997</v>
      </c>
      <c r="I198">
        <f>SUM(B198:G198)</f>
        <v>2030647.88</v>
      </c>
      <c r="K198" s="13">
        <f t="shared" si="25"/>
        <v>6.9988859910069703</v>
      </c>
      <c r="L198" s="13">
        <f t="shared" si="26"/>
        <v>0.4398305628448001</v>
      </c>
      <c r="M198" s="13">
        <f t="shared" si="27"/>
        <v>3.6854774644632138</v>
      </c>
      <c r="N198" s="13">
        <f t="shared" si="28"/>
        <v>29.286751083599981</v>
      </c>
      <c r="O198" s="13">
        <f t="shared" si="29"/>
        <v>2.9356684921661556</v>
      </c>
      <c r="P198" s="13">
        <f t="shared" si="30"/>
        <v>56.65338640591888</v>
      </c>
      <c r="Q198" s="13">
        <f t="shared" si="31"/>
        <v>57.09321696876367</v>
      </c>
    </row>
    <row r="199" spans="1:17">
      <c r="A199" s="28">
        <v>39049</v>
      </c>
      <c r="B199">
        <f>Prestiti!B199+Prestiti!C199+Prestiti!D199</f>
        <v>142450.03000000003</v>
      </c>
      <c r="C199">
        <f>Prestiti!E199+Prestiti!F199</f>
        <v>8616.130000000001</v>
      </c>
      <c r="D199">
        <f>Prestiti!G199</f>
        <v>82931.240000000005</v>
      </c>
      <c r="E199">
        <f>Prestiti!H199+Prestiti!K199+Prestiti!L199</f>
        <v>588119.04999999993</v>
      </c>
      <c r="F199">
        <f>Prestiti!I199+Prestiti!J199</f>
        <v>56943.49</v>
      </c>
      <c r="G199">
        <f>Prestiti!M199+Prestiti!N199+Prestiti!O199+Prestiti!P199</f>
        <v>1140761.1399999999</v>
      </c>
      <c r="H199">
        <f t="shared" si="24"/>
        <v>1149377.2699999998</v>
      </c>
      <c r="I199">
        <f>SUM(B199:G199)</f>
        <v>2019821.0799999998</v>
      </c>
      <c r="K199" s="13">
        <f t="shared" si="25"/>
        <v>7.0526063625397972</v>
      </c>
      <c r="L199" s="13">
        <f t="shared" si="26"/>
        <v>0.42657887301582192</v>
      </c>
      <c r="M199" s="13">
        <f t="shared" si="27"/>
        <v>4.1058706051330063</v>
      </c>
      <c r="N199" s="13">
        <f t="shared" si="28"/>
        <v>29.117383506067775</v>
      </c>
      <c r="O199" s="13">
        <f t="shared" si="29"/>
        <v>2.8192343650557405</v>
      </c>
      <c r="P199" s="13">
        <f t="shared" si="30"/>
        <v>56.478326288187866</v>
      </c>
      <c r="Q199" s="13">
        <f t="shared" si="31"/>
        <v>56.904905161203679</v>
      </c>
    </row>
    <row r="200" spans="1:17">
      <c r="A200" s="28">
        <v>39018</v>
      </c>
      <c r="B200">
        <f>Prestiti!B200+Prestiti!C200+Prestiti!D200</f>
        <v>133173.86000000002</v>
      </c>
      <c r="C200">
        <f>Prestiti!E200+Prestiti!F200</f>
        <v>8635.98</v>
      </c>
      <c r="D200">
        <f>Prestiti!G200</f>
        <v>74936.2</v>
      </c>
      <c r="E200">
        <f>Prestiti!H200+Prestiti!K200+Prestiti!L200</f>
        <v>570384.44999999995</v>
      </c>
      <c r="F200">
        <f>Prestiti!I200+Prestiti!J200</f>
        <v>59416.22</v>
      </c>
      <c r="G200">
        <f>Prestiti!M200+Prestiti!N200+Prestiti!O200+Prestiti!P200</f>
        <v>1117141.3600000001</v>
      </c>
      <c r="H200">
        <f t="shared" si="24"/>
        <v>1125777.3400000001</v>
      </c>
      <c r="I200">
        <f>SUM(B200:G200)</f>
        <v>1963688.07</v>
      </c>
      <c r="K200" s="13">
        <f t="shared" si="25"/>
        <v>6.7818235510286522</v>
      </c>
      <c r="L200" s="13">
        <f t="shared" si="26"/>
        <v>0.43978369741788975</v>
      </c>
      <c r="M200" s="13">
        <f t="shared" si="27"/>
        <v>3.816094885171859</v>
      </c>
      <c r="N200" s="13">
        <f t="shared" si="28"/>
        <v>29.046591396769038</v>
      </c>
      <c r="O200" s="13">
        <f t="shared" si="29"/>
        <v>3.0257463447338662</v>
      </c>
      <c r="P200" s="13">
        <f t="shared" si="30"/>
        <v>56.889960124878691</v>
      </c>
      <c r="Q200" s="13">
        <f t="shared" si="31"/>
        <v>57.329743822296585</v>
      </c>
    </row>
    <row r="201" spans="1:17">
      <c r="A201" s="28">
        <v>38988</v>
      </c>
      <c r="B201">
        <f>Prestiti!B201+Prestiti!C201+Prestiti!D201</f>
        <v>137106.15999999997</v>
      </c>
      <c r="C201">
        <f>Prestiti!E201+Prestiti!F201</f>
        <v>8539.4699999999993</v>
      </c>
      <c r="D201">
        <f>Prestiti!G201</f>
        <v>74912.320000000007</v>
      </c>
      <c r="E201">
        <f>Prestiti!H201+Prestiti!K201+Prestiti!L201</f>
        <v>566668.14</v>
      </c>
      <c r="F201">
        <f>Prestiti!I201+Prestiti!J201</f>
        <v>58650.75</v>
      </c>
      <c r="G201">
        <f>Prestiti!M201+Prestiti!N201+Prestiti!O201+Prestiti!P201</f>
        <v>1110190.97</v>
      </c>
      <c r="H201">
        <f t="shared" si="24"/>
        <v>1118730.44</v>
      </c>
      <c r="I201">
        <f>SUM(B201:G201)</f>
        <v>1956067.81</v>
      </c>
      <c r="K201" s="13">
        <f t="shared" si="25"/>
        <v>7.0092743870673875</v>
      </c>
      <c r="L201" s="13">
        <f t="shared" si="26"/>
        <v>0.43656308622552298</v>
      </c>
      <c r="M201" s="13">
        <f t="shared" si="27"/>
        <v>3.8297404423827208</v>
      </c>
      <c r="N201" s="13">
        <f t="shared" si="28"/>
        <v>28.969759489063929</v>
      </c>
      <c r="O201" s="13">
        <f t="shared" si="29"/>
        <v>2.9984006536051528</v>
      </c>
      <c r="P201" s="13">
        <f t="shared" si="30"/>
        <v>56.756261941655282</v>
      </c>
      <c r="Q201" s="13">
        <f t="shared" si="31"/>
        <v>57.192825027880801</v>
      </c>
    </row>
    <row r="202" spans="1:17">
      <c r="A202" s="28">
        <v>38957</v>
      </c>
      <c r="B202">
        <f>Prestiti!B202+Prestiti!C202+Prestiti!D202</f>
        <v>124904.42</v>
      </c>
      <c r="C202">
        <f>Prestiti!E202+Prestiti!F202</f>
        <v>8307.49</v>
      </c>
      <c r="D202">
        <f>Prestiti!G202</f>
        <v>71643.06</v>
      </c>
      <c r="E202">
        <f>Prestiti!H202+Prestiti!K202+Prestiti!L202</f>
        <v>551388.42000000004</v>
      </c>
      <c r="F202">
        <f>Prestiti!I202+Prestiti!J202</f>
        <v>57323.07</v>
      </c>
      <c r="G202">
        <f>Prestiti!M202+Prestiti!N202+Prestiti!O202+Prestiti!P202</f>
        <v>1101682.97</v>
      </c>
      <c r="H202">
        <f t="shared" si="24"/>
        <v>1109990.46</v>
      </c>
      <c r="I202">
        <f>SUM(B202:G202)</f>
        <v>1915249.43</v>
      </c>
      <c r="K202" s="13">
        <f t="shared" si="25"/>
        <v>6.5215745815415813</v>
      </c>
      <c r="L202" s="13">
        <f t="shared" si="26"/>
        <v>0.43375499137989559</v>
      </c>
      <c r="M202" s="13">
        <f t="shared" si="27"/>
        <v>3.7406647342012258</v>
      </c>
      <c r="N202" s="13">
        <f t="shared" si="28"/>
        <v>28.78937914629741</v>
      </c>
      <c r="O202" s="13">
        <f t="shared" si="29"/>
        <v>2.9929819637121624</v>
      </c>
      <c r="P202" s="13">
        <f t="shared" si="30"/>
        <v>57.521644582867722</v>
      </c>
      <c r="Q202" s="13">
        <f t="shared" si="31"/>
        <v>57.955399574247622</v>
      </c>
    </row>
    <row r="203" spans="1:17">
      <c r="A203" s="28">
        <v>38926</v>
      </c>
      <c r="B203">
        <f>Prestiti!B203+Prestiti!C203+Prestiti!D203</f>
        <v>120684.34</v>
      </c>
      <c r="C203">
        <f>Prestiti!E203+Prestiti!F203</f>
        <v>7905.26</v>
      </c>
      <c r="D203">
        <f>Prestiti!G203</f>
        <v>74234</v>
      </c>
      <c r="E203">
        <f>Prestiti!H203+Prestiti!K203+Prestiti!L203</f>
        <v>549685.80000000005</v>
      </c>
      <c r="F203">
        <f>Prestiti!I203+Prestiti!J203</f>
        <v>57560.9</v>
      </c>
      <c r="G203">
        <f>Prestiti!M203+Prestiti!N203+Prestiti!O203+Prestiti!P203</f>
        <v>1104931.1199999999</v>
      </c>
      <c r="H203">
        <f t="shared" si="24"/>
        <v>1112836.3799999999</v>
      </c>
      <c r="I203">
        <f>SUM(B203:G203)</f>
        <v>1915001.42</v>
      </c>
      <c r="K203" s="13">
        <f t="shared" si="25"/>
        <v>6.3020496350336908</v>
      </c>
      <c r="L203" s="13">
        <f t="shared" si="26"/>
        <v>0.41280700460263897</v>
      </c>
      <c r="M203" s="13">
        <f t="shared" si="27"/>
        <v>3.8764462117213467</v>
      </c>
      <c r="N203" s="13">
        <f t="shared" si="28"/>
        <v>28.704198036573786</v>
      </c>
      <c r="O203" s="13">
        <f t="shared" si="29"/>
        <v>3.0057888938797759</v>
      </c>
      <c r="P203" s="13">
        <f t="shared" si="30"/>
        <v>57.698710218188765</v>
      </c>
      <c r="Q203" s="13">
        <f t="shared" si="31"/>
        <v>58.111517222791399</v>
      </c>
    </row>
    <row r="204" spans="1:17">
      <c r="A204" s="28">
        <v>38896</v>
      </c>
      <c r="B204">
        <f>Prestiti!B204+Prestiti!C204+Prestiti!D204</f>
        <v>120407.8</v>
      </c>
      <c r="C204">
        <f>Prestiti!E204+Prestiti!F204</f>
        <v>7894.99</v>
      </c>
      <c r="D204">
        <f>Prestiti!G204</f>
        <v>67537.679999999993</v>
      </c>
      <c r="E204">
        <f>Prestiti!H204+Prestiti!K204+Prestiti!L204</f>
        <v>534618.7300000001</v>
      </c>
      <c r="F204">
        <f>Prestiti!I204+Prestiti!J204</f>
        <v>58630.430000000008</v>
      </c>
      <c r="G204">
        <f>Prestiti!M204+Prestiti!N204+Prestiti!O204+Prestiti!P204</f>
        <v>1090331.0899999999</v>
      </c>
      <c r="H204">
        <f t="shared" si="24"/>
        <v>1098226.0799999998</v>
      </c>
      <c r="I204">
        <f>SUM(B204:G204)</f>
        <v>1879420.72</v>
      </c>
      <c r="K204" s="13">
        <f t="shared" si="25"/>
        <v>6.4066442770727789</v>
      </c>
      <c r="L204" s="13">
        <f t="shared" si="26"/>
        <v>0.42007571354220252</v>
      </c>
      <c r="M204" s="13">
        <f t="shared" si="27"/>
        <v>3.5935370553965158</v>
      </c>
      <c r="N204" s="13">
        <f t="shared" si="28"/>
        <v>28.445931467649249</v>
      </c>
      <c r="O204" s="13">
        <f t="shared" si="29"/>
        <v>3.1196011290117101</v>
      </c>
      <c r="P204" s="13">
        <f t="shared" si="30"/>
        <v>58.014210357327542</v>
      </c>
      <c r="Q204" s="13">
        <f t="shared" si="31"/>
        <v>58.434286070869746</v>
      </c>
    </row>
    <row r="205" spans="1:17">
      <c r="A205" s="28">
        <v>38865</v>
      </c>
      <c r="B205">
        <f>Prestiti!B205+Prestiti!C205+Prestiti!D205</f>
        <v>121431.51000000001</v>
      </c>
      <c r="C205">
        <f>Prestiti!E205+Prestiti!F205</f>
        <v>8092.4400000000005</v>
      </c>
      <c r="D205">
        <f>Prestiti!G205</f>
        <v>69093.52</v>
      </c>
      <c r="E205">
        <f>Prestiti!H205+Prestiti!K205+Prestiti!L205</f>
        <v>545094.45000000007</v>
      </c>
      <c r="F205">
        <f>Prestiti!I205+Prestiti!J205</f>
        <v>58236.11</v>
      </c>
      <c r="G205">
        <f>Prestiti!M205+Prestiti!N205+Prestiti!O205+Prestiti!P205</f>
        <v>1075709.8599999999</v>
      </c>
      <c r="H205">
        <f t="shared" si="24"/>
        <v>1083802.2999999998</v>
      </c>
      <c r="I205">
        <f>SUM(B205:G205)</f>
        <v>1877657.8900000001</v>
      </c>
      <c r="K205" s="13">
        <f t="shared" si="25"/>
        <v>6.4671797054574194</v>
      </c>
      <c r="L205" s="13">
        <f t="shared" si="26"/>
        <v>0.4309858597297509</v>
      </c>
      <c r="M205" s="13">
        <f t="shared" si="27"/>
        <v>3.6797715051275928</v>
      </c>
      <c r="N205" s="13">
        <f t="shared" si="28"/>
        <v>29.030551992620978</v>
      </c>
      <c r="O205" s="13">
        <f t="shared" si="29"/>
        <v>3.1015293206580883</v>
      </c>
      <c r="P205" s="13">
        <f t="shared" si="30"/>
        <v>57.289981616406159</v>
      </c>
      <c r="Q205" s="13">
        <f t="shared" si="31"/>
        <v>57.720967476135911</v>
      </c>
    </row>
    <row r="206" spans="1:17">
      <c r="A206" s="28">
        <v>38835</v>
      </c>
      <c r="B206">
        <f>Prestiti!B206+Prestiti!C206+Prestiti!D206</f>
        <v>125179.75</v>
      </c>
      <c r="C206">
        <f>Prestiti!E206+Prestiti!F206</f>
        <v>8439.59</v>
      </c>
      <c r="D206">
        <f>Prestiti!G206</f>
        <v>62942.1</v>
      </c>
      <c r="E206">
        <f>Prestiti!H206+Prestiti!K206+Prestiti!L206</f>
        <v>524082.72</v>
      </c>
      <c r="F206">
        <f>Prestiti!I206+Prestiti!J206</f>
        <v>59375.509999999995</v>
      </c>
      <c r="G206">
        <f>Prestiti!M206+Prestiti!N206+Prestiti!O206+Prestiti!P206</f>
        <v>1068428.32</v>
      </c>
      <c r="H206">
        <f t="shared" si="24"/>
        <v>1076867.9100000001</v>
      </c>
      <c r="I206">
        <f>SUM(B206:G206)</f>
        <v>1848447.99</v>
      </c>
      <c r="K206" s="13">
        <f t="shared" si="25"/>
        <v>6.7721542979415936</v>
      </c>
      <c r="L206" s="13">
        <f t="shared" si="26"/>
        <v>0.45657708767883698</v>
      </c>
      <c r="M206" s="13">
        <f t="shared" si="27"/>
        <v>3.4051323240098306</v>
      </c>
      <c r="N206" s="13">
        <f t="shared" si="28"/>
        <v>28.352581345824067</v>
      </c>
      <c r="O206" s="13">
        <f t="shared" si="29"/>
        <v>3.2121818044769546</v>
      </c>
      <c r="P206" s="13">
        <f t="shared" si="30"/>
        <v>57.801373140068712</v>
      </c>
      <c r="Q206" s="13">
        <f t="shared" si="31"/>
        <v>58.257950227747557</v>
      </c>
    </row>
    <row r="207" spans="1:17">
      <c r="A207" s="28">
        <v>38804</v>
      </c>
      <c r="B207">
        <f>Prestiti!B207+Prestiti!C207+Prestiti!D207</f>
        <v>124834.89</v>
      </c>
      <c r="C207">
        <f>Prestiti!E207+Prestiti!F207</f>
        <v>8339.9600000000009</v>
      </c>
      <c r="D207">
        <f>Prestiti!G207</f>
        <v>62006.78</v>
      </c>
      <c r="E207">
        <f>Prestiti!H207+Prestiti!K207+Prestiti!L207</f>
        <v>510701.97000000003</v>
      </c>
      <c r="F207">
        <f>Prestiti!I207+Prestiti!J207</f>
        <v>58805.42</v>
      </c>
      <c r="G207">
        <f>Prestiti!M207+Prestiti!N207+Prestiti!O207+Prestiti!P207</f>
        <v>1061080.49</v>
      </c>
      <c r="H207">
        <f t="shared" si="24"/>
        <v>1069420.45</v>
      </c>
      <c r="I207">
        <f>SUM(B207:G207)</f>
        <v>1825769.5100000002</v>
      </c>
      <c r="K207" s="13">
        <f t="shared" si="25"/>
        <v>6.8373849665174875</v>
      </c>
      <c r="L207" s="13">
        <f t="shared" si="26"/>
        <v>0.45679150376434974</v>
      </c>
      <c r="M207" s="13">
        <f t="shared" si="27"/>
        <v>3.3961997755127364</v>
      </c>
      <c r="N207" s="13">
        <f t="shared" si="28"/>
        <v>27.971875266993585</v>
      </c>
      <c r="O207" s="13">
        <f t="shared" si="29"/>
        <v>3.2208567224895761</v>
      </c>
      <c r="P207" s="13">
        <f t="shared" si="30"/>
        <v>58.116891764722254</v>
      </c>
      <c r="Q207" s="13">
        <f t="shared" si="31"/>
        <v>58.573683268486597</v>
      </c>
    </row>
    <row r="208" spans="1:17">
      <c r="A208" s="28">
        <v>38776</v>
      </c>
      <c r="B208">
        <f>Prestiti!B208+Prestiti!C208+Prestiti!D208</f>
        <v>106877.6</v>
      </c>
      <c r="C208">
        <f>Prestiti!E208+Prestiti!F208</f>
        <v>8223.7900000000009</v>
      </c>
      <c r="D208">
        <f>Prestiti!G208</f>
        <v>57924.160000000003</v>
      </c>
      <c r="E208">
        <f>Prestiti!H208+Prestiti!K208+Prestiti!L208</f>
        <v>502581.15</v>
      </c>
      <c r="F208">
        <f>Prestiti!I208+Prestiti!J208</f>
        <v>57206.41</v>
      </c>
      <c r="G208">
        <f>Prestiti!M208+Prestiti!N208+Prestiti!O208+Prestiti!P208</f>
        <v>1050540.8699999999</v>
      </c>
      <c r="H208">
        <f t="shared" si="24"/>
        <v>1058764.6599999999</v>
      </c>
      <c r="I208">
        <f>SUM(B208:G208)</f>
        <v>1783353.98</v>
      </c>
      <c r="K208" s="13">
        <f t="shared" si="25"/>
        <v>5.9930670634441299</v>
      </c>
      <c r="L208" s="13">
        <f t="shared" si="26"/>
        <v>0.46114176390264372</v>
      </c>
      <c r="M208" s="13">
        <f t="shared" si="27"/>
        <v>3.2480461338359761</v>
      </c>
      <c r="N208" s="13">
        <f t="shared" si="28"/>
        <v>28.181794284048983</v>
      </c>
      <c r="O208" s="13">
        <f t="shared" si="29"/>
        <v>3.2077989362493251</v>
      </c>
      <c r="P208" s="13">
        <f t="shared" si="30"/>
        <v>58.908151818518938</v>
      </c>
      <c r="Q208" s="13">
        <f t="shared" si="31"/>
        <v>59.369293582421591</v>
      </c>
    </row>
    <row r="209" spans="1:17">
      <c r="A209" s="28">
        <v>38745</v>
      </c>
      <c r="B209">
        <f>Prestiti!B209+Prestiti!C209+Prestiti!D209</f>
        <v>113768.27</v>
      </c>
      <c r="C209">
        <f>Prestiti!E209+Prestiti!F209</f>
        <v>7677.3</v>
      </c>
      <c r="D209">
        <f>Prestiti!G209</f>
        <v>65825.929999999993</v>
      </c>
      <c r="E209">
        <f>Prestiti!H209+Prestiti!K209+Prestiti!L209</f>
        <v>523311.99000000005</v>
      </c>
      <c r="F209">
        <f>Prestiti!I209+Prestiti!J209</f>
        <v>56868.979999999996</v>
      </c>
      <c r="G209">
        <f>Prestiti!M209+Prestiti!N209+Prestiti!O209+Prestiti!P209</f>
        <v>1043210.9099999999</v>
      </c>
      <c r="H209">
        <f t="shared" si="24"/>
        <v>1050888.21</v>
      </c>
      <c r="I209">
        <f>SUM(B209:G209)</f>
        <v>1810663.38</v>
      </c>
      <c r="K209" s="13">
        <f t="shared" si="25"/>
        <v>6.2832369206031</v>
      </c>
      <c r="L209" s="13">
        <f t="shared" si="26"/>
        <v>0.42400481971419779</v>
      </c>
      <c r="M209" s="13">
        <f t="shared" si="27"/>
        <v>3.6354592867504727</v>
      </c>
      <c r="N209" s="13">
        <f t="shared" si="28"/>
        <v>28.901671938601865</v>
      </c>
      <c r="O209" s="13">
        <f t="shared" si="29"/>
        <v>3.1407814742461957</v>
      </c>
      <c r="P209" s="13">
        <f t="shared" si="30"/>
        <v>57.61484556008417</v>
      </c>
      <c r="Q209" s="13">
        <f t="shared" si="31"/>
        <v>58.038850379798369</v>
      </c>
    </row>
    <row r="210" spans="1:17">
      <c r="A210" s="28">
        <v>38714</v>
      </c>
      <c r="B210">
        <f>Prestiti!B210+Prestiti!C210+Prestiti!D210</f>
        <v>112485.94</v>
      </c>
      <c r="C210">
        <f>Prestiti!E210+Prestiti!F210</f>
        <v>7567.99</v>
      </c>
      <c r="D210">
        <f>Prestiti!G210</f>
        <v>63588.160000000003</v>
      </c>
      <c r="E210">
        <f>Prestiti!H210+Prestiti!K210+Prestiti!L210</f>
        <v>517349.9</v>
      </c>
      <c r="F210">
        <f>Prestiti!I210+Prestiti!J210</f>
        <v>57068.83</v>
      </c>
      <c r="G210">
        <f>Prestiti!M210+Prestiti!N210+Prestiti!O210+Prestiti!P210</f>
        <v>1032340.19</v>
      </c>
      <c r="H210">
        <f t="shared" si="24"/>
        <v>1039908.1799999999</v>
      </c>
      <c r="I210">
        <f>SUM(B210:G210)</f>
        <v>1790401.0099999998</v>
      </c>
      <c r="K210" s="13">
        <f t="shared" si="25"/>
        <v>6.282723220760472</v>
      </c>
      <c r="L210" s="13">
        <f t="shared" si="26"/>
        <v>0.42269804126171712</v>
      </c>
      <c r="M210" s="13">
        <f t="shared" si="27"/>
        <v>3.5516155121025101</v>
      </c>
      <c r="N210" s="13">
        <f t="shared" si="28"/>
        <v>28.895755593882296</v>
      </c>
      <c r="O210" s="13">
        <f t="shared" si="29"/>
        <v>3.1874887067897713</v>
      </c>
      <c r="P210" s="13">
        <f t="shared" si="30"/>
        <v>57.659718925203251</v>
      </c>
      <c r="Q210" s="13">
        <f t="shared" si="31"/>
        <v>58.082416966464969</v>
      </c>
    </row>
    <row r="211" spans="1:17">
      <c r="A211" s="28">
        <v>38684</v>
      </c>
      <c r="B211">
        <f>Prestiti!B211+Prestiti!C211+Prestiti!D211</f>
        <v>109004.78</v>
      </c>
      <c r="C211">
        <f>Prestiti!E211+Prestiti!F211</f>
        <v>7042.1399999999994</v>
      </c>
      <c r="D211">
        <f>Prestiti!G211</f>
        <v>68201.42</v>
      </c>
      <c r="E211">
        <f>Prestiti!H211+Prestiti!K211+Prestiti!L211</f>
        <v>507739.51999999996</v>
      </c>
      <c r="F211">
        <f>Prestiti!I211+Prestiti!J211</f>
        <v>54787.619999999995</v>
      </c>
      <c r="G211">
        <f>Prestiti!M211+Prestiti!N211+Prestiti!O211+Prestiti!P211</f>
        <v>1033356.8399999999</v>
      </c>
      <c r="H211">
        <f t="shared" si="24"/>
        <v>1040398.9799999999</v>
      </c>
      <c r="I211">
        <f>SUM(B211:G211)</f>
        <v>1780132.3199999998</v>
      </c>
      <c r="K211" s="13">
        <f t="shared" si="25"/>
        <v>6.1234088486186247</v>
      </c>
      <c r="L211" s="13">
        <f t="shared" si="26"/>
        <v>0.39559643521331039</v>
      </c>
      <c r="M211" s="13">
        <f t="shared" si="27"/>
        <v>3.8312556450859789</v>
      </c>
      <c r="N211" s="13">
        <f t="shared" si="28"/>
        <v>28.522571850164486</v>
      </c>
      <c r="O211" s="13">
        <f t="shared" si="29"/>
        <v>3.0777273905121838</v>
      </c>
      <c r="P211" s="13">
        <f t="shared" si="30"/>
        <v>58.049439830405412</v>
      </c>
      <c r="Q211" s="13">
        <f t="shared" si="31"/>
        <v>58.445036265618725</v>
      </c>
    </row>
    <row r="212" spans="1:17">
      <c r="A212" s="28">
        <v>38653</v>
      </c>
      <c r="B212">
        <f>Prestiti!B212+Prestiti!C212+Prestiti!D212</f>
        <v>104276.04</v>
      </c>
      <c r="C212">
        <f>Prestiti!E212+Prestiti!F212</f>
        <v>6503.13</v>
      </c>
      <c r="D212">
        <f>Prestiti!G212</f>
        <v>66810.259999999995</v>
      </c>
      <c r="E212">
        <f>Prestiti!H212+Prestiti!K212+Prestiti!L212</f>
        <v>512289.07</v>
      </c>
      <c r="F212">
        <f>Prestiti!I212+Prestiti!J212</f>
        <v>55846.14</v>
      </c>
      <c r="G212">
        <f>Prestiti!M212+Prestiti!N212+Prestiti!O212+Prestiti!P212</f>
        <v>1016768.94</v>
      </c>
      <c r="H212">
        <f t="shared" si="24"/>
        <v>1023272.07</v>
      </c>
      <c r="I212">
        <f>SUM(B212:G212)</f>
        <v>1762493.58</v>
      </c>
      <c r="K212" s="13">
        <f t="shared" si="25"/>
        <v>5.9163926146045869</v>
      </c>
      <c r="L212" s="13">
        <f t="shared" si="26"/>
        <v>0.36897325889833882</v>
      </c>
      <c r="M212" s="13">
        <f t="shared" si="27"/>
        <v>3.7906668573510487</v>
      </c>
      <c r="N212" s="13">
        <f t="shared" si="28"/>
        <v>29.06615239982888</v>
      </c>
      <c r="O212" s="13">
        <f t="shared" si="29"/>
        <v>3.1685868608951187</v>
      </c>
      <c r="P212" s="13">
        <f t="shared" si="30"/>
        <v>57.689228008422013</v>
      </c>
      <c r="Q212" s="13">
        <f t="shared" si="31"/>
        <v>58.058201267320356</v>
      </c>
    </row>
    <row r="213" spans="1:17">
      <c r="A213" s="28">
        <v>38623</v>
      </c>
      <c r="B213">
        <f>Prestiti!B213+Prestiti!C213+Prestiti!D213</f>
        <v>105041.62</v>
      </c>
      <c r="C213">
        <f>Prestiti!E213+Prestiti!F213</f>
        <v>6757.9400000000005</v>
      </c>
      <c r="D213">
        <f>Prestiti!G213</f>
        <v>69140.94</v>
      </c>
      <c r="E213">
        <f>Prestiti!H213+Prestiti!K213+Prestiti!L213</f>
        <v>498772.01999999996</v>
      </c>
      <c r="F213">
        <f>Prestiti!I213+Prestiti!J213</f>
        <v>55530.04</v>
      </c>
      <c r="G213">
        <f>Prestiti!M213+Prestiti!N213+Prestiti!O213+Prestiti!P213</f>
        <v>1010927.89</v>
      </c>
      <c r="H213">
        <f t="shared" si="24"/>
        <v>1017685.83</v>
      </c>
      <c r="I213">
        <f>SUM(B213:G213)</f>
        <v>1746170.4500000002</v>
      </c>
      <c r="K213" s="13">
        <f t="shared" si="25"/>
        <v>6.0155421826088045</v>
      </c>
      <c r="L213" s="13">
        <f t="shared" si="26"/>
        <v>0.3870149102568996</v>
      </c>
      <c r="M213" s="13">
        <f t="shared" si="27"/>
        <v>3.9595756531099235</v>
      </c>
      <c r="N213" s="13">
        <f t="shared" si="28"/>
        <v>28.563764780236657</v>
      </c>
      <c r="O213" s="13">
        <f t="shared" si="29"/>
        <v>3.1801042103306689</v>
      </c>
      <c r="P213" s="13">
        <f t="shared" si="30"/>
        <v>57.893998263457036</v>
      </c>
      <c r="Q213" s="13">
        <f t="shared" si="31"/>
        <v>58.281013173713937</v>
      </c>
    </row>
    <row r="214" spans="1:17">
      <c r="A214" s="28">
        <v>38592</v>
      </c>
      <c r="B214">
        <f>Prestiti!B214+Prestiti!C214+Prestiti!D214</f>
        <v>108914.69</v>
      </c>
      <c r="C214">
        <f>Prestiti!E214+Prestiti!F214</f>
        <v>6487.4000000000005</v>
      </c>
      <c r="D214">
        <f>Prestiti!G214</f>
        <v>60233.49</v>
      </c>
      <c r="E214">
        <f>Prestiti!H214+Prestiti!K214+Prestiti!L214</f>
        <v>487929.44000000006</v>
      </c>
      <c r="F214">
        <f>Prestiti!I214+Prestiti!J214</f>
        <v>53664.979999999996</v>
      </c>
      <c r="G214">
        <f>Prestiti!M214+Prestiti!N214+Prestiti!O214+Prestiti!P214</f>
        <v>1008638.5</v>
      </c>
      <c r="H214">
        <f t="shared" si="24"/>
        <v>1015125.9</v>
      </c>
      <c r="I214">
        <f>SUM(B214:G214)</f>
        <v>1725868.5</v>
      </c>
      <c r="K214" s="13">
        <f t="shared" si="25"/>
        <v>6.3107177632594835</v>
      </c>
      <c r="L214" s="13">
        <f t="shared" si="26"/>
        <v>0.37589190601717343</v>
      </c>
      <c r="M214" s="13">
        <f t="shared" si="27"/>
        <v>3.4900393627903861</v>
      </c>
      <c r="N214" s="13">
        <f t="shared" si="28"/>
        <v>28.271530536654449</v>
      </c>
      <c r="O214" s="13">
        <f t="shared" si="29"/>
        <v>3.1094477939657623</v>
      </c>
      <c r="P214" s="13">
        <f t="shared" si="30"/>
        <v>58.442372637312744</v>
      </c>
      <c r="Q214" s="13">
        <f t="shared" si="31"/>
        <v>58.818264543329924</v>
      </c>
    </row>
    <row r="215" spans="1:17">
      <c r="A215" s="28">
        <v>38561</v>
      </c>
      <c r="B215">
        <f>Prestiti!B215+Prestiti!C215+Prestiti!D215</f>
        <v>102775.29000000001</v>
      </c>
      <c r="C215">
        <f>Prestiti!E215+Prestiti!F215</f>
        <v>5979.93</v>
      </c>
      <c r="D215">
        <f>Prestiti!G215</f>
        <v>65976.52</v>
      </c>
      <c r="E215">
        <f>Prestiti!H215+Prestiti!K215+Prestiti!L215</f>
        <v>483681.96</v>
      </c>
      <c r="F215">
        <f>Prestiti!I215+Prestiti!J215</f>
        <v>54863.770000000004</v>
      </c>
      <c r="G215">
        <f>Prestiti!M215+Prestiti!N215+Prestiti!O215+Prestiti!P215</f>
        <v>1011000.21</v>
      </c>
      <c r="H215">
        <f t="shared" si="24"/>
        <v>1016980.14</v>
      </c>
      <c r="I215">
        <f>SUM(B215:G215)</f>
        <v>1724277.68</v>
      </c>
      <c r="K215" s="13">
        <f t="shared" si="25"/>
        <v>5.9604836965702654</v>
      </c>
      <c r="L215" s="13">
        <f t="shared" si="26"/>
        <v>0.34680782969944846</v>
      </c>
      <c r="M215" s="13">
        <f t="shared" si="27"/>
        <v>3.8263280192781948</v>
      </c>
      <c r="N215" s="13">
        <f t="shared" si="28"/>
        <v>28.05128000033034</v>
      </c>
      <c r="O215" s="13">
        <f t="shared" si="29"/>
        <v>3.1818407578064809</v>
      </c>
      <c r="P215" s="13">
        <f t="shared" si="30"/>
        <v>58.633259696315278</v>
      </c>
      <c r="Q215" s="13">
        <f t="shared" si="31"/>
        <v>58.980067526014722</v>
      </c>
    </row>
    <row r="216" spans="1:17">
      <c r="A216" s="28">
        <v>38531</v>
      </c>
      <c r="B216">
        <f>Prestiti!B216+Prestiti!C216+Prestiti!D216</f>
        <v>104072.79999999999</v>
      </c>
      <c r="C216">
        <f>Prestiti!E216+Prestiti!F216</f>
        <v>5667.92</v>
      </c>
      <c r="D216">
        <f>Prestiti!G216</f>
        <v>65535.95</v>
      </c>
      <c r="E216">
        <f>Prestiti!H216+Prestiti!K216+Prestiti!L216</f>
        <v>500184.98</v>
      </c>
      <c r="F216">
        <f>Prestiti!I216+Prestiti!J216</f>
        <v>55403.259999999995</v>
      </c>
      <c r="G216">
        <f>Prestiti!M216+Prestiti!N216+Prestiti!O216+Prestiti!P216</f>
        <v>1003563.43</v>
      </c>
      <c r="H216">
        <f t="shared" si="24"/>
        <v>1009231.3500000001</v>
      </c>
      <c r="I216">
        <f>SUM(B216:G216)</f>
        <v>1734428.3399999999</v>
      </c>
      <c r="K216" s="13">
        <f t="shared" si="25"/>
        <v>6.000409333717414</v>
      </c>
      <c r="L216" s="13">
        <f t="shared" si="26"/>
        <v>0.32678894072960091</v>
      </c>
      <c r="M216" s="13">
        <f t="shared" si="27"/>
        <v>3.7785331621138063</v>
      </c>
      <c r="N216" s="13">
        <f t="shared" si="28"/>
        <v>28.838607422662388</v>
      </c>
      <c r="O216" s="13">
        <f t="shared" si="29"/>
        <v>3.1943239580598646</v>
      </c>
      <c r="P216" s="13">
        <f t="shared" si="30"/>
        <v>57.86133718271693</v>
      </c>
      <c r="Q216" s="13">
        <f t="shared" si="31"/>
        <v>58.188126123446537</v>
      </c>
    </row>
    <row r="217" spans="1:17">
      <c r="A217" s="28">
        <v>38500</v>
      </c>
      <c r="B217">
        <f>Prestiti!B217+Prestiti!C217+Prestiti!D217</f>
        <v>104825.70999999999</v>
      </c>
      <c r="C217">
        <f>Prestiti!E217+Prestiti!F217</f>
        <v>5704.21</v>
      </c>
      <c r="D217">
        <f>Prestiti!G217</f>
        <v>63102.73</v>
      </c>
      <c r="E217">
        <f>Prestiti!H217+Prestiti!K217+Prestiti!L217</f>
        <v>492791.15</v>
      </c>
      <c r="F217">
        <f>Prestiti!I217+Prestiti!J217</f>
        <v>55047.94</v>
      </c>
      <c r="G217">
        <f>Prestiti!M217+Prestiti!N217+Prestiti!O217+Prestiti!P217</f>
        <v>985987.08</v>
      </c>
      <c r="H217">
        <f t="shared" si="24"/>
        <v>991691.28999999992</v>
      </c>
      <c r="I217">
        <f>SUM(B217:G217)</f>
        <v>1707458.8199999998</v>
      </c>
      <c r="K217" s="13">
        <f t="shared" si="25"/>
        <v>6.1392818832374534</v>
      </c>
      <c r="L217" s="13">
        <f t="shared" si="26"/>
        <v>0.33407599253257542</v>
      </c>
      <c r="M217" s="13">
        <f t="shared" si="27"/>
        <v>3.6957102133801394</v>
      </c>
      <c r="N217" s="13">
        <f t="shared" si="28"/>
        <v>28.861085504832268</v>
      </c>
      <c r="O217" s="13">
        <f t="shared" si="29"/>
        <v>3.223968821690236</v>
      </c>
      <c r="P217" s="13">
        <f t="shared" si="30"/>
        <v>57.745877584327332</v>
      </c>
      <c r="Q217" s="13">
        <f t="shared" si="31"/>
        <v>58.079953576859907</v>
      </c>
    </row>
    <row r="218" spans="1:17">
      <c r="A218" s="28">
        <v>38470</v>
      </c>
      <c r="B218">
        <f>Prestiti!B218+Prestiti!C218+Prestiti!D218</f>
        <v>99795.56</v>
      </c>
      <c r="C218">
        <f>Prestiti!E218+Prestiti!F218</f>
        <v>5754.07</v>
      </c>
      <c r="D218">
        <f>Prestiti!G218</f>
        <v>59430.75</v>
      </c>
      <c r="E218">
        <f>Prestiti!H218+Prestiti!K218+Prestiti!L218</f>
        <v>477638.94000000006</v>
      </c>
      <c r="F218">
        <f>Prestiti!I218+Prestiti!J218</f>
        <v>54748.36</v>
      </c>
      <c r="G218">
        <f>Prestiti!M218+Prestiti!N218+Prestiti!O218+Prestiti!P218</f>
        <v>977281.8</v>
      </c>
      <c r="H218">
        <f t="shared" si="24"/>
        <v>983035.87</v>
      </c>
      <c r="I218">
        <f>SUM(B218:G218)</f>
        <v>1674649.48</v>
      </c>
      <c r="K218" s="13">
        <f t="shared" si="25"/>
        <v>5.9591909346904046</v>
      </c>
      <c r="L218" s="13">
        <f t="shared" si="26"/>
        <v>0.34359847052888942</v>
      </c>
      <c r="M218" s="13">
        <f t="shared" si="27"/>
        <v>3.5488471294900474</v>
      </c>
      <c r="N218" s="13">
        <f t="shared" si="28"/>
        <v>28.521726230136235</v>
      </c>
      <c r="O218" s="13">
        <f t="shared" si="29"/>
        <v>3.2692429462910648</v>
      </c>
      <c r="P218" s="13">
        <f t="shared" si="30"/>
        <v>58.357394288863361</v>
      </c>
      <c r="Q218" s="13">
        <f t="shared" si="31"/>
        <v>58.700992759392257</v>
      </c>
    </row>
    <row r="219" spans="1:17">
      <c r="A219" s="28">
        <v>38439</v>
      </c>
      <c r="B219">
        <f>Prestiti!B219+Prestiti!C219+Prestiti!D219</f>
        <v>95476.090000000011</v>
      </c>
      <c r="C219">
        <f>Prestiti!E219+Prestiti!F219</f>
        <v>6119.33</v>
      </c>
      <c r="D219">
        <f>Prestiti!G219</f>
        <v>56838.54</v>
      </c>
      <c r="E219">
        <f>Prestiti!H219+Prestiti!K219+Prestiti!L219</f>
        <v>473768.97000000003</v>
      </c>
      <c r="F219">
        <f>Prestiti!I219+Prestiti!J219</f>
        <v>53325.25</v>
      </c>
      <c r="G219">
        <f>Prestiti!M219+Prestiti!N219+Prestiti!O219+Prestiti!P219</f>
        <v>976377.61</v>
      </c>
      <c r="H219">
        <f t="shared" si="24"/>
        <v>982496.94</v>
      </c>
      <c r="I219">
        <f>SUM(B219:G219)</f>
        <v>1661905.79</v>
      </c>
      <c r="K219" s="13">
        <f t="shared" si="25"/>
        <v>5.7449760735233983</v>
      </c>
      <c r="L219" s="13">
        <f t="shared" si="26"/>
        <v>0.36821160602611536</v>
      </c>
      <c r="M219" s="13">
        <f t="shared" si="27"/>
        <v>3.4200819530209348</v>
      </c>
      <c r="N219" s="13">
        <f t="shared" si="28"/>
        <v>28.507570817236278</v>
      </c>
      <c r="O219" s="13">
        <f t="shared" si="29"/>
        <v>3.2086806797875109</v>
      </c>
      <c r="P219" s="13">
        <f t="shared" si="30"/>
        <v>58.750478870405765</v>
      </c>
      <c r="Q219" s="13">
        <f t="shared" si="31"/>
        <v>59.11869047643188</v>
      </c>
    </row>
    <row r="220" spans="1:17">
      <c r="A220" s="28">
        <v>38411</v>
      </c>
      <c r="B220">
        <f>Prestiti!B220+Prestiti!C220+Prestiti!D220</f>
        <v>94624.35</v>
      </c>
      <c r="C220">
        <f>Prestiti!E220+Prestiti!F220</f>
        <v>5812.63</v>
      </c>
      <c r="D220">
        <f>Prestiti!G220</f>
        <v>54068.160000000003</v>
      </c>
      <c r="E220">
        <f>Prestiti!H220+Prestiti!K220+Prestiti!L220</f>
        <v>458735.31</v>
      </c>
      <c r="F220">
        <f>Prestiti!I220+Prestiti!J220</f>
        <v>54210.07</v>
      </c>
      <c r="G220">
        <f>Prestiti!M220+Prestiti!N220+Prestiti!O220+Prestiti!P220</f>
        <v>976095.24</v>
      </c>
      <c r="H220">
        <f t="shared" si="24"/>
        <v>981907.87</v>
      </c>
      <c r="I220">
        <f>SUM(B220:G220)</f>
        <v>1643545.7599999998</v>
      </c>
      <c r="K220" s="13">
        <f t="shared" si="25"/>
        <v>5.7573298111273781</v>
      </c>
      <c r="L220" s="13">
        <f t="shared" si="26"/>
        <v>0.35366401967414651</v>
      </c>
      <c r="M220" s="13">
        <f t="shared" si="27"/>
        <v>3.2897264752762347</v>
      </c>
      <c r="N220" s="13">
        <f t="shared" si="28"/>
        <v>27.911319609379181</v>
      </c>
      <c r="O220" s="13">
        <f t="shared" si="29"/>
        <v>3.2983608561041837</v>
      </c>
      <c r="P220" s="13">
        <f t="shared" si="30"/>
        <v>59.389599228438897</v>
      </c>
      <c r="Q220" s="13">
        <f t="shared" si="31"/>
        <v>59.743263248113045</v>
      </c>
    </row>
    <row r="221" spans="1:17">
      <c r="A221" s="28">
        <v>38380</v>
      </c>
      <c r="B221">
        <f>Prestiti!B221+Prestiti!C221+Prestiti!D221</f>
        <v>91901.87999999999</v>
      </c>
      <c r="C221">
        <f>Prestiti!E221+Prestiti!F221</f>
        <v>5743.24</v>
      </c>
      <c r="D221">
        <f>Prestiti!G221</f>
        <v>55060.36</v>
      </c>
      <c r="E221">
        <f>Prestiti!H221+Prestiti!K221+Prestiti!L221</f>
        <v>465527.45999999996</v>
      </c>
      <c r="F221">
        <f>Prestiti!I221+Prestiti!J221</f>
        <v>53413.630000000005</v>
      </c>
      <c r="G221">
        <f>Prestiti!M221+Prestiti!N221+Prestiti!O221+Prestiti!P221</f>
        <v>977450.44</v>
      </c>
      <c r="H221">
        <f t="shared" si="24"/>
        <v>983193.67999999993</v>
      </c>
      <c r="I221">
        <f>SUM(B221:G221)</f>
        <v>1649097.0099999998</v>
      </c>
      <c r="K221" s="13">
        <f t="shared" si="25"/>
        <v>5.5728607500173686</v>
      </c>
      <c r="L221" s="13">
        <f t="shared" si="26"/>
        <v>0.34826574574894176</v>
      </c>
      <c r="M221" s="13">
        <f t="shared" si="27"/>
        <v>3.3388187393536057</v>
      </c>
      <c r="N221" s="13">
        <f t="shared" si="28"/>
        <v>28.229234373543616</v>
      </c>
      <c r="O221" s="13">
        <f t="shared" si="29"/>
        <v>3.2389622730563326</v>
      </c>
      <c r="P221" s="13">
        <f t="shared" si="30"/>
        <v>59.271858118280143</v>
      </c>
      <c r="Q221" s="13">
        <f t="shared" si="31"/>
        <v>59.620123864029082</v>
      </c>
    </row>
    <row r="222" spans="1:17">
      <c r="A222" s="28">
        <v>38349</v>
      </c>
      <c r="B222">
        <f>Prestiti!B222+Prestiti!C222+Prestiti!D222</f>
        <v>100557.90000000001</v>
      </c>
      <c r="C222">
        <f>Prestiti!E222+Prestiti!F222</f>
        <v>6035.49</v>
      </c>
      <c r="D222">
        <f>Prestiti!G222</f>
        <v>61097.71</v>
      </c>
      <c r="E222">
        <f>Prestiti!H222+Prestiti!K222+Prestiti!L222</f>
        <v>475089.25</v>
      </c>
      <c r="F222">
        <f>Prestiti!I222+Prestiti!J222</f>
        <v>52506.25</v>
      </c>
      <c r="G222">
        <f>Prestiti!M222+Prestiti!N222+Prestiti!O222+Prestiti!P222</f>
        <v>960383.64</v>
      </c>
      <c r="H222">
        <f t="shared" si="24"/>
        <v>966419.13</v>
      </c>
      <c r="I222">
        <f>SUM(B222:G222)</f>
        <v>1655670.24</v>
      </c>
      <c r="K222" s="13">
        <f t="shared" si="25"/>
        <v>6.0735463844539481</v>
      </c>
      <c r="L222" s="13">
        <f t="shared" si="26"/>
        <v>0.36453454644446587</v>
      </c>
      <c r="M222" s="13">
        <f t="shared" si="27"/>
        <v>3.6902100746825046</v>
      </c>
      <c r="N222" s="13">
        <f t="shared" si="28"/>
        <v>28.69467835575761</v>
      </c>
      <c r="O222" s="13">
        <f t="shared" si="29"/>
        <v>3.1712987726348216</v>
      </c>
      <c r="P222" s="13">
        <f t="shared" si="30"/>
        <v>58.005731866026657</v>
      </c>
      <c r="Q222" s="13">
        <f t="shared" si="31"/>
        <v>58.370266412471118</v>
      </c>
    </row>
    <row r="223" spans="1:17">
      <c r="A223" s="28">
        <v>38319</v>
      </c>
      <c r="B223">
        <f>Prestiti!B223+Prestiti!C223+Prestiti!D223</f>
        <v>95027.04</v>
      </c>
      <c r="C223">
        <f>Prestiti!E223+Prestiti!F223</f>
        <v>5416.13</v>
      </c>
      <c r="D223">
        <f>Prestiti!G223</f>
        <v>67184.94</v>
      </c>
      <c r="E223">
        <f>Prestiti!H223+Prestiti!K223+Prestiti!L223</f>
        <v>451992.94</v>
      </c>
      <c r="F223">
        <f>Prestiti!I223+Prestiti!J223</f>
        <v>52894.46</v>
      </c>
      <c r="G223">
        <f>Prestiti!M223+Prestiti!N223+Prestiti!O223+Prestiti!P223</f>
        <v>949806.08000000007</v>
      </c>
      <c r="H223">
        <f t="shared" si="24"/>
        <v>955222.21000000008</v>
      </c>
      <c r="I223">
        <f>SUM(B223:G223)</f>
        <v>1622321.59</v>
      </c>
      <c r="K223" s="13">
        <f t="shared" si="25"/>
        <v>5.8574724386180419</v>
      </c>
      <c r="L223" s="13">
        <f t="shared" si="26"/>
        <v>0.33385057767738885</v>
      </c>
      <c r="M223" s="13">
        <f t="shared" si="27"/>
        <v>4.1412837266130449</v>
      </c>
      <c r="N223" s="13">
        <f t="shared" si="28"/>
        <v>27.860871900250061</v>
      </c>
      <c r="O223" s="13">
        <f t="shared" si="29"/>
        <v>3.2604176832781961</v>
      </c>
      <c r="P223" s="13">
        <f t="shared" si="30"/>
        <v>58.546103673563266</v>
      </c>
      <c r="Q223" s="13">
        <f t="shared" si="31"/>
        <v>58.879954251240662</v>
      </c>
    </row>
    <row r="224" spans="1:17">
      <c r="A224" s="28">
        <v>38288</v>
      </c>
      <c r="B224">
        <f>Prestiti!B224+Prestiti!C224+Prestiti!D224</f>
        <v>89851.38</v>
      </c>
      <c r="C224">
        <f>Prestiti!E224+Prestiti!F224</f>
        <v>5726.32</v>
      </c>
      <c r="D224">
        <f>Prestiti!G224</f>
        <v>63399.23</v>
      </c>
      <c r="E224">
        <f>Prestiti!H224+Prestiti!K224+Prestiti!L224</f>
        <v>455942.00000000006</v>
      </c>
      <c r="F224">
        <f>Prestiti!I224+Prestiti!J224</f>
        <v>53193.46</v>
      </c>
      <c r="G224">
        <f>Prestiti!M224+Prestiti!N224+Prestiti!O224+Prestiti!P224</f>
        <v>932412.58000000007</v>
      </c>
      <c r="H224">
        <f t="shared" si="24"/>
        <v>938138.9</v>
      </c>
      <c r="I224">
        <f>SUM(B224:G224)</f>
        <v>1600524.9700000002</v>
      </c>
      <c r="K224" s="13">
        <f t="shared" si="25"/>
        <v>5.6138693043945445</v>
      </c>
      <c r="L224" s="13">
        <f t="shared" si="26"/>
        <v>0.35777761092974381</v>
      </c>
      <c r="M224" s="13">
        <f t="shared" si="27"/>
        <v>3.9611521962072231</v>
      </c>
      <c r="N224" s="13">
        <f t="shared" si="28"/>
        <v>28.487028227994472</v>
      </c>
      <c r="O224" s="13">
        <f t="shared" si="29"/>
        <v>3.3235007886193735</v>
      </c>
      <c r="P224" s="13">
        <f t="shared" si="30"/>
        <v>58.256671871854635</v>
      </c>
      <c r="Q224" s="13">
        <f t="shared" si="31"/>
        <v>58.61444948278438</v>
      </c>
    </row>
    <row r="225" spans="1:17">
      <c r="A225" s="28">
        <v>38258</v>
      </c>
      <c r="B225">
        <f>Prestiti!B225+Prestiti!C225+Prestiti!D225</f>
        <v>80651.22</v>
      </c>
      <c r="C225">
        <f>Prestiti!E225+Prestiti!F225</f>
        <v>5627.42</v>
      </c>
      <c r="D225">
        <f>Prestiti!G225</f>
        <v>67480.06</v>
      </c>
      <c r="E225">
        <f>Prestiti!H225+Prestiti!K225+Prestiti!L225</f>
        <v>456114.57</v>
      </c>
      <c r="F225">
        <f>Prestiti!I225+Prestiti!J225</f>
        <v>53756.229999999996</v>
      </c>
      <c r="G225">
        <f>Prestiti!M225+Prestiti!N225+Prestiti!O225+Prestiti!P225</f>
        <v>929003.5</v>
      </c>
      <c r="H225">
        <f t="shared" si="24"/>
        <v>934630.92</v>
      </c>
      <c r="I225">
        <f>SUM(B225:G225)</f>
        <v>1592633</v>
      </c>
      <c r="K225" s="13">
        <f t="shared" si="25"/>
        <v>5.064017887360114</v>
      </c>
      <c r="L225" s="13">
        <f t="shared" si="26"/>
        <v>0.35334066291480837</v>
      </c>
      <c r="M225" s="13">
        <f t="shared" si="27"/>
        <v>4.2370125446352045</v>
      </c>
      <c r="N225" s="13">
        <f t="shared" si="28"/>
        <v>28.639025437749936</v>
      </c>
      <c r="O225" s="13">
        <f t="shared" si="29"/>
        <v>3.3753055474801785</v>
      </c>
      <c r="P225" s="13">
        <f t="shared" si="30"/>
        <v>58.331297919859757</v>
      </c>
      <c r="Q225" s="13">
        <f t="shared" si="31"/>
        <v>58.684638582774561</v>
      </c>
    </row>
    <row r="226" spans="1:17">
      <c r="A226" s="28">
        <v>38227</v>
      </c>
      <c r="B226">
        <f>Prestiti!B226+Prestiti!C226+Prestiti!D226</f>
        <v>80185.75</v>
      </c>
      <c r="C226">
        <f>Prestiti!E226+Prestiti!F226</f>
        <v>5673.1799999999994</v>
      </c>
      <c r="D226">
        <f>Prestiti!G226</f>
        <v>64429.41</v>
      </c>
      <c r="E226">
        <f>Prestiti!H226+Prestiti!K226+Prestiti!L226</f>
        <v>458530.94</v>
      </c>
      <c r="F226">
        <f>Prestiti!I226+Prestiti!J226</f>
        <v>53062.23</v>
      </c>
      <c r="G226">
        <f>Prestiti!M226+Prestiti!N226+Prestiti!O226+Prestiti!P226</f>
        <v>923077.99</v>
      </c>
      <c r="H226">
        <f t="shared" si="24"/>
        <v>928751.17</v>
      </c>
      <c r="I226">
        <f>SUM(B226:G226)</f>
        <v>1584959.5</v>
      </c>
      <c r="K226" s="13">
        <f t="shared" si="25"/>
        <v>5.0591671269833709</v>
      </c>
      <c r="L226" s="13">
        <f t="shared" si="26"/>
        <v>0.35793848360163139</v>
      </c>
      <c r="M226" s="13">
        <f t="shared" si="27"/>
        <v>4.0650508735396711</v>
      </c>
      <c r="N226" s="13">
        <f t="shared" si="28"/>
        <v>28.930136069722916</v>
      </c>
      <c r="O226" s="13">
        <f t="shared" si="29"/>
        <v>3.34786030810251</v>
      </c>
      <c r="P226" s="13">
        <f t="shared" si="30"/>
        <v>58.239847138049896</v>
      </c>
      <c r="Q226" s="13">
        <f t="shared" si="31"/>
        <v>58.597785621651532</v>
      </c>
    </row>
    <row r="227" spans="1:17">
      <c r="A227" s="28">
        <v>38196</v>
      </c>
      <c r="B227">
        <f>Prestiti!B227+Prestiti!C227+Prestiti!D227</f>
        <v>78630.319999999992</v>
      </c>
      <c r="C227">
        <f>Prestiti!E227+Prestiti!F227</f>
        <v>5594.19</v>
      </c>
      <c r="D227">
        <f>Prestiti!G227</f>
        <v>67355.69</v>
      </c>
      <c r="E227">
        <f>Prestiti!H227+Prestiti!K227+Prestiti!L227</f>
        <v>457617.08</v>
      </c>
      <c r="F227">
        <f>Prestiti!I227+Prestiti!J227</f>
        <v>53267.229999999996</v>
      </c>
      <c r="G227">
        <f>Prestiti!M227+Prestiti!N227+Prestiti!O227+Prestiti!P227</f>
        <v>927138.2</v>
      </c>
      <c r="H227">
        <f t="shared" si="24"/>
        <v>932732.3899999999</v>
      </c>
      <c r="I227">
        <f>SUM(B227:G227)</f>
        <v>1589602.71</v>
      </c>
      <c r="K227" s="13">
        <f t="shared" si="25"/>
        <v>4.9465391261191289</v>
      </c>
      <c r="L227" s="13">
        <f t="shared" si="26"/>
        <v>0.3519237835219845</v>
      </c>
      <c r="M227" s="13">
        <f t="shared" si="27"/>
        <v>4.237265675018886</v>
      </c>
      <c r="N227" s="13">
        <f t="shared" si="28"/>
        <v>28.78814166088079</v>
      </c>
      <c r="O227" s="13">
        <f t="shared" si="29"/>
        <v>3.3509775533787303</v>
      </c>
      <c r="P227" s="13">
        <f t="shared" si="30"/>
        <v>58.325152201080478</v>
      </c>
      <c r="Q227" s="13">
        <f t="shared" si="31"/>
        <v>58.677075984602467</v>
      </c>
    </row>
    <row r="228" spans="1:17">
      <c r="A228" s="28">
        <v>38166</v>
      </c>
      <c r="B228">
        <f>Prestiti!B228+Prestiti!C228+Prestiti!D228</f>
        <v>73898.8</v>
      </c>
      <c r="C228">
        <f>Prestiti!E228+Prestiti!F228</f>
        <v>6136.7800000000007</v>
      </c>
      <c r="D228">
        <f>Prestiti!G228</f>
        <v>66527.759999999995</v>
      </c>
      <c r="E228">
        <f>Prestiti!H228+Prestiti!K228+Prestiti!L228</f>
        <v>443264.74</v>
      </c>
      <c r="F228">
        <f>Prestiti!I228+Prestiti!J228</f>
        <v>53597.229999999996</v>
      </c>
      <c r="G228">
        <f>Prestiti!M228+Prestiti!N228+Prestiti!O228+Prestiti!P228</f>
        <v>920567.08</v>
      </c>
      <c r="H228">
        <f t="shared" si="24"/>
        <v>926703.86</v>
      </c>
      <c r="I228">
        <f>SUM(B228:G228)</f>
        <v>1563992.39</v>
      </c>
      <c r="K228" s="13">
        <f t="shared" si="25"/>
        <v>4.7250102028949135</v>
      </c>
      <c r="L228" s="13">
        <f t="shared" si="26"/>
        <v>0.39237914706221821</v>
      </c>
      <c r="M228" s="13">
        <f t="shared" si="27"/>
        <v>4.2537137920472876</v>
      </c>
      <c r="N228" s="13">
        <f t="shared" si="28"/>
        <v>28.341873197989152</v>
      </c>
      <c r="O228" s="13">
        <f t="shared" si="29"/>
        <v>3.4269495390575395</v>
      </c>
      <c r="P228" s="13">
        <f t="shared" si="30"/>
        <v>58.860074120948894</v>
      </c>
      <c r="Q228" s="13">
        <f t="shared" si="31"/>
        <v>59.252453268011109</v>
      </c>
    </row>
    <row r="229" spans="1:17">
      <c r="A229" s="28">
        <v>38135</v>
      </c>
      <c r="B229">
        <f>Prestiti!B229+Prestiti!C229+Prestiti!D229</f>
        <v>74499.840000000011</v>
      </c>
      <c r="C229">
        <f>Prestiti!E229+Prestiti!F229</f>
        <v>6361.1200000000008</v>
      </c>
      <c r="D229">
        <f>Prestiti!G229</f>
        <v>66795.58</v>
      </c>
      <c r="E229">
        <f>Prestiti!H229+Prestiti!K229+Prestiti!L229</f>
        <v>449985.87</v>
      </c>
      <c r="F229">
        <f>Prestiti!I229+Prestiti!J229</f>
        <v>54496</v>
      </c>
      <c r="G229">
        <f>Prestiti!M229+Prestiti!N229+Prestiti!O229+Prestiti!P229</f>
        <v>906766.76</v>
      </c>
      <c r="H229">
        <f t="shared" si="24"/>
        <v>913127.88</v>
      </c>
      <c r="I229">
        <f>SUM(B229:G229)</f>
        <v>1558905.17</v>
      </c>
      <c r="K229" s="13">
        <f t="shared" si="25"/>
        <v>4.7789847281088953</v>
      </c>
      <c r="L229" s="13">
        <f t="shared" si="26"/>
        <v>0.4080504781442223</v>
      </c>
      <c r="M229" s="13">
        <f t="shared" si="27"/>
        <v>4.2847750642843785</v>
      </c>
      <c r="N229" s="13">
        <f t="shared" si="28"/>
        <v>28.865506296319488</v>
      </c>
      <c r="O229" s="13">
        <f t="shared" si="29"/>
        <v>3.4957867257570259</v>
      </c>
      <c r="P229" s="13">
        <f t="shared" si="30"/>
        <v>58.166896707385995</v>
      </c>
      <c r="Q229" s="13">
        <f t="shared" si="31"/>
        <v>58.574947185530213</v>
      </c>
    </row>
    <row r="230" spans="1:17">
      <c r="A230" s="28">
        <v>38105</v>
      </c>
      <c r="B230">
        <f>Prestiti!B230+Prestiti!C230+Prestiti!D230</f>
        <v>77800.800000000003</v>
      </c>
      <c r="C230">
        <f>Prestiti!E230+Prestiti!F230</f>
        <v>6112.31</v>
      </c>
      <c r="D230">
        <f>Prestiti!G230</f>
        <v>68049.25</v>
      </c>
      <c r="E230">
        <f>Prestiti!H230+Prestiti!K230+Prestiti!L230</f>
        <v>451351.83</v>
      </c>
      <c r="F230">
        <f>Prestiti!I230+Prestiti!J230</f>
        <v>53351</v>
      </c>
      <c r="G230">
        <f>Prestiti!M230+Prestiti!N230+Prestiti!O230+Prestiti!P230</f>
        <v>904437.73</v>
      </c>
      <c r="H230">
        <f t="shared" si="24"/>
        <v>910550.04</v>
      </c>
      <c r="I230">
        <f>SUM(B230:G230)</f>
        <v>1561102.92</v>
      </c>
      <c r="K230" s="13">
        <f t="shared" si="25"/>
        <v>4.983707288178028</v>
      </c>
      <c r="L230" s="13">
        <f t="shared" si="26"/>
        <v>0.39153792627586659</v>
      </c>
      <c r="M230" s="13">
        <f t="shared" si="27"/>
        <v>4.3590495622159242</v>
      </c>
      <c r="N230" s="13">
        <f t="shared" si="28"/>
        <v>28.912368570805057</v>
      </c>
      <c r="O230" s="13">
        <f t="shared" si="29"/>
        <v>3.4175197110002205</v>
      </c>
      <c r="P230" s="13">
        <f t="shared" si="30"/>
        <v>57.935816941524912</v>
      </c>
      <c r="Q230" s="13">
        <f t="shared" si="31"/>
        <v>58.327354867800771</v>
      </c>
    </row>
    <row r="231" spans="1:17">
      <c r="A231" s="28">
        <v>38074</v>
      </c>
      <c r="B231">
        <f>Prestiti!B231+Prestiti!C231+Prestiti!D231</f>
        <v>81338.489999999991</v>
      </c>
      <c r="C231">
        <f>Prestiti!E231+Prestiti!F231</f>
        <v>5914.82</v>
      </c>
      <c r="D231">
        <f>Prestiti!G231</f>
        <v>68401.440000000002</v>
      </c>
      <c r="E231">
        <f>Prestiti!H231+Prestiti!K231+Prestiti!L231</f>
        <v>458032.66999999993</v>
      </c>
      <c r="F231">
        <f>Prestiti!I231+Prestiti!J231</f>
        <v>52813</v>
      </c>
      <c r="G231">
        <f>Prestiti!M231+Prestiti!N231+Prestiti!O231+Prestiti!P231</f>
        <v>896699.96</v>
      </c>
      <c r="H231">
        <f t="shared" si="24"/>
        <v>902614.77999999991</v>
      </c>
      <c r="I231">
        <f>SUM(B231:G231)</f>
        <v>1563200.38</v>
      </c>
      <c r="K231" s="13">
        <f t="shared" si="25"/>
        <v>5.203331002260887</v>
      </c>
      <c r="L231" s="13">
        <f t="shared" si="26"/>
        <v>0.37837887424259709</v>
      </c>
      <c r="M231" s="13">
        <f t="shared" si="27"/>
        <v>4.3757307684380171</v>
      </c>
      <c r="N231" s="13">
        <f t="shared" si="28"/>
        <v>29.300956925304739</v>
      </c>
      <c r="O231" s="13">
        <f t="shared" si="29"/>
        <v>3.3785176024586181</v>
      </c>
      <c r="P231" s="13">
        <f t="shared" si="30"/>
        <v>57.36308482729514</v>
      </c>
      <c r="Q231" s="13">
        <f t="shared" si="31"/>
        <v>57.741463701537732</v>
      </c>
    </row>
    <row r="232" spans="1:17">
      <c r="A232" s="28">
        <v>38045</v>
      </c>
      <c r="B232">
        <f>Prestiti!B232+Prestiti!C232+Prestiti!D232</f>
        <v>74992.420000000013</v>
      </c>
      <c r="C232">
        <f>Prestiti!E232+Prestiti!F232</f>
        <v>5787.64</v>
      </c>
      <c r="D232">
        <f>Prestiti!G232</f>
        <v>64427.72</v>
      </c>
      <c r="E232">
        <f>Prestiti!H232+Prestiti!K232+Prestiti!L232</f>
        <v>450798.51</v>
      </c>
      <c r="F232">
        <f>Prestiti!I232+Prestiti!J232</f>
        <v>52437</v>
      </c>
      <c r="G232">
        <f>Prestiti!M232+Prestiti!N232+Prestiti!O232+Prestiti!P232</f>
        <v>893812.11</v>
      </c>
      <c r="H232">
        <f t="shared" si="24"/>
        <v>899599.75</v>
      </c>
      <c r="I232">
        <f>SUM(B232:G232)</f>
        <v>1542255.4</v>
      </c>
      <c r="K232" s="13">
        <f t="shared" si="25"/>
        <v>4.8625162862130367</v>
      </c>
      <c r="L232" s="13">
        <f t="shared" si="26"/>
        <v>0.37527117752351524</v>
      </c>
      <c r="M232" s="13">
        <f t="shared" si="27"/>
        <v>4.1775000431186688</v>
      </c>
      <c r="N232" s="13">
        <f t="shared" si="28"/>
        <v>29.229822116362829</v>
      </c>
      <c r="O232" s="13">
        <f t="shared" si="29"/>
        <v>3.400020515408797</v>
      </c>
      <c r="P232" s="13">
        <f t="shared" si="30"/>
        <v>57.954869861373162</v>
      </c>
      <c r="Q232" s="13">
        <f t="shared" si="31"/>
        <v>58.330141038896677</v>
      </c>
    </row>
    <row r="233" spans="1:17">
      <c r="A233" s="28">
        <v>38014</v>
      </c>
      <c r="B233">
        <f>Prestiti!B233+Prestiti!C233+Prestiti!D233</f>
        <v>80074.939999999988</v>
      </c>
      <c r="C233">
        <f>Prestiti!E233+Prestiti!F233</f>
        <v>5844.21</v>
      </c>
      <c r="D233">
        <f>Prestiti!G233</f>
        <v>70482.789999999994</v>
      </c>
      <c r="E233">
        <f>Prestiti!H233+Prestiti!K233+Prestiti!L233</f>
        <v>455232.2</v>
      </c>
      <c r="F233">
        <f>Prestiti!I233+Prestiti!J233</f>
        <v>52155</v>
      </c>
      <c r="G233">
        <f>Prestiti!M233+Prestiti!N233+Prestiti!O233+Prestiti!P233</f>
        <v>893679.34</v>
      </c>
      <c r="H233">
        <f t="shared" si="24"/>
        <v>899523.54999999993</v>
      </c>
      <c r="I233">
        <f>SUM(B233:G233)</f>
        <v>1557468.48</v>
      </c>
      <c r="K233" s="13">
        <f t="shared" si="25"/>
        <v>5.1413522025177665</v>
      </c>
      <c r="L233" s="13">
        <f t="shared" si="26"/>
        <v>0.37523777046197432</v>
      </c>
      <c r="M233" s="13">
        <f t="shared" si="27"/>
        <v>4.5254713597799423</v>
      </c>
      <c r="N233" s="13">
        <f t="shared" si="28"/>
        <v>29.228983176596934</v>
      </c>
      <c r="O233" s="13">
        <f t="shared" si="29"/>
        <v>3.3487034036155903</v>
      </c>
      <c r="P233" s="13">
        <f t="shared" si="30"/>
        <v>57.380252087027785</v>
      </c>
      <c r="Q233" s="13">
        <f t="shared" si="31"/>
        <v>57.755489857489763</v>
      </c>
    </row>
    <row r="234" spans="1:17">
      <c r="A234" s="28">
        <v>37983</v>
      </c>
      <c r="B234">
        <f>Prestiti!B234+Prestiti!C234+Prestiti!D234</f>
        <v>84273.110000000015</v>
      </c>
      <c r="C234">
        <f>Prestiti!E234+Prestiti!F234</f>
        <v>6169.8200000000006</v>
      </c>
      <c r="D234">
        <f>Prestiti!G234</f>
        <v>61705.8</v>
      </c>
      <c r="E234">
        <f>Prestiti!H234+Prestiti!K234+Prestiti!L234</f>
        <v>456483.48</v>
      </c>
      <c r="F234">
        <f>Prestiti!I234+Prestiti!J234</f>
        <v>52867.32</v>
      </c>
      <c r="G234">
        <f>Prestiti!M234+Prestiti!N234+Prestiti!O234+Prestiti!P234</f>
        <v>892755.39999999991</v>
      </c>
      <c r="H234">
        <f t="shared" si="24"/>
        <v>898925.21999999986</v>
      </c>
      <c r="I234">
        <f>SUM(B234:G234)</f>
        <v>1554254.9299999997</v>
      </c>
      <c r="K234" s="13">
        <f t="shared" si="25"/>
        <v>5.4220905704317142</v>
      </c>
      <c r="L234" s="13">
        <f t="shared" si="26"/>
        <v>0.39696319316162643</v>
      </c>
      <c r="M234" s="13">
        <f t="shared" si="27"/>
        <v>3.9701209118892753</v>
      </c>
      <c r="N234" s="13">
        <f t="shared" si="28"/>
        <v>29.369923246761076</v>
      </c>
      <c r="O234" s="13">
        <f t="shared" si="29"/>
        <v>3.4014574430206252</v>
      </c>
      <c r="P234" s="13">
        <f t="shared" si="30"/>
        <v>57.4394446347357</v>
      </c>
      <c r="Q234" s="13">
        <f t="shared" si="31"/>
        <v>57.836407827897318</v>
      </c>
    </row>
    <row r="235" spans="1:17">
      <c r="A235" s="28">
        <v>37953</v>
      </c>
      <c r="B235">
        <f>Prestiti!B235+Prestiti!C235+Prestiti!D235</f>
        <v>77309.73000000001</v>
      </c>
      <c r="C235">
        <f>Prestiti!E235+Prestiti!F235</f>
        <v>5665.84</v>
      </c>
      <c r="D235">
        <f>Prestiti!G235</f>
        <v>62409</v>
      </c>
      <c r="E235">
        <f>Prestiti!H235+Prestiti!K235+Prestiti!L235</f>
        <v>444739.54000000004</v>
      </c>
      <c r="F235">
        <f>Prestiti!I235+Prestiti!J235</f>
        <v>54976.75</v>
      </c>
      <c r="G235">
        <f>Prestiti!M235+Prestiti!N235+Prestiti!O235+Prestiti!P235</f>
        <v>873491.24000000011</v>
      </c>
      <c r="H235">
        <f t="shared" si="24"/>
        <v>879157.08000000007</v>
      </c>
      <c r="I235">
        <f>SUM(B235:G235)</f>
        <v>1518592.1</v>
      </c>
      <c r="K235" s="13">
        <f t="shared" si="25"/>
        <v>5.090881876706721</v>
      </c>
      <c r="L235" s="13">
        <f t="shared" si="26"/>
        <v>0.37309821379947911</v>
      </c>
      <c r="M235" s="13">
        <f t="shared" si="27"/>
        <v>4.1096618374348184</v>
      </c>
      <c r="N235" s="13">
        <f t="shared" si="28"/>
        <v>29.286306704743165</v>
      </c>
      <c r="O235" s="13">
        <f t="shared" si="29"/>
        <v>3.6202446990208887</v>
      </c>
      <c r="P235" s="13">
        <f t="shared" si="30"/>
        <v>57.51980666829494</v>
      </c>
      <c r="Q235" s="13">
        <f t="shared" si="31"/>
        <v>57.892904882094406</v>
      </c>
    </row>
    <row r="236" spans="1:17">
      <c r="A236" s="28">
        <v>37922</v>
      </c>
      <c r="B236">
        <f>Prestiti!B236+Prestiti!C236+Prestiti!D236</f>
        <v>76068.549999999988</v>
      </c>
      <c r="C236">
        <f>Prestiti!E236+Prestiti!F236</f>
        <v>5553.5899999999992</v>
      </c>
      <c r="D236">
        <f>Prestiti!G236</f>
        <v>66362.710000000006</v>
      </c>
      <c r="E236">
        <f>Prestiti!H236+Prestiti!K236+Prestiti!L236</f>
        <v>444029.56000000006</v>
      </c>
      <c r="F236">
        <f>Prestiti!I236+Prestiti!J236</f>
        <v>54633.71</v>
      </c>
      <c r="G236">
        <f>Prestiti!M236+Prestiti!N236+Prestiti!O236+Prestiti!P236</f>
        <v>868980.14999999991</v>
      </c>
      <c r="H236">
        <f t="shared" si="24"/>
        <v>874533.73999999987</v>
      </c>
      <c r="I236">
        <f>SUM(B236:G236)</f>
        <v>1515628.27</v>
      </c>
      <c r="K236" s="13">
        <f t="shared" si="25"/>
        <v>5.0189450477853645</v>
      </c>
      <c r="L236" s="13">
        <f t="shared" si="26"/>
        <v>0.36642164242555325</v>
      </c>
      <c r="M236" s="13">
        <f t="shared" si="27"/>
        <v>4.378561109842587</v>
      </c>
      <c r="N236" s="13">
        <f t="shared" si="28"/>
        <v>29.296732502884765</v>
      </c>
      <c r="O236" s="13">
        <f t="shared" si="29"/>
        <v>3.6046906145396718</v>
      </c>
      <c r="P236" s="13">
        <f t="shared" si="30"/>
        <v>57.334649082522063</v>
      </c>
      <c r="Q236" s="13">
        <f t="shared" si="31"/>
        <v>57.701070724947613</v>
      </c>
    </row>
    <row r="237" spans="1:17">
      <c r="A237" s="28">
        <v>37892</v>
      </c>
      <c r="B237">
        <f>Prestiti!B237+Prestiti!C237+Prestiti!D237</f>
        <v>76040.39</v>
      </c>
      <c r="C237">
        <f>Prestiti!E237+Prestiti!F237</f>
        <v>5633.8499999999995</v>
      </c>
      <c r="D237">
        <f>Prestiti!G237</f>
        <v>64667.34</v>
      </c>
      <c r="E237">
        <f>Prestiti!H237+Prestiti!K237+Prestiti!L237</f>
        <v>437880.2</v>
      </c>
      <c r="F237">
        <f>Prestiti!I237+Prestiti!J237</f>
        <v>54408.9</v>
      </c>
      <c r="G237">
        <f>Prestiti!M237+Prestiti!N237+Prestiti!O237+Prestiti!P237</f>
        <v>865905.34</v>
      </c>
      <c r="H237">
        <f t="shared" si="24"/>
        <v>871539.19</v>
      </c>
      <c r="I237">
        <f>SUM(B237:G237)</f>
        <v>1504536.02</v>
      </c>
      <c r="K237" s="13">
        <f t="shared" si="25"/>
        <v>5.0540757409051595</v>
      </c>
      <c r="L237" s="13">
        <f t="shared" si="26"/>
        <v>0.37445763511863273</v>
      </c>
      <c r="M237" s="13">
        <f t="shared" si="27"/>
        <v>4.2981583119558682</v>
      </c>
      <c r="N237" s="13">
        <f t="shared" si="28"/>
        <v>29.104002441895677</v>
      </c>
      <c r="O237" s="13">
        <f t="shared" si="29"/>
        <v>3.6163241874395271</v>
      </c>
      <c r="P237" s="13">
        <f t="shared" si="30"/>
        <v>57.552981682685136</v>
      </c>
      <c r="Q237" s="13">
        <f t="shared" si="31"/>
        <v>57.927439317803767</v>
      </c>
    </row>
    <row r="238" spans="1:17">
      <c r="A238" s="28">
        <v>37861</v>
      </c>
      <c r="B238">
        <f>Prestiti!B238+Prestiti!C238+Prestiti!D238</f>
        <v>79669.960000000006</v>
      </c>
      <c r="C238">
        <f>Prestiti!E238+Prestiti!F238</f>
        <v>5485.39</v>
      </c>
      <c r="D238">
        <f>Prestiti!G238</f>
        <v>58170.28</v>
      </c>
      <c r="E238">
        <f>Prestiti!H238+Prestiti!K238+Prestiti!L238</f>
        <v>429703.31</v>
      </c>
      <c r="F238">
        <f>Prestiti!I238+Prestiti!J238</f>
        <v>53760.6</v>
      </c>
      <c r="G238">
        <f>Prestiti!M238+Prestiti!N238+Prestiti!O238+Prestiti!P238</f>
        <v>858204.37</v>
      </c>
      <c r="H238">
        <f t="shared" si="24"/>
        <v>863689.76</v>
      </c>
      <c r="I238">
        <f>SUM(B238:G238)</f>
        <v>1484993.91</v>
      </c>
      <c r="K238" s="13">
        <f t="shared" si="25"/>
        <v>5.365002473309807</v>
      </c>
      <c r="L238" s="13">
        <f t="shared" si="26"/>
        <v>0.36938804685064336</v>
      </c>
      <c r="M238" s="13">
        <f t="shared" si="27"/>
        <v>3.9172066368945582</v>
      </c>
      <c r="N238" s="13">
        <f t="shared" si="28"/>
        <v>28.936368499989339</v>
      </c>
      <c r="O238" s="13">
        <f t="shared" si="29"/>
        <v>3.620257270954061</v>
      </c>
      <c r="P238" s="13">
        <f t="shared" si="30"/>
        <v>57.791777072001594</v>
      </c>
      <c r="Q238" s="13">
        <f t="shared" si="31"/>
        <v>58.161165118852246</v>
      </c>
    </row>
    <row r="239" spans="1:17">
      <c r="A239" s="28">
        <v>37830</v>
      </c>
      <c r="B239">
        <f>Prestiti!B239+Prestiti!C239+Prestiti!D239</f>
        <v>80564.97</v>
      </c>
      <c r="C239">
        <f>Prestiti!E239+Prestiti!F239</f>
        <v>5229.26</v>
      </c>
      <c r="D239">
        <f>Prestiti!G239</f>
        <v>63248.58</v>
      </c>
      <c r="E239">
        <f>Prestiti!H239+Prestiti!K239+Prestiti!L239</f>
        <v>428474.54999999993</v>
      </c>
      <c r="F239">
        <f>Prestiti!I239+Prestiti!J239</f>
        <v>54728.14</v>
      </c>
      <c r="G239">
        <f>Prestiti!M239+Prestiti!N239+Prestiti!O239+Prestiti!P239</f>
        <v>855692.49</v>
      </c>
      <c r="H239">
        <f t="shared" si="24"/>
        <v>860921.75</v>
      </c>
      <c r="I239">
        <f>SUM(B239:G239)</f>
        <v>1487937.9899999998</v>
      </c>
      <c r="K239" s="13">
        <f t="shared" si="25"/>
        <v>5.4145381421439485</v>
      </c>
      <c r="L239" s="13">
        <f t="shared" si="26"/>
        <v>0.3514434092780977</v>
      </c>
      <c r="M239" s="13">
        <f t="shared" si="27"/>
        <v>4.2507537562099618</v>
      </c>
      <c r="N239" s="13">
        <f t="shared" si="28"/>
        <v>28.796532710345009</v>
      </c>
      <c r="O239" s="13">
        <f t="shared" si="29"/>
        <v>3.6781196775545739</v>
      </c>
      <c r="P239" s="13">
        <f t="shared" si="30"/>
        <v>57.508612304468421</v>
      </c>
      <c r="Q239" s="13">
        <f t="shared" si="31"/>
        <v>57.860055713746519</v>
      </c>
    </row>
    <row r="240" spans="1:17">
      <c r="A240" s="28">
        <v>37800</v>
      </c>
      <c r="B240">
        <f>Prestiti!B240+Prestiti!C240+Prestiti!D240</f>
        <v>80558.17</v>
      </c>
      <c r="C240">
        <f>Prestiti!E240+Prestiti!F240</f>
        <v>5391.35</v>
      </c>
      <c r="D240">
        <f>Prestiti!G240</f>
        <v>65062</v>
      </c>
      <c r="E240">
        <f>Prestiti!H240+Prestiti!K240+Prestiti!L240</f>
        <v>431863.01</v>
      </c>
      <c r="F240">
        <f>Prestiti!I240+Prestiti!J240</f>
        <v>57118.119999999995</v>
      </c>
      <c r="G240">
        <f>Prestiti!M240+Prestiti!N240+Prestiti!O240+Prestiti!P240</f>
        <v>849220.07</v>
      </c>
      <c r="H240">
        <f t="shared" si="24"/>
        <v>854611.41999999993</v>
      </c>
      <c r="I240">
        <f>SUM(B240:G240)</f>
        <v>1489212.72</v>
      </c>
      <c r="K240" s="13">
        <f t="shared" si="25"/>
        <v>5.4094468116012333</v>
      </c>
      <c r="L240" s="13">
        <f t="shared" si="26"/>
        <v>0.3620268567139287</v>
      </c>
      <c r="M240" s="13">
        <f t="shared" si="27"/>
        <v>4.3688855947993783</v>
      </c>
      <c r="N240" s="13">
        <f t="shared" si="28"/>
        <v>28.999417222275675</v>
      </c>
      <c r="O240" s="13">
        <f t="shared" si="29"/>
        <v>3.8354574355233817</v>
      </c>
      <c r="P240" s="13">
        <f t="shared" si="30"/>
        <v>57.024766079086397</v>
      </c>
      <c r="Q240" s="13">
        <f t="shared" si="31"/>
        <v>57.386792935800337</v>
      </c>
    </row>
    <row r="241" spans="1:17">
      <c r="A241" s="28">
        <v>37769</v>
      </c>
      <c r="B241">
        <f>Prestiti!B241+Prestiti!C241+Prestiti!D241</f>
        <v>82751.299999999988</v>
      </c>
      <c r="C241">
        <f>Prestiti!E241+Prestiti!F241</f>
        <v>5280.64</v>
      </c>
      <c r="D241">
        <f>Prestiti!G241</f>
        <v>62788.15</v>
      </c>
      <c r="E241">
        <f>Prestiti!H241+Prestiti!K241+Prestiti!L241</f>
        <v>421402.07999999996</v>
      </c>
      <c r="F241">
        <f>Prestiti!I241+Prestiti!J241</f>
        <v>55943.6</v>
      </c>
      <c r="G241">
        <f>Prestiti!M241+Prestiti!N241+Prestiti!O241+Prestiti!P241</f>
        <v>838530.42</v>
      </c>
      <c r="H241">
        <f t="shared" si="24"/>
        <v>843811.06</v>
      </c>
      <c r="I241">
        <f>SUM(B241:G241)</f>
        <v>1466696.19</v>
      </c>
      <c r="K241" s="13">
        <f t="shared" si="25"/>
        <v>5.6420205196005861</v>
      </c>
      <c r="L241" s="13">
        <f t="shared" si="26"/>
        <v>0.36003638899477886</v>
      </c>
      <c r="M241" s="13">
        <f t="shared" si="27"/>
        <v>4.2809240542173912</v>
      </c>
      <c r="N241" s="13">
        <f t="shared" si="28"/>
        <v>28.731381650347092</v>
      </c>
      <c r="O241" s="13">
        <f t="shared" si="29"/>
        <v>3.8142595843246854</v>
      </c>
      <c r="P241" s="13">
        <f t="shared" si="30"/>
        <v>57.171377802515465</v>
      </c>
      <c r="Q241" s="13">
        <f t="shared" si="31"/>
        <v>57.531414191510244</v>
      </c>
    </row>
    <row r="242" spans="1:17">
      <c r="A242" s="28">
        <v>37739</v>
      </c>
      <c r="B242">
        <f>Prestiti!B242+Prestiti!C242+Prestiti!D242</f>
        <v>86067.7</v>
      </c>
      <c r="C242">
        <f>Prestiti!E242+Prestiti!F242</f>
        <v>5286.73</v>
      </c>
      <c r="D242">
        <f>Prestiti!G242</f>
        <v>63874.879999999997</v>
      </c>
      <c r="E242">
        <f>Prestiti!H242+Prestiti!K242+Prestiti!L242</f>
        <v>411661.92</v>
      </c>
      <c r="F242">
        <f>Prestiti!I242+Prestiti!J242</f>
        <v>56415.75</v>
      </c>
      <c r="G242">
        <f>Prestiti!M242+Prestiti!N242+Prestiti!O242+Prestiti!P242</f>
        <v>835246.83</v>
      </c>
      <c r="H242">
        <f t="shared" si="24"/>
        <v>840533.55999999994</v>
      </c>
      <c r="I242">
        <f>SUM(B242:G242)</f>
        <v>1458553.81</v>
      </c>
      <c r="K242" s="13">
        <f t="shared" si="25"/>
        <v>5.9008930222464677</v>
      </c>
      <c r="L242" s="13">
        <f t="shared" si="26"/>
        <v>0.36246382983977804</v>
      </c>
      <c r="M242" s="13">
        <f t="shared" si="27"/>
        <v>4.3793296868491947</v>
      </c>
      <c r="N242" s="13">
        <f t="shared" si="28"/>
        <v>28.223978928826764</v>
      </c>
      <c r="O242" s="13">
        <f t="shared" si="29"/>
        <v>3.8679238032363026</v>
      </c>
      <c r="P242" s="13">
        <f t="shared" si="30"/>
        <v>57.265410729001488</v>
      </c>
      <c r="Q242" s="13">
        <f t="shared" si="31"/>
        <v>57.627874558841263</v>
      </c>
    </row>
    <row r="243" spans="1:17">
      <c r="A243" s="28">
        <v>37708</v>
      </c>
      <c r="B243">
        <f>Prestiti!B243+Prestiti!C243+Prestiti!D243</f>
        <v>86228.22</v>
      </c>
      <c r="C243">
        <f>Prestiti!E243+Prestiti!F243</f>
        <v>5946.8499999999995</v>
      </c>
      <c r="D243">
        <f>Prestiti!G243</f>
        <v>62701.09</v>
      </c>
      <c r="E243">
        <f>Prestiti!H243+Prestiti!K243+Prestiti!L243</f>
        <v>425860.61000000004</v>
      </c>
      <c r="F243">
        <f>Prestiti!I243+Prestiti!J243</f>
        <v>56213.18</v>
      </c>
      <c r="G243">
        <f>Prestiti!M243+Prestiti!N243+Prestiti!O243+Prestiti!P243</f>
        <v>832988.31</v>
      </c>
      <c r="H243">
        <f t="shared" si="24"/>
        <v>838935.16</v>
      </c>
      <c r="I243">
        <f>SUM(B243:G243)</f>
        <v>1469938.2600000002</v>
      </c>
      <c r="K243" s="13">
        <f t="shared" si="25"/>
        <v>5.8661116828131261</v>
      </c>
      <c r="L243" s="13">
        <f t="shared" si="26"/>
        <v>0.40456461076127093</v>
      </c>
      <c r="M243" s="13">
        <f t="shared" si="27"/>
        <v>4.2655594256047182</v>
      </c>
      <c r="N243" s="13">
        <f t="shared" si="28"/>
        <v>28.97132631951494</v>
      </c>
      <c r="O243" s="13">
        <f t="shared" si="29"/>
        <v>3.8241864661717146</v>
      </c>
      <c r="P243" s="13">
        <f t="shared" si="30"/>
        <v>56.668251495134214</v>
      </c>
      <c r="Q243" s="13">
        <f t="shared" si="31"/>
        <v>57.072816105895484</v>
      </c>
    </row>
    <row r="244" spans="1:17">
      <c r="A244" s="28">
        <v>37680</v>
      </c>
      <c r="B244">
        <f>Prestiti!B244+Prestiti!C244+Prestiti!D244</f>
        <v>86876.309999999983</v>
      </c>
      <c r="C244">
        <f>Prestiti!E244+Prestiti!F244</f>
        <v>5934.0199999999995</v>
      </c>
      <c r="D244">
        <f>Prestiti!G244</f>
        <v>61144.94</v>
      </c>
      <c r="E244">
        <f>Prestiti!H244+Prestiti!K244+Prestiti!L244</f>
        <v>432952.64</v>
      </c>
      <c r="F244">
        <f>Prestiti!I244+Prestiti!J244</f>
        <v>57610.84</v>
      </c>
      <c r="G244">
        <f>Prestiti!M244+Prestiti!N244+Prestiti!O244+Prestiti!P244</f>
        <v>831179.46000000008</v>
      </c>
      <c r="H244">
        <f t="shared" si="24"/>
        <v>837113.4800000001</v>
      </c>
      <c r="I244">
        <f>SUM(B244:G244)</f>
        <v>1475698.21</v>
      </c>
      <c r="K244" s="13">
        <f t="shared" si="25"/>
        <v>5.8871325729940391</v>
      </c>
      <c r="L244" s="13">
        <f t="shared" si="26"/>
        <v>0.40211609391326691</v>
      </c>
      <c r="M244" s="13">
        <f t="shared" si="27"/>
        <v>4.1434583023584475</v>
      </c>
      <c r="N244" s="13">
        <f t="shared" si="28"/>
        <v>29.33883344616919</v>
      </c>
      <c r="O244" s="13">
        <f t="shared" si="29"/>
        <v>3.9039716664018993</v>
      </c>
      <c r="P244" s="13">
        <f t="shared" si="30"/>
        <v>56.324487918163172</v>
      </c>
      <c r="Q244" s="13">
        <f t="shared" si="31"/>
        <v>56.726604012076429</v>
      </c>
    </row>
    <row r="245" spans="1:17">
      <c r="A245" s="28">
        <v>37649</v>
      </c>
      <c r="B245">
        <f>Prestiti!B245+Prestiti!C245+Prestiti!D245</f>
        <v>79936.27</v>
      </c>
      <c r="C245">
        <f>Prestiti!E245+Prestiti!F245</f>
        <v>5858.88</v>
      </c>
      <c r="D245">
        <f>Prestiti!G245</f>
        <v>60481.29</v>
      </c>
      <c r="E245">
        <f>Prestiti!H245+Prestiti!K245+Prestiti!L245</f>
        <v>437666.68</v>
      </c>
      <c r="F245">
        <f>Prestiti!I245+Prestiti!J245</f>
        <v>56862.36</v>
      </c>
      <c r="G245">
        <f>Prestiti!M245+Prestiti!N245+Prestiti!O245+Prestiti!P245</f>
        <v>826967.02</v>
      </c>
      <c r="H245">
        <f t="shared" si="24"/>
        <v>832825.9</v>
      </c>
      <c r="I245">
        <f>SUM(B245:G245)</f>
        <v>1467772.5</v>
      </c>
      <c r="K245" s="13">
        <f t="shared" si="25"/>
        <v>5.4460939961744756</v>
      </c>
      <c r="L245" s="13">
        <f t="shared" si="26"/>
        <v>0.39916812721317507</v>
      </c>
      <c r="M245" s="13">
        <f t="shared" si="27"/>
        <v>4.1206174662626527</v>
      </c>
      <c r="N245" s="13">
        <f t="shared" si="28"/>
        <v>29.818427583293733</v>
      </c>
      <c r="O245" s="13">
        <f t="shared" si="29"/>
        <v>3.8740581391189708</v>
      </c>
      <c r="P245" s="13">
        <f t="shared" si="30"/>
        <v>56.341634687936995</v>
      </c>
      <c r="Q245" s="13">
        <f t="shared" si="31"/>
        <v>56.740802815150168</v>
      </c>
    </row>
    <row r="246" spans="1:17">
      <c r="A246" s="28">
        <v>37618</v>
      </c>
      <c r="B246">
        <f>Prestiti!B246+Prestiti!C246+Prestiti!D246</f>
        <v>80677.789999999994</v>
      </c>
      <c r="C246">
        <f>Prestiti!E246+Prestiti!F246</f>
        <v>5803.56</v>
      </c>
      <c r="D246">
        <f>Prestiti!G246</f>
        <v>71405.62</v>
      </c>
      <c r="E246">
        <f>Prestiti!H246+Prestiti!K246+Prestiti!L246</f>
        <v>442375.20999999996</v>
      </c>
      <c r="F246">
        <f>Prestiti!I246+Prestiti!J246</f>
        <v>56763</v>
      </c>
      <c r="G246">
        <f>Prestiti!M246+Prestiti!N246+Prestiti!O246+Prestiti!P246</f>
        <v>822975.28</v>
      </c>
      <c r="H246">
        <f t="shared" si="24"/>
        <v>828778.84000000008</v>
      </c>
      <c r="I246">
        <f>SUM(B246:G246)</f>
        <v>1480000.46</v>
      </c>
      <c r="K246" s="13">
        <f t="shared" si="25"/>
        <v>5.4512003327350316</v>
      </c>
      <c r="L246" s="13">
        <f t="shared" si="26"/>
        <v>0.39213231055347114</v>
      </c>
      <c r="M246" s="13">
        <f t="shared" si="27"/>
        <v>4.8247025544843414</v>
      </c>
      <c r="N246" s="13">
        <f t="shared" si="28"/>
        <v>29.890207601692232</v>
      </c>
      <c r="O246" s="13">
        <f t="shared" si="29"/>
        <v>3.835336645773745</v>
      </c>
      <c r="P246" s="13">
        <f t="shared" si="30"/>
        <v>55.606420554761179</v>
      </c>
      <c r="Q246" s="13">
        <f t="shared" si="31"/>
        <v>55.998552865314657</v>
      </c>
    </row>
    <row r="247" spans="1:17">
      <c r="A247" s="28">
        <v>37588</v>
      </c>
      <c r="B247">
        <f>Prestiti!B247+Prestiti!C247+Prestiti!D247</f>
        <v>80952.529999999984</v>
      </c>
      <c r="C247">
        <f>Prestiti!E247+Prestiti!F247</f>
        <v>6013.5</v>
      </c>
      <c r="D247">
        <f>Prestiti!G247</f>
        <v>67864.039999999994</v>
      </c>
      <c r="E247">
        <f>Prestiti!H247+Prestiti!K247+Prestiti!L247</f>
        <v>395381.09</v>
      </c>
      <c r="F247">
        <f>Prestiti!I247+Prestiti!J247</f>
        <v>55528.2</v>
      </c>
      <c r="G247">
        <f>Prestiti!M247+Prestiti!N247+Prestiti!O247+Prestiti!P247</f>
        <v>808081.78999999992</v>
      </c>
      <c r="H247">
        <f t="shared" si="24"/>
        <v>814095.28999999992</v>
      </c>
      <c r="I247">
        <f>SUM(B247:G247)</f>
        <v>1413821.15</v>
      </c>
      <c r="K247" s="13">
        <f t="shared" si="25"/>
        <v>5.7257970712915132</v>
      </c>
      <c r="L247" s="13">
        <f t="shared" si="26"/>
        <v>0.42533668420507087</v>
      </c>
      <c r="M247" s="13">
        <f t="shared" si="27"/>
        <v>4.8000441922940533</v>
      </c>
      <c r="N247" s="13">
        <f t="shared" si="28"/>
        <v>27.965424763945574</v>
      </c>
      <c r="O247" s="13">
        <f t="shared" si="29"/>
        <v>3.9275264767400038</v>
      </c>
      <c r="P247" s="13">
        <f t="shared" si="30"/>
        <v>57.155870811523791</v>
      </c>
      <c r="Q247" s="13">
        <f t="shared" si="31"/>
        <v>57.581207495728862</v>
      </c>
    </row>
    <row r="248" spans="1:17">
      <c r="A248" s="28">
        <v>37557</v>
      </c>
      <c r="B248">
        <f>Prestiti!B248+Prestiti!C248+Prestiti!D248</f>
        <v>78767.839999999997</v>
      </c>
      <c r="C248">
        <f>Prestiti!E248+Prestiti!F248</f>
        <v>5794.36</v>
      </c>
      <c r="D248">
        <f>Prestiti!G248</f>
        <v>70945.279999999999</v>
      </c>
      <c r="E248">
        <f>Prestiti!H248+Prestiti!K248+Prestiti!L248</f>
        <v>378815.85</v>
      </c>
      <c r="F248">
        <f>Prestiti!I248+Prestiti!J248</f>
        <v>54344.3</v>
      </c>
      <c r="G248">
        <f>Prestiti!M248+Prestiti!N248+Prestiti!O248+Prestiti!P248</f>
        <v>806721.66</v>
      </c>
      <c r="H248">
        <f t="shared" si="24"/>
        <v>812516.02</v>
      </c>
      <c r="I248">
        <f>SUM(B248:G248)</f>
        <v>1395389.29</v>
      </c>
      <c r="K248" s="13">
        <f t="shared" si="25"/>
        <v>5.6448648821147245</v>
      </c>
      <c r="L248" s="13">
        <f t="shared" si="26"/>
        <v>0.41525042807229801</v>
      </c>
      <c r="M248" s="13">
        <f t="shared" si="27"/>
        <v>5.0842643345786316</v>
      </c>
      <c r="N248" s="13">
        <f t="shared" si="28"/>
        <v>27.147682207020519</v>
      </c>
      <c r="O248" s="13">
        <f t="shared" si="29"/>
        <v>3.8945619254394597</v>
      </c>
      <c r="P248" s="13">
        <f t="shared" si="30"/>
        <v>57.813376222774359</v>
      </c>
      <c r="Q248" s="13">
        <f t="shared" si="31"/>
        <v>58.228626650846657</v>
      </c>
    </row>
    <row r="249" spans="1:17">
      <c r="A249" s="28">
        <v>37527</v>
      </c>
      <c r="B249">
        <f>Prestiti!B249+Prestiti!C249+Prestiti!D249</f>
        <v>78630.75</v>
      </c>
      <c r="C249">
        <f>Prestiti!E249+Prestiti!F249</f>
        <v>5712.4400000000005</v>
      </c>
      <c r="D249">
        <f>Prestiti!G249</f>
        <v>60277.54</v>
      </c>
      <c r="E249">
        <f>Prestiti!H249+Prestiti!K249+Prestiti!L249</f>
        <v>371246.27000000008</v>
      </c>
      <c r="F249">
        <f>Prestiti!I249+Prestiti!J249</f>
        <v>55164.67</v>
      </c>
      <c r="G249">
        <f>Prestiti!M249+Prestiti!N249+Prestiti!O249+Prestiti!P249</f>
        <v>798591.04</v>
      </c>
      <c r="H249">
        <f t="shared" si="24"/>
        <v>804303.48</v>
      </c>
      <c r="I249">
        <f>SUM(B249:G249)</f>
        <v>1369622.7100000002</v>
      </c>
      <c r="K249" s="13">
        <f t="shared" si="25"/>
        <v>5.7410518550762051</v>
      </c>
      <c r="L249" s="13">
        <f t="shared" si="26"/>
        <v>0.41708128510807185</v>
      </c>
      <c r="M249" s="13">
        <f t="shared" si="27"/>
        <v>4.4010324565952903</v>
      </c>
      <c r="N249" s="13">
        <f t="shared" si="28"/>
        <v>27.105732643700104</v>
      </c>
      <c r="O249" s="13">
        <f t="shared" si="29"/>
        <v>4.0277274607983093</v>
      </c>
      <c r="P249" s="13">
        <f t="shared" si="30"/>
        <v>58.307374298722017</v>
      </c>
      <c r="Q249" s="13">
        <f t="shared" si="31"/>
        <v>58.724455583830078</v>
      </c>
    </row>
    <row r="250" spans="1:17">
      <c r="A250" s="28">
        <v>37496</v>
      </c>
      <c r="B250">
        <f>Prestiti!B250+Prestiti!C250+Prestiti!D250</f>
        <v>71481.039999999994</v>
      </c>
      <c r="C250">
        <f>Prestiti!E250+Prestiti!F250</f>
        <v>5798.72</v>
      </c>
      <c r="D250">
        <f>Prestiti!G250</f>
        <v>60408.59</v>
      </c>
      <c r="E250">
        <f>Prestiti!H250+Prestiti!K250+Prestiti!L250</f>
        <v>377293.04</v>
      </c>
      <c r="F250">
        <f>Prestiti!I250+Prestiti!J250</f>
        <v>54079.619999999995</v>
      </c>
      <c r="G250">
        <f>Prestiti!M250+Prestiti!N250+Prestiti!O250+Prestiti!P250</f>
        <v>792988.44000000006</v>
      </c>
      <c r="H250">
        <f t="shared" si="24"/>
        <v>798787.16</v>
      </c>
      <c r="I250">
        <f>SUM(B250:G250)</f>
        <v>1362049.4500000002</v>
      </c>
      <c r="K250" s="13">
        <f t="shared" si="25"/>
        <v>5.2480502818748604</v>
      </c>
      <c r="L250" s="13">
        <f t="shared" si="26"/>
        <v>0.42573490999170405</v>
      </c>
      <c r="M250" s="13">
        <f t="shared" si="27"/>
        <v>4.4351245837660294</v>
      </c>
      <c r="N250" s="13">
        <f t="shared" si="28"/>
        <v>27.700392228784349</v>
      </c>
      <c r="O250" s="13">
        <f t="shared" si="29"/>
        <v>3.9704593691513903</v>
      </c>
      <c r="P250" s="13">
        <f t="shared" si="30"/>
        <v>58.220238626431652</v>
      </c>
      <c r="Q250" s="13">
        <f t="shared" si="31"/>
        <v>58.645973536423355</v>
      </c>
    </row>
    <row r="251" spans="1:17">
      <c r="A251" s="28">
        <v>37465</v>
      </c>
      <c r="B251">
        <f>Prestiti!B251+Prestiti!C251+Prestiti!D251</f>
        <v>73296.72</v>
      </c>
      <c r="C251">
        <f>Prestiti!E251+Prestiti!F251</f>
        <v>5403.5199999999995</v>
      </c>
      <c r="D251">
        <f>Prestiti!G251</f>
        <v>66137.7</v>
      </c>
      <c r="E251">
        <f>Prestiti!H251+Prestiti!K251+Prestiti!L251</f>
        <v>373754.89</v>
      </c>
      <c r="F251">
        <f>Prestiti!I251+Prestiti!J251</f>
        <v>54633.84</v>
      </c>
      <c r="G251">
        <f>Prestiti!M251+Prestiti!N251+Prestiti!O251+Prestiti!P251</f>
        <v>799251.32</v>
      </c>
      <c r="H251">
        <f t="shared" si="24"/>
        <v>804654.84</v>
      </c>
      <c r="I251">
        <f>SUM(B251:G251)</f>
        <v>1372477.99</v>
      </c>
      <c r="K251" s="13">
        <f t="shared" si="25"/>
        <v>5.3404659698768651</v>
      </c>
      <c r="L251" s="13">
        <f t="shared" si="26"/>
        <v>0.39370540288227129</v>
      </c>
      <c r="M251" s="13">
        <f t="shared" si="27"/>
        <v>4.818853233486097</v>
      </c>
      <c r="N251" s="13">
        <f t="shared" si="28"/>
        <v>27.232122680524736</v>
      </c>
      <c r="O251" s="13">
        <f t="shared" si="29"/>
        <v>3.9806714860323549</v>
      </c>
      <c r="P251" s="13">
        <f t="shared" si="30"/>
        <v>58.234181227197666</v>
      </c>
      <c r="Q251" s="13">
        <f t="shared" si="31"/>
        <v>58.627886630079949</v>
      </c>
    </row>
    <row r="252" spans="1:17">
      <c r="A252" s="28">
        <v>37435</v>
      </c>
      <c r="B252">
        <f>Prestiti!B252+Prestiti!C252+Prestiti!D252</f>
        <v>73972.569999999992</v>
      </c>
      <c r="C252">
        <f>Prestiti!E252+Prestiti!F252</f>
        <v>5379.25</v>
      </c>
      <c r="D252">
        <f>Prestiti!G252</f>
        <v>62324.06</v>
      </c>
      <c r="E252">
        <f>Prestiti!H252+Prestiti!K252+Prestiti!L252</f>
        <v>348452.81</v>
      </c>
      <c r="F252">
        <f>Prestiti!I252+Prestiti!J252</f>
        <v>57028.5</v>
      </c>
      <c r="G252">
        <f>Prestiti!M252+Prestiti!N252+Prestiti!O252+Prestiti!P252</f>
        <v>793917.96</v>
      </c>
      <c r="H252">
        <f t="shared" si="24"/>
        <v>799297.21</v>
      </c>
      <c r="I252">
        <f>SUM(B252:G252)</f>
        <v>1341075.1499999999</v>
      </c>
      <c r="K252" s="13">
        <f t="shared" si="25"/>
        <v>5.5159153459819157</v>
      </c>
      <c r="L252" s="13">
        <f t="shared" si="26"/>
        <v>0.40111473245925111</v>
      </c>
      <c r="M252" s="13">
        <f t="shared" si="27"/>
        <v>4.6473204726819368</v>
      </c>
      <c r="N252" s="13">
        <f t="shared" si="28"/>
        <v>25.983093490323796</v>
      </c>
      <c r="O252" s="13">
        <f t="shared" si="29"/>
        <v>4.2524462555286338</v>
      </c>
      <c r="P252" s="13">
        <f t="shared" si="30"/>
        <v>59.200109703024474</v>
      </c>
      <c r="Q252" s="13">
        <f t="shared" si="31"/>
        <v>59.601224435483722</v>
      </c>
    </row>
    <row r="253" spans="1:17">
      <c r="A253" s="28">
        <v>37404</v>
      </c>
      <c r="B253">
        <f>Prestiti!B253+Prestiti!C253+Prestiti!D253</f>
        <v>70619.94</v>
      </c>
      <c r="C253">
        <f>Prestiti!E253+Prestiti!F253</f>
        <v>5384.38</v>
      </c>
      <c r="D253">
        <f>Prestiti!G253</f>
        <v>65140.66</v>
      </c>
      <c r="E253">
        <f>Prestiti!H253+Prestiti!K253+Prestiti!L253</f>
        <v>359340.19999999995</v>
      </c>
      <c r="F253">
        <f>Prestiti!I253+Prestiti!J253</f>
        <v>56343.770000000004</v>
      </c>
      <c r="G253">
        <f>Prestiti!M253+Prestiti!N253+Prestiti!O253+Prestiti!P253</f>
        <v>790030.76</v>
      </c>
      <c r="H253">
        <f t="shared" si="24"/>
        <v>795415.14</v>
      </c>
      <c r="I253">
        <f>SUM(B253:G253)</f>
        <v>1346859.71</v>
      </c>
      <c r="K253" s="13">
        <f t="shared" si="25"/>
        <v>5.2433033281543482</v>
      </c>
      <c r="L253" s="13">
        <f t="shared" si="26"/>
        <v>0.39977289097169594</v>
      </c>
      <c r="M253" s="13">
        <f t="shared" si="27"/>
        <v>4.8364844175196247</v>
      </c>
      <c r="N253" s="13">
        <f t="shared" si="28"/>
        <v>26.679853687211413</v>
      </c>
      <c r="O253" s="13">
        <f t="shared" si="29"/>
        <v>4.1833436386630058</v>
      </c>
      <c r="P253" s="13">
        <f t="shared" si="30"/>
        <v>58.657242037479904</v>
      </c>
      <c r="Q253" s="13">
        <f t="shared" si="31"/>
        <v>59.057014928451615</v>
      </c>
    </row>
    <row r="254" spans="1:17">
      <c r="A254" s="28">
        <v>37374</v>
      </c>
      <c r="B254">
        <f>Prestiti!B254+Prestiti!C254+Prestiti!D254</f>
        <v>71691.210000000006</v>
      </c>
      <c r="C254">
        <f>Prestiti!E254+Prestiti!F254</f>
        <v>5792.08</v>
      </c>
      <c r="D254">
        <f>Prestiti!G254</f>
        <v>66728.73</v>
      </c>
      <c r="E254">
        <f>Prestiti!H254+Prestiti!K254+Prestiti!L254</f>
        <v>345404.73</v>
      </c>
      <c r="F254">
        <f>Prestiti!I254+Prestiti!J254</f>
        <v>56929.36</v>
      </c>
      <c r="G254">
        <f>Prestiti!M254+Prestiti!N254+Prestiti!O254+Prestiti!P254</f>
        <v>782547.67</v>
      </c>
      <c r="H254">
        <f t="shared" si="24"/>
        <v>788339.75</v>
      </c>
      <c r="I254">
        <f>SUM(B254:G254)</f>
        <v>1329093.78</v>
      </c>
      <c r="K254" s="13">
        <f t="shared" si="25"/>
        <v>5.3939918370545685</v>
      </c>
      <c r="L254" s="13">
        <f t="shared" si="26"/>
        <v>0.43579167152524034</v>
      </c>
      <c r="M254" s="13">
        <f t="shared" si="27"/>
        <v>5.0206186353531805</v>
      </c>
      <c r="N254" s="13">
        <f t="shared" si="28"/>
        <v>25.987987845372352</v>
      </c>
      <c r="O254" s="13">
        <f t="shared" si="29"/>
        <v>4.2833215275448815</v>
      </c>
      <c r="P254" s="13">
        <f t="shared" si="30"/>
        <v>58.878288483149774</v>
      </c>
      <c r="Q254" s="13">
        <f t="shared" si="31"/>
        <v>59.314080154675011</v>
      </c>
    </row>
    <row r="255" spans="1:17">
      <c r="A255" s="28">
        <v>37343</v>
      </c>
      <c r="B255">
        <f>Prestiti!B255+Prestiti!C255+Prestiti!D255</f>
        <v>65006.509999999995</v>
      </c>
      <c r="C255">
        <f>Prestiti!E255+Prestiti!F255</f>
        <v>5931.23</v>
      </c>
      <c r="D255">
        <f>Prestiti!G255</f>
        <v>67651.72</v>
      </c>
      <c r="E255">
        <f>Prestiti!H255+Prestiti!K255+Prestiti!L255</f>
        <v>344085.47000000003</v>
      </c>
      <c r="F255">
        <f>Prestiti!I255+Prestiti!J255</f>
        <v>58399.07</v>
      </c>
      <c r="G255">
        <f>Prestiti!M255+Prestiti!N255+Prestiti!O255+Prestiti!P255</f>
        <v>776160.04999999993</v>
      </c>
      <c r="H255">
        <f t="shared" si="24"/>
        <v>782091.27999999991</v>
      </c>
      <c r="I255">
        <f>SUM(B255:G255)</f>
        <v>1317234.0499999998</v>
      </c>
      <c r="K255" s="13">
        <f t="shared" si="25"/>
        <v>4.9350766479199351</v>
      </c>
      <c r="L255" s="13">
        <f t="shared" si="26"/>
        <v>0.45027912845101448</v>
      </c>
      <c r="M255" s="13">
        <f t="shared" si="27"/>
        <v>5.1358921370124015</v>
      </c>
      <c r="N255" s="13">
        <f t="shared" si="28"/>
        <v>26.121817151629212</v>
      </c>
      <c r="O255" s="13">
        <f t="shared" si="29"/>
        <v>4.4334619196945297</v>
      </c>
      <c r="P255" s="13">
        <f t="shared" si="30"/>
        <v>58.923473015292913</v>
      </c>
      <c r="Q255" s="13">
        <f t="shared" si="31"/>
        <v>59.373752143743928</v>
      </c>
    </row>
    <row r="256" spans="1:17">
      <c r="A256" s="28">
        <v>37315</v>
      </c>
      <c r="B256">
        <f>Prestiti!B256+Prestiti!C256+Prestiti!D256</f>
        <v>61235.83</v>
      </c>
      <c r="C256">
        <f>Prestiti!E256+Prestiti!F256</f>
        <v>5512.7199999999993</v>
      </c>
      <c r="D256">
        <f>Prestiti!G256</f>
        <v>63669.9</v>
      </c>
      <c r="E256">
        <f>Prestiti!H256+Prestiti!K256+Prestiti!L256</f>
        <v>327004.59000000003</v>
      </c>
      <c r="F256">
        <f>Prestiti!I256+Prestiti!J256</f>
        <v>57915.100000000006</v>
      </c>
      <c r="G256">
        <f>Prestiti!M256+Prestiti!N256+Prestiti!O256+Prestiti!P256</f>
        <v>776377.09000000008</v>
      </c>
      <c r="H256">
        <f t="shared" si="24"/>
        <v>781889.81</v>
      </c>
      <c r="I256">
        <f>SUM(B256:G256)</f>
        <v>1291715.23</v>
      </c>
      <c r="K256" s="13">
        <f t="shared" si="25"/>
        <v>4.7406602150227801</v>
      </c>
      <c r="L256" s="13">
        <f t="shared" si="26"/>
        <v>0.42677518016103277</v>
      </c>
      <c r="M256" s="13">
        <f t="shared" si="27"/>
        <v>4.9290972593084623</v>
      </c>
      <c r="N256" s="13">
        <f t="shared" si="28"/>
        <v>25.315532588401858</v>
      </c>
      <c r="O256" s="13">
        <f t="shared" si="29"/>
        <v>4.4835811063402886</v>
      </c>
      <c r="P256" s="13">
        <f t="shared" si="30"/>
        <v>60.104353650765589</v>
      </c>
      <c r="Q256" s="13">
        <f t="shared" si="31"/>
        <v>60.531128830926619</v>
      </c>
    </row>
    <row r="257" spans="1:17">
      <c r="A257" s="28">
        <v>37284</v>
      </c>
      <c r="B257">
        <f>Prestiti!B257+Prestiti!C257+Prestiti!D257</f>
        <v>60209.9</v>
      </c>
      <c r="C257">
        <f>Prestiti!E257+Prestiti!F257</f>
        <v>5625.38</v>
      </c>
      <c r="D257">
        <f>Prestiti!G257</f>
        <v>60914.06</v>
      </c>
      <c r="E257">
        <f>Prestiti!H257+Prestiti!K257+Prestiti!L257</f>
        <v>327545.94</v>
      </c>
      <c r="F257">
        <f>Prestiti!I257+Prestiti!J257</f>
        <v>57869.490000000005</v>
      </c>
      <c r="G257">
        <f>Prestiti!M257+Prestiti!N257+Prestiti!O257+Prestiti!P257</f>
        <v>777475.61</v>
      </c>
      <c r="H257">
        <f t="shared" si="24"/>
        <v>783100.99</v>
      </c>
      <c r="I257">
        <f>SUM(B257:G257)</f>
        <v>1289640.3799999999</v>
      </c>
      <c r="K257" s="13">
        <f t="shared" si="25"/>
        <v>4.6687356362089103</v>
      </c>
      <c r="L257" s="13">
        <f t="shared" si="26"/>
        <v>0.43619757005437443</v>
      </c>
      <c r="M257" s="13">
        <f t="shared" si="27"/>
        <v>4.7233369041996038</v>
      </c>
      <c r="N257" s="13">
        <f t="shared" si="28"/>
        <v>25.398238538405572</v>
      </c>
      <c r="O257" s="13">
        <f t="shared" si="29"/>
        <v>4.4872579129384897</v>
      </c>
      <c r="P257" s="13">
        <f t="shared" si="30"/>
        <v>60.286233438193058</v>
      </c>
      <c r="Q257" s="13">
        <f t="shared" si="31"/>
        <v>60.722431008247433</v>
      </c>
    </row>
    <row r="258" spans="1:17">
      <c r="A258" s="28">
        <v>37253</v>
      </c>
      <c r="B258">
        <f>Prestiti!B258+Prestiti!C258+Prestiti!D258</f>
        <v>57913.030000000006</v>
      </c>
      <c r="C258">
        <f>Prestiti!E258+Prestiti!F258</f>
        <v>5925.78</v>
      </c>
      <c r="D258">
        <f>Prestiti!G258</f>
        <v>65094.27</v>
      </c>
      <c r="E258">
        <f>Prestiti!H258+Prestiti!K258+Prestiti!L258</f>
        <v>354244.89000000007</v>
      </c>
      <c r="F258">
        <f>Prestiti!I258+Prestiti!J258</f>
        <v>58002.559999999998</v>
      </c>
      <c r="G258">
        <f>Prestiti!M258+Prestiti!N258+Prestiti!O258+Prestiti!P258</f>
        <v>773407.15</v>
      </c>
      <c r="H258">
        <f t="shared" si="24"/>
        <v>779332.93</v>
      </c>
      <c r="I258">
        <f>SUM(B258:G258)</f>
        <v>1314587.6800000002</v>
      </c>
      <c r="K258" s="13">
        <f t="shared" si="25"/>
        <v>4.405414023049417</v>
      </c>
      <c r="L258" s="13">
        <f t="shared" si="26"/>
        <v>0.45077099764087242</v>
      </c>
      <c r="M258" s="13">
        <f t="shared" si="27"/>
        <v>4.9516872088744961</v>
      </c>
      <c r="N258" s="13">
        <f t="shared" si="28"/>
        <v>26.947224242965675</v>
      </c>
      <c r="O258" s="13">
        <f t="shared" si="29"/>
        <v>4.4122245235099102</v>
      </c>
      <c r="P258" s="13">
        <f t="shared" si="30"/>
        <v>58.832679003959619</v>
      </c>
      <c r="Q258" s="13">
        <f t="shared" si="31"/>
        <v>59.283450001600499</v>
      </c>
    </row>
    <row r="259" spans="1:17">
      <c r="A259" s="28">
        <v>37223</v>
      </c>
      <c r="B259">
        <f>Prestiti!B259+Prestiti!C259+Prestiti!D259</f>
        <v>60061.590000000004</v>
      </c>
      <c r="C259">
        <f>Prestiti!E259+Prestiti!F259</f>
        <v>5634.0999999999995</v>
      </c>
      <c r="D259">
        <f>Prestiti!G259</f>
        <v>76603.3</v>
      </c>
      <c r="E259">
        <f>Prestiti!H259+Prestiti!K259+Prestiti!L259</f>
        <v>350035.92000000004</v>
      </c>
      <c r="F259">
        <f>Prestiti!I259+Prestiti!J259</f>
        <v>57097.8</v>
      </c>
      <c r="G259">
        <f>Prestiti!M259+Prestiti!N259+Prestiti!O259+Prestiti!P259</f>
        <v>769554.98</v>
      </c>
      <c r="H259">
        <f t="shared" si="24"/>
        <v>775189.08</v>
      </c>
      <c r="I259">
        <f>SUM(B259:G259)</f>
        <v>1318987.69</v>
      </c>
      <c r="K259" s="13">
        <f t="shared" si="25"/>
        <v>4.5536126269684907</v>
      </c>
      <c r="L259" s="13">
        <f t="shared" si="26"/>
        <v>0.42715334212103218</v>
      </c>
      <c r="M259" s="13">
        <f t="shared" si="27"/>
        <v>5.8077342632363766</v>
      </c>
      <c r="N259" s="13">
        <f t="shared" si="28"/>
        <v>26.538224932182651</v>
      </c>
      <c r="O259" s="13">
        <f t="shared" si="29"/>
        <v>4.3289107573096457</v>
      </c>
      <c r="P259" s="13">
        <f t="shared" si="30"/>
        <v>58.344364078181812</v>
      </c>
      <c r="Q259" s="13">
        <f t="shared" si="31"/>
        <v>58.771517420302835</v>
      </c>
    </row>
    <row r="260" spans="1:17">
      <c r="A260" s="28">
        <v>37192</v>
      </c>
      <c r="B260">
        <f>Prestiti!B260+Prestiti!C260+Prestiti!D260</f>
        <v>67812.689999999988</v>
      </c>
      <c r="C260">
        <f>Prestiti!E260+Prestiti!F260</f>
        <v>6271.97</v>
      </c>
      <c r="D260">
        <f>Prestiti!G260</f>
        <v>72838.89</v>
      </c>
      <c r="E260">
        <f>Prestiti!H260+Prestiti!K260+Prestiti!L260</f>
        <v>330967.37</v>
      </c>
      <c r="F260">
        <f>Prestiti!I260+Prestiti!J260</f>
        <v>55825.43</v>
      </c>
      <c r="G260">
        <f>Prestiti!M260+Prestiti!N260+Prestiti!O260+Prestiti!P260</f>
        <v>758348.54999999993</v>
      </c>
      <c r="H260">
        <f t="shared" ref="H260:H293" si="32">G260+C260</f>
        <v>764620.5199999999</v>
      </c>
      <c r="I260">
        <f t="shared" ref="I260:I293" si="33">SUM(B260:G260)</f>
        <v>1292064.8999999999</v>
      </c>
      <c r="K260" s="13">
        <f t="shared" ref="K260:K293" si="34">B260/I260*100</f>
        <v>5.2483965782214179</v>
      </c>
      <c r="L260" s="13">
        <f t="shared" ref="L260:L293" si="35">C260/I260*100</f>
        <v>0.4854222106025789</v>
      </c>
      <c r="M260" s="13">
        <f t="shared" ref="M260:M293" si="36">D260/I260*100</f>
        <v>5.6374018054356254</v>
      </c>
      <c r="N260" s="13">
        <f t="shared" ref="N260:N293" si="37">E260/I260*100</f>
        <v>25.61538278766028</v>
      </c>
      <c r="O260" s="13">
        <f t="shared" ref="O260:O293" si="38">F260/I260*100</f>
        <v>4.3206366800924636</v>
      </c>
      <c r="P260" s="13">
        <f t="shared" ref="P260:P293" si="39">G260/I260*100</f>
        <v>58.692759937987638</v>
      </c>
      <c r="Q260" s="13">
        <f t="shared" ref="Q260:Q293" si="40">H260/I260*100</f>
        <v>59.17818214859021</v>
      </c>
    </row>
    <row r="261" spans="1:17">
      <c r="A261" s="28">
        <v>37162</v>
      </c>
      <c r="B261">
        <f>Prestiti!B261+Prestiti!C261+Prestiti!D261</f>
        <v>67080.48000000001</v>
      </c>
      <c r="C261">
        <f>Prestiti!E261+Prestiti!F261</f>
        <v>5639.58</v>
      </c>
      <c r="D261">
        <f>Prestiti!G261</f>
        <v>75664.69</v>
      </c>
      <c r="E261">
        <f>Prestiti!H261+Prestiti!K261+Prestiti!L261</f>
        <v>332354.52999999997</v>
      </c>
      <c r="F261">
        <f>Prestiti!I261+Prestiti!J261</f>
        <v>55546.95</v>
      </c>
      <c r="G261">
        <f>Prestiti!M261+Prestiti!N261+Prestiti!O261+Prestiti!P261</f>
        <v>751908.55</v>
      </c>
      <c r="H261">
        <f t="shared" si="32"/>
        <v>757548.13</v>
      </c>
      <c r="I261">
        <f t="shared" si="33"/>
        <v>1288194.78</v>
      </c>
      <c r="K261" s="13">
        <f t="shared" si="34"/>
        <v>5.2073243147282442</v>
      </c>
      <c r="L261" s="13">
        <f t="shared" si="35"/>
        <v>0.4377893846146465</v>
      </c>
      <c r="M261" s="13">
        <f t="shared" si="36"/>
        <v>5.8736994726837812</v>
      </c>
      <c r="N261" s="13">
        <f t="shared" si="37"/>
        <v>25.800021484328635</v>
      </c>
      <c r="O261" s="13">
        <f t="shared" si="38"/>
        <v>4.3119993080549506</v>
      </c>
      <c r="P261" s="13">
        <f t="shared" si="39"/>
        <v>58.36916603558975</v>
      </c>
      <c r="Q261" s="13">
        <f t="shared" si="40"/>
        <v>58.806955420204389</v>
      </c>
    </row>
    <row r="262" spans="1:17">
      <c r="A262" s="28">
        <v>37131</v>
      </c>
      <c r="B262">
        <f>Prestiti!B262+Prestiti!C262+Prestiti!D262</f>
        <v>65920.709999999992</v>
      </c>
      <c r="C262">
        <f>Prestiti!E262+Prestiti!F262</f>
        <v>5934.23</v>
      </c>
      <c r="D262">
        <f>Prestiti!G262</f>
        <v>68489.279999999999</v>
      </c>
      <c r="E262">
        <f>Prestiti!H262+Prestiti!K262+Prestiti!L262</f>
        <v>326127.09999999998</v>
      </c>
      <c r="F262">
        <f>Prestiti!I262+Prestiti!J262</f>
        <v>54701.78</v>
      </c>
      <c r="G262">
        <f>Prestiti!M262+Prestiti!N262+Prestiti!O262+Prestiti!P262</f>
        <v>749888.47</v>
      </c>
      <c r="H262">
        <f t="shared" si="32"/>
        <v>755822.7</v>
      </c>
      <c r="I262">
        <f t="shared" si="33"/>
        <v>1271061.5699999998</v>
      </c>
      <c r="K262" s="13">
        <f t="shared" si="34"/>
        <v>5.1862719757942175</v>
      </c>
      <c r="L262" s="13">
        <f t="shared" si="35"/>
        <v>0.46687195491245959</v>
      </c>
      <c r="M262" s="13">
        <f t="shared" si="36"/>
        <v>5.3883526665037955</v>
      </c>
      <c r="N262" s="13">
        <f t="shared" si="37"/>
        <v>25.657852278548553</v>
      </c>
      <c r="O262" s="13">
        <f t="shared" si="38"/>
        <v>4.3036294457395954</v>
      </c>
      <c r="P262" s="13">
        <f t="shared" si="39"/>
        <v>58.997021678501383</v>
      </c>
      <c r="Q262" s="13">
        <f t="shared" si="40"/>
        <v>59.463893633413846</v>
      </c>
    </row>
    <row r="263" spans="1:17">
      <c r="A263" s="28">
        <v>37100</v>
      </c>
      <c r="B263">
        <f>Prestiti!B263+Prestiti!C263+Prestiti!D263</f>
        <v>65081.729999999996</v>
      </c>
      <c r="C263">
        <f>Prestiti!E263+Prestiti!F263</f>
        <v>6446.66</v>
      </c>
      <c r="D263">
        <f>Prestiti!G263</f>
        <v>71592.09</v>
      </c>
      <c r="E263">
        <f>Prestiti!H263+Prestiti!K263+Prestiti!L263</f>
        <v>333619.97000000003</v>
      </c>
      <c r="F263">
        <f>Prestiti!I263+Prestiti!J263</f>
        <v>56139.9</v>
      </c>
      <c r="G263">
        <f>Prestiti!M263+Prestiti!N263+Prestiti!O263+Prestiti!P263</f>
        <v>752353.84</v>
      </c>
      <c r="H263">
        <f t="shared" si="32"/>
        <v>758800.5</v>
      </c>
      <c r="I263">
        <f t="shared" si="33"/>
        <v>1285234.19</v>
      </c>
      <c r="K263" s="13">
        <f t="shared" si="34"/>
        <v>5.0638031968321666</v>
      </c>
      <c r="L263" s="13">
        <f t="shared" si="35"/>
        <v>0.50159418805999867</v>
      </c>
      <c r="M263" s="13">
        <f t="shared" si="36"/>
        <v>5.5703536800557725</v>
      </c>
      <c r="N263" s="13">
        <f t="shared" si="37"/>
        <v>25.957912775414112</v>
      </c>
      <c r="O263" s="13">
        <f t="shared" si="38"/>
        <v>4.3680677371335728</v>
      </c>
      <c r="P263" s="13">
        <f t="shared" si="39"/>
        <v>58.53826842250438</v>
      </c>
      <c r="Q263" s="13">
        <f t="shared" si="40"/>
        <v>59.039862610564384</v>
      </c>
    </row>
    <row r="264" spans="1:17">
      <c r="A264" s="28">
        <v>37070</v>
      </c>
      <c r="B264">
        <f>Prestiti!B264+Prestiti!C264+Prestiti!D264</f>
        <v>68674.040000000008</v>
      </c>
      <c r="C264">
        <f>Prestiti!E264+Prestiti!F264</f>
        <v>6412.86</v>
      </c>
      <c r="D264">
        <f>Prestiti!G264</f>
        <v>73534.06</v>
      </c>
      <c r="E264">
        <f>Prestiti!H264+Prestiti!K264+Prestiti!L264</f>
        <v>331663.04000000004</v>
      </c>
      <c r="F264">
        <f>Prestiti!I264+Prestiti!J264</f>
        <v>58905.86</v>
      </c>
      <c r="G264">
        <f>Prestiti!M264+Prestiti!N264+Prestiti!O264+Prestiti!P264</f>
        <v>746404.22</v>
      </c>
      <c r="H264">
        <f t="shared" si="32"/>
        <v>752817.08</v>
      </c>
      <c r="I264">
        <f t="shared" si="33"/>
        <v>1285594.08</v>
      </c>
      <c r="K264" s="13">
        <f t="shared" si="34"/>
        <v>5.3418136461860497</v>
      </c>
      <c r="L264" s="13">
        <f t="shared" si="35"/>
        <v>0.49882463677804112</v>
      </c>
      <c r="M264" s="13">
        <f t="shared" si="36"/>
        <v>5.719850545671461</v>
      </c>
      <c r="N264" s="13">
        <f t="shared" si="37"/>
        <v>25.798426203082702</v>
      </c>
      <c r="O264" s="13">
        <f t="shared" si="38"/>
        <v>4.5819952749004562</v>
      </c>
      <c r="P264" s="13">
        <f t="shared" si="39"/>
        <v>58.059089693381281</v>
      </c>
      <c r="Q264" s="13">
        <f t="shared" si="40"/>
        <v>58.557914330159321</v>
      </c>
    </row>
    <row r="265" spans="1:17">
      <c r="A265" s="28">
        <v>37039</v>
      </c>
      <c r="B265">
        <f>Prestiti!B265+Prestiti!C265+Prestiti!D265</f>
        <v>72397.25</v>
      </c>
      <c r="C265">
        <f>Prestiti!E265+Prestiti!F265</f>
        <v>5775.62</v>
      </c>
      <c r="D265">
        <f>Prestiti!G265</f>
        <v>70976.42</v>
      </c>
      <c r="E265">
        <f>Prestiti!H265+Prestiti!K265+Prestiti!L265</f>
        <v>319875.06</v>
      </c>
      <c r="F265">
        <f>Prestiti!I265+Prestiti!J265</f>
        <v>58148.800000000003</v>
      </c>
      <c r="G265">
        <f>Prestiti!M265+Prestiti!N265+Prestiti!O265+Prestiti!P265</f>
        <v>737459.10999999987</v>
      </c>
      <c r="H265">
        <f t="shared" si="32"/>
        <v>743234.72999999986</v>
      </c>
      <c r="I265">
        <f t="shared" si="33"/>
        <v>1264632.2599999998</v>
      </c>
      <c r="K265" s="13">
        <f t="shared" si="34"/>
        <v>5.7247669769233953</v>
      </c>
      <c r="L265" s="13">
        <f t="shared" si="35"/>
        <v>0.45670351632497502</v>
      </c>
      <c r="M265" s="13">
        <f t="shared" si="36"/>
        <v>5.6124157389437466</v>
      </c>
      <c r="N265" s="13">
        <f t="shared" si="37"/>
        <v>25.293919040148481</v>
      </c>
      <c r="O265" s="13">
        <f t="shared" si="38"/>
        <v>4.5980797611473241</v>
      </c>
      <c r="P265" s="13">
        <f t="shared" si="39"/>
        <v>58.314114966512086</v>
      </c>
      <c r="Q265" s="13">
        <f t="shared" si="40"/>
        <v>58.770818482837065</v>
      </c>
    </row>
    <row r="266" spans="1:17">
      <c r="A266" s="28">
        <v>37009</v>
      </c>
      <c r="B266">
        <f>Prestiti!B266+Prestiti!C266+Prestiti!D266</f>
        <v>66306.849999999991</v>
      </c>
      <c r="C266">
        <f>Prestiti!E266+Prestiti!F266</f>
        <v>5754.0599999999995</v>
      </c>
      <c r="D266">
        <f>Prestiti!G266</f>
        <v>72556.63</v>
      </c>
      <c r="E266">
        <f>Prestiti!H266+Prestiti!K266+Prestiti!L266</f>
        <v>309437.74000000005</v>
      </c>
      <c r="F266">
        <f>Prestiti!I266+Prestiti!J266</f>
        <v>59340.31</v>
      </c>
      <c r="G266">
        <f>Prestiti!M266+Prestiti!N266+Prestiti!O266+Prestiti!P266</f>
        <v>744045.33</v>
      </c>
      <c r="H266">
        <f t="shared" si="32"/>
        <v>749799.39</v>
      </c>
      <c r="I266">
        <f t="shared" si="33"/>
        <v>1257440.92</v>
      </c>
      <c r="K266" s="13">
        <f t="shared" si="34"/>
        <v>5.2731582808677802</v>
      </c>
      <c r="L266" s="13">
        <f t="shared" si="35"/>
        <v>0.45760082310666333</v>
      </c>
      <c r="M266" s="13">
        <f t="shared" si="36"/>
        <v>5.7701820297052215</v>
      </c>
      <c r="N266" s="13">
        <f t="shared" si="37"/>
        <v>24.608531110948743</v>
      </c>
      <c r="O266" s="13">
        <f t="shared" si="38"/>
        <v>4.7191330468233854</v>
      </c>
      <c r="P266" s="13">
        <f t="shared" si="39"/>
        <v>59.17139470854822</v>
      </c>
      <c r="Q266" s="13">
        <f t="shared" si="40"/>
        <v>59.62899553165488</v>
      </c>
    </row>
    <row r="267" spans="1:17">
      <c r="A267" s="28">
        <v>36978</v>
      </c>
      <c r="B267">
        <f>Prestiti!B267+Prestiti!C267+Prestiti!D267</f>
        <v>70055.5</v>
      </c>
      <c r="C267">
        <f>Prestiti!E267+Prestiti!F267</f>
        <v>5996.34</v>
      </c>
      <c r="D267">
        <f>Prestiti!G267</f>
        <v>78691.789999999994</v>
      </c>
      <c r="E267">
        <f>Prestiti!H267+Prestiti!K267+Prestiti!L267</f>
        <v>311736.25</v>
      </c>
      <c r="F267">
        <f>Prestiti!I267+Prestiti!J267</f>
        <v>59334.67</v>
      </c>
      <c r="G267">
        <f>Prestiti!M267+Prestiti!N267+Prestiti!O267+Prestiti!P267</f>
        <v>737176.16</v>
      </c>
      <c r="H267">
        <f t="shared" si="32"/>
        <v>743172.5</v>
      </c>
      <c r="I267">
        <f t="shared" si="33"/>
        <v>1262990.71</v>
      </c>
      <c r="K267" s="13">
        <f t="shared" si="34"/>
        <v>5.5467945603495377</v>
      </c>
      <c r="L267" s="13">
        <f t="shared" si="35"/>
        <v>0.47477308839429233</v>
      </c>
      <c r="M267" s="13">
        <f t="shared" si="36"/>
        <v>6.2305913556561308</v>
      </c>
      <c r="N267" s="13">
        <f t="shared" si="37"/>
        <v>24.682386618663251</v>
      </c>
      <c r="O267" s="13">
        <f t="shared" si="38"/>
        <v>4.6979498368598449</v>
      </c>
      <c r="P267" s="13">
        <f t="shared" si="39"/>
        <v>58.367504540076943</v>
      </c>
      <c r="Q267" s="13">
        <f t="shared" si="40"/>
        <v>58.842277628471237</v>
      </c>
    </row>
    <row r="268" spans="1:17">
      <c r="A268" s="28">
        <v>36950</v>
      </c>
      <c r="B268">
        <f>Prestiti!B268+Prestiti!C268+Prestiti!D268</f>
        <v>62896.429999999993</v>
      </c>
      <c r="C268">
        <f>Prestiti!E268+Prestiti!F268</f>
        <v>5588.7199999999993</v>
      </c>
      <c r="D268">
        <f>Prestiti!G268</f>
        <v>68917.009999999995</v>
      </c>
      <c r="E268">
        <f>Prestiti!H268+Prestiti!K268+Prestiti!L268</f>
        <v>295689</v>
      </c>
      <c r="F268">
        <f>Prestiti!I268+Prestiti!J268</f>
        <v>59708.55</v>
      </c>
      <c r="G268">
        <f>Prestiti!M268+Prestiti!N268+Prestiti!O268+Prestiti!P268</f>
        <v>726184.72</v>
      </c>
      <c r="H268">
        <f t="shared" si="32"/>
        <v>731773.43999999994</v>
      </c>
      <c r="I268">
        <f t="shared" si="33"/>
        <v>1218984.43</v>
      </c>
      <c r="K268" s="13">
        <f t="shared" si="34"/>
        <v>5.159740227362871</v>
      </c>
      <c r="L268" s="13">
        <f t="shared" si="35"/>
        <v>0.45847345236394849</v>
      </c>
      <c r="M268" s="13">
        <f t="shared" si="36"/>
        <v>5.6536415317462261</v>
      </c>
      <c r="N268" s="13">
        <f t="shared" si="37"/>
        <v>24.25699563693361</v>
      </c>
      <c r="O268" s="13">
        <f t="shared" si="38"/>
        <v>4.8982208903193296</v>
      </c>
      <c r="P268" s="13">
        <f t="shared" si="39"/>
        <v>59.572928261274015</v>
      </c>
      <c r="Q268" s="13">
        <f t="shared" si="40"/>
        <v>60.031401713637969</v>
      </c>
    </row>
    <row r="269" spans="1:17">
      <c r="A269" s="28">
        <v>36919</v>
      </c>
      <c r="B269">
        <f>Prestiti!B269+Prestiti!C269+Prestiti!D269</f>
        <v>64255.11</v>
      </c>
      <c r="C269">
        <f>Prestiti!E269+Prestiti!F269</f>
        <v>5728.4900000000007</v>
      </c>
      <c r="D269">
        <f>Prestiti!G269</f>
        <v>67205.740000000005</v>
      </c>
      <c r="E269">
        <f>Prestiti!H269+Prestiti!K269+Prestiti!L269</f>
        <v>306805.32</v>
      </c>
      <c r="F269">
        <f>Prestiti!I269+Prestiti!J269</f>
        <v>59623.96</v>
      </c>
      <c r="G269">
        <f>Prestiti!M269+Prestiti!N269+Prestiti!O269+Prestiti!P269</f>
        <v>723897.03999999992</v>
      </c>
      <c r="H269">
        <f t="shared" si="32"/>
        <v>729625.52999999991</v>
      </c>
      <c r="I269">
        <f t="shared" si="33"/>
        <v>1227515.6599999999</v>
      </c>
      <c r="K269" s="13">
        <f t="shared" si="34"/>
        <v>5.2345653985383782</v>
      </c>
      <c r="L269" s="13">
        <f t="shared" si="35"/>
        <v>0.46667347608420745</v>
      </c>
      <c r="M269" s="13">
        <f t="shared" si="36"/>
        <v>5.4749395213418302</v>
      </c>
      <c r="N269" s="13">
        <f t="shared" si="37"/>
        <v>24.994004557139419</v>
      </c>
      <c r="O269" s="13">
        <f t="shared" si="38"/>
        <v>4.8572871159949198</v>
      </c>
      <c r="P269" s="13">
        <f t="shared" si="39"/>
        <v>58.972529930901239</v>
      </c>
      <c r="Q269" s="13">
        <f t="shared" si="40"/>
        <v>59.439203406985456</v>
      </c>
    </row>
    <row r="270" spans="1:17">
      <c r="A270" s="28">
        <v>36888</v>
      </c>
      <c r="B270">
        <f>Prestiti!B270+Prestiti!C270+Prestiti!D270</f>
        <v>68608.479999999996</v>
      </c>
      <c r="C270">
        <f>Prestiti!E270+Prestiti!F270</f>
        <v>6032.73</v>
      </c>
      <c r="D270">
        <f>Prestiti!G270</f>
        <v>69307.88</v>
      </c>
      <c r="E270">
        <f>Prestiti!H270+Prestiti!K270+Prestiti!L270</f>
        <v>324098.68</v>
      </c>
      <c r="F270">
        <f>Prestiti!I270+Prestiti!J270</f>
        <v>60548.93</v>
      </c>
      <c r="G270">
        <f>Prestiti!M270+Prestiti!N270+Prestiti!O270+Prestiti!P270</f>
        <v>725859.65</v>
      </c>
      <c r="H270">
        <f t="shared" si="32"/>
        <v>731892.38</v>
      </c>
      <c r="I270">
        <f t="shared" si="33"/>
        <v>1254456.3500000001</v>
      </c>
      <c r="K270" s="13">
        <f t="shared" si="34"/>
        <v>5.4691803345728207</v>
      </c>
      <c r="L270" s="13">
        <f t="shared" si="35"/>
        <v>0.48090393898520256</v>
      </c>
      <c r="M270" s="13">
        <f t="shared" si="36"/>
        <v>5.5249335698288746</v>
      </c>
      <c r="N270" s="13">
        <f t="shared" si="37"/>
        <v>25.835787749808908</v>
      </c>
      <c r="O270" s="13">
        <f t="shared" si="38"/>
        <v>4.8267068041068146</v>
      </c>
      <c r="P270" s="13">
        <f t="shared" si="39"/>
        <v>57.862487602697378</v>
      </c>
      <c r="Q270" s="13">
        <f t="shared" si="40"/>
        <v>58.343391541682578</v>
      </c>
    </row>
    <row r="271" spans="1:17">
      <c r="A271" s="28">
        <v>36858</v>
      </c>
      <c r="B271">
        <f>Prestiti!B271+Prestiti!C271+Prestiti!D271</f>
        <v>64703.450000000004</v>
      </c>
      <c r="C271">
        <f>Prestiti!E271+Prestiti!F271</f>
        <v>5472.14</v>
      </c>
      <c r="D271">
        <f>Prestiti!G271</f>
        <v>68814.490000000005</v>
      </c>
      <c r="E271">
        <f>Prestiti!H271+Prestiti!K271+Prestiti!L271</f>
        <v>314542.09000000003</v>
      </c>
      <c r="F271">
        <f>Prestiti!I271+Prestiti!J271</f>
        <v>58729.9</v>
      </c>
      <c r="G271">
        <f>Prestiti!M271+Prestiti!N271+Prestiti!O271+Prestiti!P271</f>
        <v>723291.84</v>
      </c>
      <c r="H271">
        <f t="shared" si="32"/>
        <v>728763.98</v>
      </c>
      <c r="I271">
        <f t="shared" si="33"/>
        <v>1235553.9100000001</v>
      </c>
      <c r="K271" s="13">
        <f t="shared" si="34"/>
        <v>5.2367969925326854</v>
      </c>
      <c r="L271" s="13">
        <f t="shared" si="35"/>
        <v>0.44288961863266652</v>
      </c>
      <c r="M271" s="13">
        <f t="shared" si="36"/>
        <v>5.5695254932259495</v>
      </c>
      <c r="N271" s="13">
        <f t="shared" si="37"/>
        <v>25.457577160676053</v>
      </c>
      <c r="O271" s="13">
        <f t="shared" si="38"/>
        <v>4.7533255752474606</v>
      </c>
      <c r="P271" s="13">
        <f t="shared" si="39"/>
        <v>58.53988515968517</v>
      </c>
      <c r="Q271" s="13">
        <f t="shared" si="40"/>
        <v>58.98277477831784</v>
      </c>
    </row>
    <row r="272" spans="1:17">
      <c r="A272" s="28">
        <v>36827</v>
      </c>
      <c r="B272">
        <f>Prestiti!B272+Prestiti!C272+Prestiti!D272</f>
        <v>65277.020000000004</v>
      </c>
      <c r="C272">
        <f>Prestiti!E272+Prestiti!F272</f>
        <v>5469.15</v>
      </c>
      <c r="D272">
        <f>Prestiti!G272</f>
        <v>69307.899999999994</v>
      </c>
      <c r="E272">
        <f>Prestiti!H272+Prestiti!K272+Prestiti!L272</f>
        <v>306005.12999999995</v>
      </c>
      <c r="F272">
        <f>Prestiti!I272+Prestiti!J272</f>
        <v>57661.119999999995</v>
      </c>
      <c r="G272">
        <f>Prestiti!M272+Prestiti!N272+Prestiti!O272+Prestiti!P272</f>
        <v>708161.89</v>
      </c>
      <c r="H272">
        <f t="shared" si="32"/>
        <v>713631.04</v>
      </c>
      <c r="I272">
        <f t="shared" si="33"/>
        <v>1211882.21</v>
      </c>
      <c r="K272" s="13">
        <f t="shared" si="34"/>
        <v>5.3864162260455997</v>
      </c>
      <c r="L272" s="13">
        <f t="shared" si="35"/>
        <v>0.45129385965654206</v>
      </c>
      <c r="M272" s="13">
        <f t="shared" si="36"/>
        <v>5.719029409632145</v>
      </c>
      <c r="N272" s="13">
        <f t="shared" si="37"/>
        <v>25.250402017205943</v>
      </c>
      <c r="O272" s="13">
        <f t="shared" si="38"/>
        <v>4.7579805631440033</v>
      </c>
      <c r="P272" s="13">
        <f t="shared" si="39"/>
        <v>58.434877924315764</v>
      </c>
      <c r="Q272" s="13">
        <f t="shared" si="40"/>
        <v>58.886171783972308</v>
      </c>
    </row>
    <row r="273" spans="1:17">
      <c r="A273" s="28">
        <v>36797</v>
      </c>
      <c r="B273">
        <f>Prestiti!B273+Prestiti!C273+Prestiti!D273</f>
        <v>63634.35</v>
      </c>
      <c r="C273">
        <f>Prestiti!E273+Prestiti!F273</f>
        <v>5070.2300000000005</v>
      </c>
      <c r="D273">
        <f>Prestiti!G273</f>
        <v>69600.92</v>
      </c>
      <c r="E273">
        <f>Prestiti!H273+Prestiti!K273+Prestiti!L273</f>
        <v>288999.7</v>
      </c>
      <c r="F273">
        <f>Prestiti!I273+Prestiti!J273</f>
        <v>57657.86</v>
      </c>
      <c r="G273">
        <f>Prestiti!M273+Prestiti!N273+Prestiti!O273+Prestiti!P273</f>
        <v>701937.93</v>
      </c>
      <c r="H273">
        <f t="shared" si="32"/>
        <v>707008.16</v>
      </c>
      <c r="I273">
        <f t="shared" si="33"/>
        <v>1186900.99</v>
      </c>
      <c r="K273" s="13">
        <f t="shared" si="34"/>
        <v>5.3613865466571058</v>
      </c>
      <c r="L273" s="13">
        <f t="shared" si="35"/>
        <v>0.42718222014458007</v>
      </c>
      <c r="M273" s="13">
        <f t="shared" si="36"/>
        <v>5.8640881241492604</v>
      </c>
      <c r="N273" s="13">
        <f t="shared" si="37"/>
        <v>24.349099245422316</v>
      </c>
      <c r="O273" s="13">
        <f t="shared" si="38"/>
        <v>4.8578491791467799</v>
      </c>
      <c r="P273" s="13">
        <f t="shared" si="39"/>
        <v>59.140394684479958</v>
      </c>
      <c r="Q273" s="13">
        <f t="shared" si="40"/>
        <v>59.567576904624545</v>
      </c>
    </row>
    <row r="274" spans="1:17">
      <c r="A274" s="28">
        <v>36766</v>
      </c>
      <c r="B274">
        <f>Prestiti!B274+Prestiti!C274+Prestiti!D274</f>
        <v>62053.359999999993</v>
      </c>
      <c r="C274">
        <f>Prestiti!E274+Prestiti!F274</f>
        <v>4677.5300000000007</v>
      </c>
      <c r="D274">
        <f>Prestiti!G274</f>
        <v>68295</v>
      </c>
      <c r="E274">
        <f>Prestiti!H274+Prestiti!K274+Prestiti!L274</f>
        <v>287319.98</v>
      </c>
      <c r="F274">
        <f>Prestiti!I274+Prestiti!J274</f>
        <v>57182.29</v>
      </c>
      <c r="G274">
        <f>Prestiti!M274+Prestiti!N274+Prestiti!O274+Prestiti!P274</f>
        <v>698095.26</v>
      </c>
      <c r="H274">
        <f t="shared" si="32"/>
        <v>702772.79</v>
      </c>
      <c r="I274">
        <f t="shared" si="33"/>
        <v>1177623.42</v>
      </c>
      <c r="K274" s="13">
        <f t="shared" si="34"/>
        <v>5.2693721053883253</v>
      </c>
      <c r="L274" s="13">
        <f t="shared" si="35"/>
        <v>0.39720083012615365</v>
      </c>
      <c r="M274" s="13">
        <f t="shared" si="36"/>
        <v>5.7993921350511188</v>
      </c>
      <c r="N274" s="13">
        <f t="shared" si="37"/>
        <v>24.398290244601284</v>
      </c>
      <c r="O274" s="13">
        <f t="shared" si="38"/>
        <v>4.855736479833257</v>
      </c>
      <c r="P274" s="13">
        <f t="shared" si="39"/>
        <v>59.280008204999866</v>
      </c>
      <c r="Q274" s="13">
        <f t="shared" si="40"/>
        <v>59.677209035126019</v>
      </c>
    </row>
    <row r="275" spans="1:17">
      <c r="A275" s="28">
        <v>36735</v>
      </c>
      <c r="B275">
        <f>Prestiti!B275+Prestiti!C275+Prestiti!D275</f>
        <v>60247.54</v>
      </c>
      <c r="C275">
        <f>Prestiti!E275+Prestiti!F275</f>
        <v>4793.78</v>
      </c>
      <c r="D275">
        <f>Prestiti!G275</f>
        <v>66236.31</v>
      </c>
      <c r="E275">
        <f>Prestiti!H275+Prestiti!K275+Prestiti!L275</f>
        <v>297871.72000000003</v>
      </c>
      <c r="F275">
        <f>Prestiti!I275+Prestiti!J275</f>
        <v>58083.47</v>
      </c>
      <c r="G275">
        <f>Prestiti!M275+Prestiti!N275+Prestiti!O275+Prestiti!P275</f>
        <v>694450.18</v>
      </c>
      <c r="H275">
        <f t="shared" si="32"/>
        <v>699243.96000000008</v>
      </c>
      <c r="I275">
        <f t="shared" si="33"/>
        <v>1181683</v>
      </c>
      <c r="K275" s="13">
        <f t="shared" si="34"/>
        <v>5.09845195369655</v>
      </c>
      <c r="L275" s="13">
        <f t="shared" si="35"/>
        <v>0.40567394131928775</v>
      </c>
      <c r="M275" s="13">
        <f t="shared" si="36"/>
        <v>5.6052520007480853</v>
      </c>
      <c r="N275" s="13">
        <f t="shared" si="37"/>
        <v>25.207413494143527</v>
      </c>
      <c r="O275" s="13">
        <f t="shared" si="38"/>
        <v>4.9153173905353631</v>
      </c>
      <c r="P275" s="13">
        <f t="shared" si="39"/>
        <v>58.7678912195572</v>
      </c>
      <c r="Q275" s="13">
        <f t="shared" si="40"/>
        <v>59.173565160876485</v>
      </c>
    </row>
    <row r="276" spans="1:17">
      <c r="A276" s="28">
        <v>36705</v>
      </c>
      <c r="B276">
        <f>Prestiti!B276+Prestiti!C276+Prestiti!D276</f>
        <v>69125.95</v>
      </c>
      <c r="C276">
        <f>Prestiti!E276+Prestiti!F276</f>
        <v>4450.9500000000007</v>
      </c>
      <c r="D276">
        <f>Prestiti!G276</f>
        <v>74771.199999999997</v>
      </c>
      <c r="E276">
        <f>Prestiti!H276+Prestiti!K276+Prestiti!L276</f>
        <v>312009.65999999997</v>
      </c>
      <c r="F276">
        <f>Prestiti!I276+Prestiti!J276</f>
        <v>59490.14</v>
      </c>
      <c r="G276">
        <f>Prestiti!M276+Prestiti!N276+Prestiti!O276+Prestiti!P276</f>
        <v>684556.83000000007</v>
      </c>
      <c r="H276">
        <f t="shared" si="32"/>
        <v>689007.78</v>
      </c>
      <c r="I276">
        <f t="shared" si="33"/>
        <v>1204404.73</v>
      </c>
      <c r="K276" s="13">
        <f t="shared" si="34"/>
        <v>5.7394286387433899</v>
      </c>
      <c r="L276" s="13">
        <f t="shared" si="35"/>
        <v>0.36955600464969951</v>
      </c>
      <c r="M276" s="13">
        <f t="shared" si="36"/>
        <v>6.2081456621313666</v>
      </c>
      <c r="N276" s="13">
        <f t="shared" si="37"/>
        <v>25.905715265664885</v>
      </c>
      <c r="O276" s="13">
        <f t="shared" si="38"/>
        <v>4.9393811331179345</v>
      </c>
      <c r="P276" s="13">
        <f t="shared" si="39"/>
        <v>56.837773295692728</v>
      </c>
      <c r="Q276" s="13">
        <f t="shared" si="40"/>
        <v>57.207329300342423</v>
      </c>
    </row>
    <row r="277" spans="1:17">
      <c r="A277" s="28">
        <v>36674</v>
      </c>
      <c r="B277">
        <f>Prestiti!B277+Prestiti!C277+Prestiti!D277</f>
        <v>79999.700000000012</v>
      </c>
      <c r="C277">
        <f>Prestiti!E277+Prestiti!F277</f>
        <v>4107.17</v>
      </c>
      <c r="D277">
        <f>Prestiti!G277</f>
        <v>77862.600000000006</v>
      </c>
      <c r="E277">
        <f>Prestiti!H277+Prestiti!K277+Prestiti!L277</f>
        <v>291558.23000000004</v>
      </c>
      <c r="F277">
        <f>Prestiti!I277+Prestiti!J277</f>
        <v>58928.66</v>
      </c>
      <c r="G277">
        <f>Prestiti!M277+Prestiti!N277+Prestiti!O277+Prestiti!P277</f>
        <v>673646.91</v>
      </c>
      <c r="H277">
        <f t="shared" si="32"/>
        <v>677754.08000000007</v>
      </c>
      <c r="I277">
        <f t="shared" si="33"/>
        <v>1186103.27</v>
      </c>
      <c r="K277" s="13">
        <f t="shared" si="34"/>
        <v>6.7447499744267638</v>
      </c>
      <c r="L277" s="13">
        <f t="shared" si="35"/>
        <v>0.34627423293420312</v>
      </c>
      <c r="M277" s="13">
        <f t="shared" si="36"/>
        <v>6.5645717341290197</v>
      </c>
      <c r="N277" s="13">
        <f t="shared" si="37"/>
        <v>24.581184233646034</v>
      </c>
      <c r="O277" s="13">
        <f t="shared" si="38"/>
        <v>4.9682571063141916</v>
      </c>
      <c r="P277" s="13">
        <f t="shared" si="39"/>
        <v>56.79496271854979</v>
      </c>
      <c r="Q277" s="13">
        <f t="shared" si="40"/>
        <v>57.141236951483997</v>
      </c>
    </row>
    <row r="278" spans="1:17">
      <c r="A278" s="28">
        <v>36644</v>
      </c>
      <c r="B278">
        <f>Prestiti!B278+Prestiti!C278+Prestiti!D278</f>
        <v>67707.17</v>
      </c>
      <c r="C278">
        <f>Prestiti!E278+Prestiti!F278</f>
        <v>4483.47</v>
      </c>
      <c r="D278">
        <f>Prestiti!G278</f>
        <v>72506.77</v>
      </c>
      <c r="E278">
        <f>Prestiti!H278+Prestiti!K278+Prestiti!L278</f>
        <v>285065.17000000004</v>
      </c>
      <c r="F278">
        <f>Prestiti!I278+Prestiti!J278</f>
        <v>59591.380000000005</v>
      </c>
      <c r="G278">
        <f>Prestiti!M278+Prestiti!N278+Prestiti!O278+Prestiti!P278</f>
        <v>669032.97000000009</v>
      </c>
      <c r="H278">
        <f t="shared" si="32"/>
        <v>673516.44000000006</v>
      </c>
      <c r="I278">
        <f t="shared" si="33"/>
        <v>1158386.9300000002</v>
      </c>
      <c r="K278" s="13">
        <f t="shared" si="34"/>
        <v>5.8449528604401628</v>
      </c>
      <c r="L278" s="13">
        <f t="shared" si="35"/>
        <v>0.38704424954104061</v>
      </c>
      <c r="M278" s="13">
        <f t="shared" si="36"/>
        <v>6.2592876457955189</v>
      </c>
      <c r="N278" s="13">
        <f t="shared" si="37"/>
        <v>24.608804072055612</v>
      </c>
      <c r="O278" s="13">
        <f t="shared" si="38"/>
        <v>5.1443415370717274</v>
      </c>
      <c r="P278" s="13">
        <f t="shared" si="39"/>
        <v>57.755569635095938</v>
      </c>
      <c r="Q278" s="13">
        <f t="shared" si="40"/>
        <v>58.142613884636972</v>
      </c>
    </row>
    <row r="279" spans="1:17">
      <c r="A279" s="28">
        <v>36613</v>
      </c>
      <c r="B279">
        <f>Prestiti!B279+Prestiti!C279+Prestiti!D279</f>
        <v>69423.88</v>
      </c>
      <c r="C279">
        <f>Prestiti!E279+Prestiti!F279</f>
        <v>4511.26</v>
      </c>
      <c r="D279">
        <f>Prestiti!G279</f>
        <v>69338.62</v>
      </c>
      <c r="E279">
        <f>Prestiti!H279+Prestiti!K279+Prestiti!L279</f>
        <v>287901.43</v>
      </c>
      <c r="F279">
        <f>Prestiti!I279+Prestiti!J279</f>
        <v>59347.55</v>
      </c>
      <c r="G279">
        <f>Prestiti!M279+Prestiti!N279+Prestiti!O279+Prestiti!P279</f>
        <v>663764.07000000007</v>
      </c>
      <c r="H279">
        <f t="shared" si="32"/>
        <v>668275.33000000007</v>
      </c>
      <c r="I279">
        <f t="shared" si="33"/>
        <v>1154286.81</v>
      </c>
      <c r="K279" s="13">
        <f t="shared" si="34"/>
        <v>6.0144393402537455</v>
      </c>
      <c r="L279" s="13">
        <f t="shared" si="35"/>
        <v>0.39082660920295886</v>
      </c>
      <c r="M279" s="13">
        <f t="shared" si="36"/>
        <v>6.0070529611267052</v>
      </c>
      <c r="N279" s="13">
        <f t="shared" si="37"/>
        <v>24.941931892992866</v>
      </c>
      <c r="O279" s="13">
        <f t="shared" si="38"/>
        <v>5.1414907877185225</v>
      </c>
      <c r="P279" s="13">
        <f t="shared" si="39"/>
        <v>57.504258408705198</v>
      </c>
      <c r="Q279" s="13">
        <f t="shared" si="40"/>
        <v>57.895085017908166</v>
      </c>
    </row>
    <row r="280" spans="1:17">
      <c r="A280" s="28">
        <v>36584</v>
      </c>
      <c r="B280">
        <f>Prestiti!B280+Prestiti!C280+Prestiti!D280</f>
        <v>63282.2</v>
      </c>
      <c r="C280">
        <f>Prestiti!E280+Prestiti!F280</f>
        <v>3883.3199999999997</v>
      </c>
      <c r="D280">
        <f>Prestiti!G280</f>
        <v>65099.28</v>
      </c>
      <c r="E280">
        <f>Prestiti!H280+Prestiti!K280+Prestiti!L280</f>
        <v>280004.95</v>
      </c>
      <c r="F280">
        <f>Prestiti!I280+Prestiti!J280</f>
        <v>59791.81</v>
      </c>
      <c r="G280">
        <f>Prestiti!M280+Prestiti!N280+Prestiti!O280+Prestiti!P280</f>
        <v>658462.4</v>
      </c>
      <c r="H280">
        <f t="shared" si="32"/>
        <v>662345.72</v>
      </c>
      <c r="I280">
        <f t="shared" si="33"/>
        <v>1130523.96</v>
      </c>
      <c r="K280" s="13">
        <f t="shared" si="34"/>
        <v>5.5975991875483997</v>
      </c>
      <c r="L280" s="13">
        <f t="shared" si="35"/>
        <v>0.34349736382411566</v>
      </c>
      <c r="M280" s="13">
        <f t="shared" si="36"/>
        <v>5.758328200315189</v>
      </c>
      <c r="N280" s="13">
        <f t="shared" si="37"/>
        <v>24.767714785982957</v>
      </c>
      <c r="O280" s="13">
        <f t="shared" si="38"/>
        <v>5.2888582741758077</v>
      </c>
      <c r="P280" s="13">
        <f t="shared" si="39"/>
        <v>58.244002188153544</v>
      </c>
      <c r="Q280" s="13">
        <f t="shared" si="40"/>
        <v>58.58749955197765</v>
      </c>
    </row>
    <row r="281" spans="1:17">
      <c r="A281" s="28">
        <v>36553</v>
      </c>
      <c r="B281">
        <f>Prestiti!B281+Prestiti!C281+Prestiti!D281</f>
        <v>61372.78</v>
      </c>
      <c r="C281">
        <f>Prestiti!E281+Prestiti!F281</f>
        <v>4173.76</v>
      </c>
      <c r="D281">
        <f>Prestiti!G281</f>
        <v>71765.22</v>
      </c>
      <c r="E281">
        <f>Prestiti!H281+Prestiti!K281+Prestiti!L281</f>
        <v>274796.89999999997</v>
      </c>
      <c r="F281">
        <f>Prestiti!I281+Prestiti!J281</f>
        <v>61068.29</v>
      </c>
      <c r="G281">
        <f>Prestiti!M281+Prestiti!N281+Prestiti!O281+Prestiti!P281</f>
        <v>654544.5</v>
      </c>
      <c r="H281">
        <f t="shared" si="32"/>
        <v>658718.26</v>
      </c>
      <c r="I281">
        <f t="shared" si="33"/>
        <v>1127721.45</v>
      </c>
      <c r="K281" s="13">
        <f t="shared" si="34"/>
        <v>5.4421931940728809</v>
      </c>
      <c r="L281" s="13">
        <f t="shared" si="35"/>
        <v>0.37010557882001804</v>
      </c>
      <c r="M281" s="13">
        <f t="shared" si="36"/>
        <v>6.3637363641526905</v>
      </c>
      <c r="N281" s="13">
        <f t="shared" si="37"/>
        <v>24.367444638035394</v>
      </c>
      <c r="O281" s="13">
        <f t="shared" si="38"/>
        <v>5.4151927322123736</v>
      </c>
      <c r="P281" s="13">
        <f t="shared" si="39"/>
        <v>58.041327492706642</v>
      </c>
      <c r="Q281" s="13">
        <f t="shared" si="40"/>
        <v>58.411433071526666</v>
      </c>
    </row>
    <row r="282" spans="1:17">
      <c r="A282" s="28">
        <v>36522</v>
      </c>
      <c r="B282">
        <f>Prestiti!B282+Prestiti!C282+Prestiti!D282</f>
        <v>66493.11</v>
      </c>
      <c r="C282">
        <f>Prestiti!E282+Prestiti!F282</f>
        <v>4012.34</v>
      </c>
      <c r="D282">
        <f>Prestiti!G282</f>
        <v>67629.48</v>
      </c>
      <c r="E282">
        <f>Prestiti!H282+Prestiti!K282+Prestiti!L282</f>
        <v>269539.45999999996</v>
      </c>
      <c r="F282">
        <f>Prestiti!I282+Prestiti!J282</f>
        <v>63160.350000000006</v>
      </c>
      <c r="G282">
        <f>Prestiti!M282+Prestiti!N282+Prestiti!O282+Prestiti!P282</f>
        <v>646537.52999999991</v>
      </c>
      <c r="H282">
        <f t="shared" si="32"/>
        <v>650549.86999999988</v>
      </c>
      <c r="I282">
        <f t="shared" si="33"/>
        <v>1117372.27</v>
      </c>
      <c r="K282" s="13">
        <f t="shared" si="34"/>
        <v>5.9508466233907882</v>
      </c>
      <c r="L282" s="13">
        <f t="shared" si="35"/>
        <v>0.35908712858965081</v>
      </c>
      <c r="M282" s="13">
        <f t="shared" si="36"/>
        <v>6.0525468383066281</v>
      </c>
      <c r="N282" s="13">
        <f t="shared" si="37"/>
        <v>24.122619402394868</v>
      </c>
      <c r="O282" s="13">
        <f t="shared" si="38"/>
        <v>5.6525789744182573</v>
      </c>
      <c r="P282" s="13">
        <f t="shared" si="39"/>
        <v>57.8623210328998</v>
      </c>
      <c r="Q282" s="13">
        <f t="shared" si="40"/>
        <v>58.221408161489443</v>
      </c>
    </row>
    <row r="283" spans="1:17">
      <c r="A283" s="28">
        <v>36492</v>
      </c>
      <c r="B283">
        <f>Prestiti!B283+Prestiti!C283+Prestiti!D283</f>
        <v>68599.13</v>
      </c>
      <c r="C283">
        <f>Prestiti!E283+Prestiti!F283</f>
        <v>4012.8700000000003</v>
      </c>
      <c r="D283">
        <f>Prestiti!G283</f>
        <v>68108.31</v>
      </c>
      <c r="E283">
        <f>Prestiti!H283+Prestiti!K283+Prestiti!L283</f>
        <v>249708.65</v>
      </c>
      <c r="F283">
        <f>Prestiti!I283+Prestiti!J283</f>
        <v>61505.43</v>
      </c>
      <c r="G283">
        <f>Prestiti!M283+Prestiti!N283+Prestiti!O283+Prestiti!P283</f>
        <v>642622.65</v>
      </c>
      <c r="H283">
        <f t="shared" si="32"/>
        <v>646635.52000000002</v>
      </c>
      <c r="I283">
        <f t="shared" si="33"/>
        <v>1094557.04</v>
      </c>
      <c r="K283" s="13">
        <f t="shared" si="34"/>
        <v>6.267296037856557</v>
      </c>
      <c r="L283" s="13">
        <f t="shared" si="35"/>
        <v>0.3666204549741876</v>
      </c>
      <c r="M283" s="13">
        <f t="shared" si="36"/>
        <v>6.2224541536912499</v>
      </c>
      <c r="N283" s="13">
        <f t="shared" si="37"/>
        <v>22.813671729707206</v>
      </c>
      <c r="O283" s="13">
        <f t="shared" si="38"/>
        <v>5.6192073827417897</v>
      </c>
      <c r="P283" s="13">
        <f t="shared" si="39"/>
        <v>58.710750241029011</v>
      </c>
      <c r="Q283" s="13">
        <f t="shared" si="40"/>
        <v>59.077370696003193</v>
      </c>
    </row>
    <row r="284" spans="1:17">
      <c r="A284" s="28">
        <v>36461</v>
      </c>
      <c r="B284">
        <f>Prestiti!B284+Prestiti!C284+Prestiti!D284</f>
        <v>63104.47</v>
      </c>
      <c r="C284">
        <f>Prestiti!E284+Prestiti!F284</f>
        <v>2340.41</v>
      </c>
      <c r="D284">
        <f>Prestiti!G284</f>
        <v>69357.23</v>
      </c>
      <c r="E284">
        <f>Prestiti!H284+Prestiti!K284+Prestiti!L284</f>
        <v>240566.96999999997</v>
      </c>
      <c r="F284">
        <f>Prestiti!I284+Prestiti!J284</f>
        <v>60647.51</v>
      </c>
      <c r="G284">
        <f>Prestiti!M284+Prestiti!N284+Prestiti!O284+Prestiti!P284</f>
        <v>625317.76</v>
      </c>
      <c r="H284">
        <f t="shared" si="32"/>
        <v>627658.17000000004</v>
      </c>
      <c r="I284">
        <f t="shared" si="33"/>
        <v>1061334.3500000001</v>
      </c>
      <c r="K284" s="13">
        <f t="shared" si="34"/>
        <v>5.9457672315985999</v>
      </c>
      <c r="L284" s="13">
        <f t="shared" si="35"/>
        <v>0.22051580635263521</v>
      </c>
      <c r="M284" s="13">
        <f t="shared" si="36"/>
        <v>6.5349086270504664</v>
      </c>
      <c r="N284" s="13">
        <f t="shared" si="37"/>
        <v>22.666464154297838</v>
      </c>
      <c r="O284" s="13">
        <f t="shared" si="38"/>
        <v>5.7142699659160181</v>
      </c>
      <c r="P284" s="13">
        <f t="shared" si="39"/>
        <v>58.918074214784433</v>
      </c>
      <c r="Q284" s="13">
        <f t="shared" si="40"/>
        <v>59.13859002113707</v>
      </c>
    </row>
    <row r="285" spans="1:17">
      <c r="A285" s="28">
        <v>36431</v>
      </c>
      <c r="B285">
        <f>Prestiti!B285+Prestiti!C285+Prestiti!D285</f>
        <v>62618.090000000004</v>
      </c>
      <c r="C285">
        <f>Prestiti!E285+Prestiti!F285</f>
        <v>2382.14</v>
      </c>
      <c r="D285">
        <f>Prestiti!G285</f>
        <v>69997.759999999995</v>
      </c>
      <c r="E285">
        <f>Prestiti!H285+Prestiti!K285+Prestiti!L285</f>
        <v>236984.46</v>
      </c>
      <c r="F285">
        <f>Prestiti!I285+Prestiti!J285</f>
        <v>60236.08</v>
      </c>
      <c r="G285">
        <f>Prestiti!M285+Prestiti!N285+Prestiti!O285+Prestiti!P285</f>
        <v>622565.17000000004</v>
      </c>
      <c r="H285">
        <f t="shared" si="32"/>
        <v>624947.31000000006</v>
      </c>
      <c r="I285">
        <f t="shared" si="33"/>
        <v>1054783.7</v>
      </c>
      <c r="K285" s="13">
        <f t="shared" si="34"/>
        <v>5.9365811208497066</v>
      </c>
      <c r="L285" s="13">
        <f t="shared" si="35"/>
        <v>0.22584156353572774</v>
      </c>
      <c r="M285" s="13">
        <f t="shared" si="36"/>
        <v>6.6362193499956437</v>
      </c>
      <c r="N285" s="13">
        <f t="shared" si="37"/>
        <v>22.467588378546235</v>
      </c>
      <c r="O285" s="13">
        <f t="shared" si="38"/>
        <v>5.710751882115737</v>
      </c>
      <c r="P285" s="13">
        <f t="shared" si="39"/>
        <v>59.023017704956956</v>
      </c>
      <c r="Q285" s="13">
        <f t="shared" si="40"/>
        <v>59.24885926849268</v>
      </c>
    </row>
    <row r="286" spans="1:17">
      <c r="A286" s="28">
        <v>36400</v>
      </c>
      <c r="B286">
        <f>Prestiti!B286+Prestiti!C286+Prestiti!D286</f>
        <v>64375</v>
      </c>
      <c r="C286">
        <f>Prestiti!E286+Prestiti!F286</f>
        <v>1972.98</v>
      </c>
      <c r="D286">
        <f>Prestiti!G286</f>
        <v>75707.240000000005</v>
      </c>
      <c r="E286">
        <f>Prestiti!H286+Prestiti!K286+Prestiti!L286</f>
        <v>234309.22</v>
      </c>
      <c r="F286">
        <f>Prestiti!I286+Prestiti!J286</f>
        <v>59980.100000000006</v>
      </c>
      <c r="G286">
        <f>Prestiti!M286+Prestiti!N286+Prestiti!O286+Prestiti!P286</f>
        <v>621483.03</v>
      </c>
      <c r="H286">
        <f t="shared" si="32"/>
        <v>623456.01</v>
      </c>
      <c r="I286">
        <f t="shared" si="33"/>
        <v>1057827.57</v>
      </c>
      <c r="K286" s="13">
        <f t="shared" si="34"/>
        <v>6.0855853851493018</v>
      </c>
      <c r="L286" s="13">
        <f t="shared" si="35"/>
        <v>0.18651243888453389</v>
      </c>
      <c r="M286" s="13">
        <f t="shared" si="36"/>
        <v>7.1568601676736412</v>
      </c>
      <c r="N286" s="13">
        <f t="shared" si="37"/>
        <v>22.150039065440502</v>
      </c>
      <c r="O286" s="13">
        <f t="shared" si="38"/>
        <v>5.6701206984045616</v>
      </c>
      <c r="P286" s="13">
        <f t="shared" si="39"/>
        <v>58.750882244447453</v>
      </c>
      <c r="Q286" s="13">
        <f t="shared" si="40"/>
        <v>58.937394683331988</v>
      </c>
    </row>
    <row r="287" spans="1:17">
      <c r="A287" s="28">
        <v>36369</v>
      </c>
      <c r="B287">
        <f>Prestiti!B287+Prestiti!C287+Prestiti!D287</f>
        <v>66698.98000000001</v>
      </c>
      <c r="C287">
        <f>Prestiti!E287+Prestiti!F287</f>
        <v>1970.93</v>
      </c>
      <c r="D287">
        <f>Prestiti!G287</f>
        <v>73492.38</v>
      </c>
      <c r="E287">
        <f>Prestiti!H287+Prestiti!K287+Prestiti!L287</f>
        <v>232074.59999999998</v>
      </c>
      <c r="F287">
        <f>Prestiti!I287+Prestiti!J287</f>
        <v>60198.15</v>
      </c>
      <c r="G287">
        <f>Prestiti!M287+Prestiti!N287+Prestiti!O287+Prestiti!P287</f>
        <v>625911.07000000007</v>
      </c>
      <c r="H287">
        <f t="shared" si="32"/>
        <v>627882.00000000012</v>
      </c>
      <c r="I287">
        <f t="shared" si="33"/>
        <v>1060346.1100000001</v>
      </c>
      <c r="K287" s="13">
        <f t="shared" si="34"/>
        <v>6.2903027012566683</v>
      </c>
      <c r="L287" s="13">
        <f t="shared" si="35"/>
        <v>0.18587610039895369</v>
      </c>
      <c r="M287" s="13">
        <f t="shared" si="36"/>
        <v>6.9309803003851256</v>
      </c>
      <c r="N287" s="13">
        <f t="shared" si="37"/>
        <v>21.886683773470907</v>
      </c>
      <c r="O287" s="13">
        <f t="shared" si="38"/>
        <v>5.6772170362373471</v>
      </c>
      <c r="P287" s="13">
        <f t="shared" si="39"/>
        <v>59.028940088250991</v>
      </c>
      <c r="Q287" s="13">
        <f t="shared" si="40"/>
        <v>59.214816188649955</v>
      </c>
    </row>
    <row r="288" spans="1:17">
      <c r="A288" s="28">
        <v>36339</v>
      </c>
      <c r="B288">
        <f>Prestiti!B288+Prestiti!C288+Prestiti!D288</f>
        <v>72351.98</v>
      </c>
      <c r="C288">
        <f>Prestiti!E288+Prestiti!F288</f>
        <v>2199.44</v>
      </c>
      <c r="D288">
        <f>Prestiti!G288</f>
        <v>78772.210000000006</v>
      </c>
      <c r="E288">
        <f>Prestiti!H288+Prestiti!K288+Prestiti!L288</f>
        <v>250405.02000000002</v>
      </c>
      <c r="F288">
        <f>Prestiti!I288+Prestiti!J288</f>
        <v>61755.67</v>
      </c>
      <c r="G288">
        <f>Prestiti!M288+Prestiti!N288+Prestiti!O288+Prestiti!P288</f>
        <v>618490.29</v>
      </c>
      <c r="H288">
        <f t="shared" si="32"/>
        <v>620689.73</v>
      </c>
      <c r="I288">
        <f t="shared" si="33"/>
        <v>1083974.6100000001</v>
      </c>
      <c r="K288" s="13">
        <f t="shared" si="34"/>
        <v>6.6746932384329547</v>
      </c>
      <c r="L288" s="13">
        <f t="shared" si="35"/>
        <v>0.20290512155077137</v>
      </c>
      <c r="M288" s="13">
        <f t="shared" si="36"/>
        <v>7.2669792514789622</v>
      </c>
      <c r="N288" s="13">
        <f t="shared" si="37"/>
        <v>23.100635170781352</v>
      </c>
      <c r="O288" s="13">
        <f t="shared" si="38"/>
        <v>5.69715096924641</v>
      </c>
      <c r="P288" s="13">
        <f t="shared" si="39"/>
        <v>57.057636248509546</v>
      </c>
      <c r="Q288" s="13">
        <f t="shared" si="40"/>
        <v>57.260541370060317</v>
      </c>
    </row>
    <row r="289" spans="1:17">
      <c r="A289" s="28">
        <v>36308</v>
      </c>
      <c r="B289">
        <f>Prestiti!B289+Prestiti!C289+Prestiti!D289</f>
        <v>72052.349999999991</v>
      </c>
      <c r="C289">
        <f>Prestiti!E289+Prestiti!F289</f>
        <v>2210.33</v>
      </c>
      <c r="D289">
        <f>Prestiti!G289</f>
        <v>68277.23</v>
      </c>
      <c r="E289">
        <f>Prestiti!H289+Prestiti!K289+Prestiti!L289</f>
        <v>231216.26000000004</v>
      </c>
      <c r="F289">
        <f>Prestiti!I289+Prestiti!J289</f>
        <v>61284.29</v>
      </c>
      <c r="G289">
        <f>Prestiti!M289+Prestiti!N289+Prestiti!O289+Prestiti!P289</f>
        <v>604452.42000000004</v>
      </c>
      <c r="H289">
        <f t="shared" si="32"/>
        <v>606662.75</v>
      </c>
      <c r="I289">
        <f t="shared" si="33"/>
        <v>1039492.8800000001</v>
      </c>
      <c r="K289" s="13">
        <f t="shared" si="34"/>
        <v>6.9314904783186178</v>
      </c>
      <c r="L289" s="13">
        <f t="shared" si="35"/>
        <v>0.21263541506893244</v>
      </c>
      <c r="M289" s="13">
        <f t="shared" si="36"/>
        <v>6.5683210836422452</v>
      </c>
      <c r="N289" s="13">
        <f t="shared" si="37"/>
        <v>22.243178808497468</v>
      </c>
      <c r="O289" s="13">
        <f t="shared" si="38"/>
        <v>5.8955949751190211</v>
      </c>
      <c r="P289" s="13">
        <f t="shared" si="39"/>
        <v>58.148779239353708</v>
      </c>
      <c r="Q289" s="13">
        <f t="shared" si="40"/>
        <v>58.361414654422639</v>
      </c>
    </row>
    <row r="290" spans="1:17">
      <c r="A290" s="28">
        <v>36278</v>
      </c>
      <c r="B290">
        <f>Prestiti!B290+Prestiti!C290+Prestiti!D290</f>
        <v>67601.7</v>
      </c>
      <c r="C290">
        <f>Prestiti!E290+Prestiti!F290</f>
        <v>2290.4300000000003</v>
      </c>
      <c r="D290">
        <f>Prestiti!G290</f>
        <v>76738.59</v>
      </c>
      <c r="E290">
        <f>Prestiti!H290+Prestiti!K290+Prestiti!L290</f>
        <v>224411.49000000002</v>
      </c>
      <c r="F290">
        <f>Prestiti!I290+Prestiti!J290</f>
        <v>60759.149999999994</v>
      </c>
      <c r="G290">
        <f>Prestiti!M290+Prestiti!N290+Prestiti!O290+Prestiti!P290</f>
        <v>601637.87</v>
      </c>
      <c r="H290">
        <f t="shared" si="32"/>
        <v>603928.30000000005</v>
      </c>
      <c r="I290">
        <f t="shared" si="33"/>
        <v>1033439.23</v>
      </c>
      <c r="K290" s="13">
        <f t="shared" si="34"/>
        <v>6.5414296300712325</v>
      </c>
      <c r="L290" s="13">
        <f t="shared" si="35"/>
        <v>0.22163180315885631</v>
      </c>
      <c r="M290" s="13">
        <f t="shared" si="36"/>
        <v>7.4255541857066909</v>
      </c>
      <c r="N290" s="13">
        <f t="shared" si="37"/>
        <v>21.715015598933672</v>
      </c>
      <c r="O290" s="13">
        <f t="shared" si="38"/>
        <v>5.8793152259180248</v>
      </c>
      <c r="P290" s="13">
        <f t="shared" si="39"/>
        <v>58.217053556211532</v>
      </c>
      <c r="Q290" s="13">
        <f t="shared" si="40"/>
        <v>58.438685359370389</v>
      </c>
    </row>
    <row r="291" spans="1:17">
      <c r="A291" s="28">
        <v>36247</v>
      </c>
      <c r="B291">
        <f>Prestiti!B291+Prestiti!C291+Prestiti!D291</f>
        <v>69129.48</v>
      </c>
      <c r="C291">
        <f>Prestiti!E291+Prestiti!F291</f>
        <v>1991.57</v>
      </c>
      <c r="D291">
        <f>Prestiti!G291</f>
        <v>68607.33</v>
      </c>
      <c r="E291">
        <f>Prestiti!H291+Prestiti!K291+Prestiti!L291</f>
        <v>216953.19000000003</v>
      </c>
      <c r="F291">
        <f>Prestiti!I291+Prestiti!J291</f>
        <v>60828.740000000005</v>
      </c>
      <c r="G291">
        <f>Prestiti!M291+Prestiti!N291+Prestiti!O291+Prestiti!P291</f>
        <v>598731.71999999986</v>
      </c>
      <c r="H291">
        <f t="shared" si="32"/>
        <v>600723.2899999998</v>
      </c>
      <c r="I291">
        <f t="shared" si="33"/>
        <v>1016242.0299999999</v>
      </c>
      <c r="K291" s="13">
        <f t="shared" si="34"/>
        <v>6.8024622047958392</v>
      </c>
      <c r="L291" s="13">
        <f t="shared" si="35"/>
        <v>0.19597398466190186</v>
      </c>
      <c r="M291" s="13">
        <f t="shared" si="36"/>
        <v>6.7510817280407114</v>
      </c>
      <c r="N291" s="13">
        <f t="shared" si="37"/>
        <v>21.348574807519036</v>
      </c>
      <c r="O291" s="13">
        <f t="shared" si="38"/>
        <v>5.9856548149263231</v>
      </c>
      <c r="P291" s="13">
        <f t="shared" si="39"/>
        <v>58.916252460056185</v>
      </c>
      <c r="Q291" s="13">
        <f t="shared" si="40"/>
        <v>59.112226444718083</v>
      </c>
    </row>
    <row r="292" spans="1:17">
      <c r="A292" s="28">
        <v>36219</v>
      </c>
      <c r="B292">
        <f>Prestiti!B292+Prestiti!C292+Prestiti!D292</f>
        <v>69384.800000000003</v>
      </c>
      <c r="C292">
        <f>Prestiti!E292+Prestiti!F292</f>
        <v>1916.31</v>
      </c>
      <c r="D292">
        <f>Prestiti!G292</f>
        <v>81480.460000000006</v>
      </c>
      <c r="E292">
        <f>Prestiti!H292+Prestiti!K292+Prestiti!L292</f>
        <v>220593.93000000002</v>
      </c>
      <c r="F292">
        <f>Prestiti!I292+Prestiti!J292</f>
        <v>61708.57</v>
      </c>
      <c r="G292">
        <f>Prestiti!M292+Prestiti!N292+Prestiti!O292+Prestiti!P292</f>
        <v>595300.31999999995</v>
      </c>
      <c r="H292">
        <f t="shared" si="32"/>
        <v>597216.63</v>
      </c>
      <c r="I292">
        <f t="shared" si="33"/>
        <v>1030384.3899999999</v>
      </c>
      <c r="K292" s="13">
        <f t="shared" si="34"/>
        <v>6.7338753064766461</v>
      </c>
      <c r="L292" s="13">
        <f t="shared" si="35"/>
        <v>0.18598010787022892</v>
      </c>
      <c r="M292" s="13">
        <f t="shared" si="36"/>
        <v>7.9077731369746411</v>
      </c>
      <c r="N292" s="13">
        <f t="shared" si="37"/>
        <v>21.408896732218547</v>
      </c>
      <c r="O292" s="13">
        <f t="shared" si="38"/>
        <v>5.9888882827504801</v>
      </c>
      <c r="P292" s="13">
        <f t="shared" si="39"/>
        <v>57.774586433709466</v>
      </c>
      <c r="Q292" s="13">
        <f t="shared" si="40"/>
        <v>57.960566541579695</v>
      </c>
    </row>
    <row r="293" spans="1:17">
      <c r="A293" s="28">
        <v>36188</v>
      </c>
      <c r="B293">
        <f>Prestiti!B293+Prestiti!C293+Prestiti!D293</f>
        <v>71361.899999999994</v>
      </c>
      <c r="C293">
        <f>Prestiti!E293+Prestiti!F293</f>
        <v>1461.8</v>
      </c>
      <c r="D293">
        <f>Prestiti!G293</f>
        <v>90293.6</v>
      </c>
      <c r="E293">
        <f>Prestiti!H293+Prestiti!K293+Prestiti!L293</f>
        <v>226987.68</v>
      </c>
      <c r="F293">
        <f>Prestiti!I293+Prestiti!J293</f>
        <v>62081.27</v>
      </c>
      <c r="G293">
        <f>Prestiti!M293+Prestiti!N293+Prestiti!O293+Prestiti!P293</f>
        <v>593385.74</v>
      </c>
      <c r="H293">
        <f t="shared" si="32"/>
        <v>594847.54</v>
      </c>
      <c r="I293">
        <f t="shared" si="33"/>
        <v>1045571.99</v>
      </c>
      <c r="K293" s="13">
        <f t="shared" si="34"/>
        <v>6.8251541436185557</v>
      </c>
      <c r="L293" s="13">
        <f t="shared" si="35"/>
        <v>0.13980864196639392</v>
      </c>
      <c r="M293" s="13">
        <f t="shared" si="36"/>
        <v>8.6358089986706705</v>
      </c>
      <c r="N293" s="13">
        <f t="shared" si="37"/>
        <v>21.709426244289499</v>
      </c>
      <c r="O293" s="13">
        <f t="shared" si="38"/>
        <v>5.9375414217054532</v>
      </c>
      <c r="P293" s="13">
        <f t="shared" si="39"/>
        <v>56.752260549749423</v>
      </c>
      <c r="Q293" s="13">
        <f t="shared" si="40"/>
        <v>56.892069191715819</v>
      </c>
    </row>
    <row r="294" spans="1:17">
      <c r="A294" s="28"/>
    </row>
    <row r="295" spans="1:17">
      <c r="A295" s="28"/>
    </row>
    <row r="296" spans="1:17">
      <c r="A296" s="28"/>
    </row>
    <row r="297" spans="1:17">
      <c r="A297" s="28"/>
    </row>
    <row r="298" spans="1:17">
      <c r="A298" s="28"/>
    </row>
    <row r="299" spans="1:17">
      <c r="A299" s="28"/>
    </row>
    <row r="300" spans="1:17">
      <c r="A300" s="28"/>
    </row>
    <row r="301" spans="1:17">
      <c r="A301" s="28"/>
    </row>
    <row r="302" spans="1:17">
      <c r="A302" s="28"/>
    </row>
    <row r="303" spans="1:17">
      <c r="A303" s="28"/>
    </row>
    <row r="304" spans="1:17">
      <c r="A304" s="28"/>
    </row>
    <row r="305" spans="1:1">
      <c r="A305" s="28"/>
    </row>
    <row r="306" spans="1:1">
      <c r="A306" s="28"/>
    </row>
    <row r="307" spans="1:1">
      <c r="A307" s="28"/>
    </row>
    <row r="308" spans="1:1">
      <c r="A308" s="28"/>
    </row>
    <row r="309" spans="1:1">
      <c r="A309" s="28"/>
    </row>
    <row r="310" spans="1:1">
      <c r="A310" s="28"/>
    </row>
    <row r="311" spans="1:1">
      <c r="A311" s="28"/>
    </row>
    <row r="312" spans="1:1">
      <c r="A312" s="28"/>
    </row>
    <row r="313" spans="1:1">
      <c r="A313" s="28"/>
    </row>
    <row r="314" spans="1:1">
      <c r="A314" s="28"/>
    </row>
    <row r="315" spans="1:1">
      <c r="A315" s="28"/>
    </row>
    <row r="316" spans="1:1">
      <c r="A316" s="28"/>
    </row>
    <row r="317" spans="1:1">
      <c r="A317" s="28"/>
    </row>
    <row r="318" spans="1:1">
      <c r="A318" s="28"/>
    </row>
    <row r="319" spans="1:1">
      <c r="A319" s="28"/>
    </row>
    <row r="320" spans="1:1">
      <c r="A320" s="28"/>
    </row>
    <row r="321" spans="1:1">
      <c r="A321" s="28"/>
    </row>
    <row r="322" spans="1:1">
      <c r="A322" s="28"/>
    </row>
    <row r="323" spans="1:1">
      <c r="A323" s="28"/>
    </row>
    <row r="324" spans="1:1">
      <c r="A324" s="28"/>
    </row>
    <row r="325" spans="1:1">
      <c r="A325" s="28"/>
    </row>
    <row r="326" spans="1:1">
      <c r="A326" s="28"/>
    </row>
    <row r="327" spans="1:1">
      <c r="A327" s="28"/>
    </row>
    <row r="328" spans="1:1">
      <c r="A328" s="28"/>
    </row>
    <row r="329" spans="1:1">
      <c r="A329" s="28"/>
    </row>
    <row r="330" spans="1:1">
      <c r="A330" s="28"/>
    </row>
    <row r="331" spans="1:1">
      <c r="A331" s="30"/>
    </row>
    <row r="332" spans="1:1">
      <c r="A332" s="30"/>
    </row>
    <row r="333" spans="1:1">
      <c r="A333" s="30"/>
    </row>
    <row r="334" spans="1:1">
      <c r="A334" s="30"/>
    </row>
    <row r="335" spans="1:1">
      <c r="A335" s="30"/>
    </row>
    <row r="336" spans="1:1">
      <c r="A336" s="30"/>
    </row>
    <row r="337" spans="1:1">
      <c r="A337" s="30"/>
    </row>
    <row r="338" spans="1:1">
      <c r="A338" s="30"/>
    </row>
    <row r="339" spans="1:1">
      <c r="A339" s="30"/>
    </row>
    <row r="340" spans="1:1">
      <c r="A340" s="30"/>
    </row>
    <row r="341" spans="1:1">
      <c r="A341" s="30"/>
    </row>
    <row r="342" spans="1:1">
      <c r="A342" s="30"/>
    </row>
    <row r="343" spans="1:1">
      <c r="A343" s="30"/>
    </row>
    <row r="344" spans="1:1">
      <c r="A344" s="30"/>
    </row>
    <row r="345" spans="1:1">
      <c r="A345" s="30"/>
    </row>
    <row r="346" spans="1:1">
      <c r="A346" s="30"/>
    </row>
    <row r="347" spans="1:1">
      <c r="A347" s="30"/>
    </row>
    <row r="348" spans="1:1">
      <c r="A348" s="30"/>
    </row>
    <row r="349" spans="1:1">
      <c r="A349" s="30"/>
    </row>
    <row r="350" spans="1:1">
      <c r="A350" s="30"/>
    </row>
    <row r="351" spans="1:1">
      <c r="A351" s="30"/>
    </row>
    <row r="352" spans="1:1">
      <c r="A352" s="30"/>
    </row>
    <row r="353" spans="1:1">
      <c r="A353" s="30"/>
    </row>
    <row r="354" spans="1:1">
      <c r="A354" s="30"/>
    </row>
    <row r="355" spans="1:1">
      <c r="A355" s="30"/>
    </row>
    <row r="356" spans="1:1">
      <c r="A356" s="30"/>
    </row>
    <row r="357" spans="1:1">
      <c r="A357" s="30"/>
    </row>
    <row r="358" spans="1:1">
      <c r="A358" s="30"/>
    </row>
    <row r="359" spans="1:1">
      <c r="A359" s="30"/>
    </row>
    <row r="360" spans="1:1">
      <c r="A360" s="30"/>
    </row>
    <row r="361" spans="1:1">
      <c r="A361" s="30"/>
    </row>
    <row r="362" spans="1:1">
      <c r="A362" s="30"/>
    </row>
    <row r="363" spans="1:1">
      <c r="A363" s="30"/>
    </row>
    <row r="364" spans="1:1">
      <c r="A364" s="30"/>
    </row>
    <row r="365" spans="1:1">
      <c r="A365" s="30"/>
    </row>
    <row r="366" spans="1:1">
      <c r="A366" s="30"/>
    </row>
    <row r="367" spans="1:1">
      <c r="A367" s="30"/>
    </row>
    <row r="368" spans="1:1">
      <c r="A368" s="30"/>
    </row>
    <row r="369" spans="1:1">
      <c r="A369" s="30"/>
    </row>
    <row r="370" spans="1:1">
      <c r="A370" s="30"/>
    </row>
    <row r="371" spans="1:1">
      <c r="A371" s="30"/>
    </row>
    <row r="372" spans="1:1">
      <c r="A372" s="30"/>
    </row>
    <row r="373" spans="1:1">
      <c r="A373" s="30"/>
    </row>
    <row r="374" spans="1:1">
      <c r="A374" s="30"/>
    </row>
    <row r="375" spans="1:1">
      <c r="A375" s="30"/>
    </row>
    <row r="376" spans="1:1">
      <c r="A376" s="30"/>
    </row>
    <row r="377" spans="1:1">
      <c r="A377" s="30"/>
    </row>
    <row r="378" spans="1:1">
      <c r="A378" s="30"/>
    </row>
    <row r="379" spans="1:1">
      <c r="A379" s="30"/>
    </row>
    <row r="380" spans="1:1">
      <c r="A380" s="30"/>
    </row>
    <row r="381" spans="1:1">
      <c r="A381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24EE-3188-5D46-BAF2-1C13710A09C8}">
  <dimension ref="A1:D400"/>
  <sheetViews>
    <sheetView workbookViewId="0">
      <selection sqref="A1:A1048576"/>
    </sheetView>
  </sheetViews>
  <sheetFormatPr baseColWidth="10" defaultRowHeight="15"/>
  <cols>
    <col min="2" max="3" width="10.5" customWidth="1"/>
    <col min="4" max="4" width="18.1640625" customWidth="1"/>
  </cols>
  <sheetData>
    <row r="1" spans="1:4" ht="28">
      <c r="A1" s="5" t="s">
        <v>22</v>
      </c>
      <c r="B1" s="1" t="s">
        <v>374</v>
      </c>
      <c r="C1" s="1" t="s">
        <v>375</v>
      </c>
      <c r="D1" s="1" t="s">
        <v>376</v>
      </c>
    </row>
    <row r="2" spans="1:4">
      <c r="A2" s="3">
        <v>45016</v>
      </c>
      <c r="B2" s="12">
        <v>0.59870000000000001</v>
      </c>
      <c r="C2" s="12">
        <v>0.26029999999999998</v>
      </c>
      <c r="D2" s="12">
        <v>2.1164999999999998</v>
      </c>
    </row>
    <row r="3" spans="1:4">
      <c r="A3" s="3">
        <v>44985</v>
      </c>
      <c r="B3" s="12">
        <v>0.54369999999999996</v>
      </c>
      <c r="C3" s="12">
        <v>0.21640000000000001</v>
      </c>
      <c r="D3" s="12">
        <v>1.9015</v>
      </c>
    </row>
    <row r="4" spans="1:4">
      <c r="A4" s="3">
        <v>44954</v>
      </c>
      <c r="B4" s="12">
        <v>0.49220000000000003</v>
      </c>
      <c r="C4" s="12">
        <v>0.1777</v>
      </c>
      <c r="D4" s="12">
        <v>1.6840999999999999</v>
      </c>
    </row>
    <row r="5" spans="1:4">
      <c r="A5" s="3">
        <v>44923</v>
      </c>
      <c r="B5" s="12">
        <v>0.45350000000000001</v>
      </c>
      <c r="C5" s="12">
        <v>0.14649999999999999</v>
      </c>
      <c r="D5" s="12">
        <v>1.4985999999999999</v>
      </c>
    </row>
    <row r="6" spans="1:4">
      <c r="A6" s="3">
        <v>44893</v>
      </c>
      <c r="B6" s="12">
        <v>0.41789999999999999</v>
      </c>
      <c r="C6" s="12">
        <v>0.1115</v>
      </c>
      <c r="D6" s="12">
        <v>1.2466999999999999</v>
      </c>
    </row>
    <row r="7" spans="1:4">
      <c r="A7" s="3">
        <v>44862</v>
      </c>
      <c r="B7" s="12">
        <v>0.36770000000000003</v>
      </c>
      <c r="C7" s="12">
        <v>7.0000000000000007E-2</v>
      </c>
      <c r="D7" s="12">
        <v>1.0925</v>
      </c>
    </row>
    <row r="8" spans="1:4">
      <c r="A8" s="3">
        <v>44832</v>
      </c>
      <c r="B8" s="12">
        <v>0.34379999999999999</v>
      </c>
      <c r="C8" s="12">
        <v>4.9799999999999997E-2</v>
      </c>
      <c r="D8" s="12">
        <v>1.0085999999999999</v>
      </c>
    </row>
    <row r="9" spans="1:4">
      <c r="A9" s="3">
        <v>44801</v>
      </c>
      <c r="B9" s="12">
        <v>0.32269999999999999</v>
      </c>
      <c r="C9" s="12">
        <v>2.4500000000000001E-2</v>
      </c>
      <c r="D9" s="12">
        <v>0.93869999999999998</v>
      </c>
    </row>
    <row r="10" spans="1:4">
      <c r="A10" s="3">
        <v>44770</v>
      </c>
      <c r="B10" s="12">
        <v>0.31669999999999998</v>
      </c>
      <c r="C10" s="12">
        <v>2.3400000000000001E-2</v>
      </c>
      <c r="D10" s="12">
        <v>0.90649999999999997</v>
      </c>
    </row>
    <row r="11" spans="1:4">
      <c r="A11" s="3">
        <v>44740</v>
      </c>
      <c r="B11" s="12">
        <v>0.315</v>
      </c>
      <c r="C11" s="12">
        <v>2.0400000000000001E-2</v>
      </c>
      <c r="D11" s="12">
        <v>0.88790000000000002</v>
      </c>
    </row>
    <row r="12" spans="1:4">
      <c r="A12" s="3">
        <v>44709</v>
      </c>
      <c r="B12" s="12">
        <v>0.31380000000000002</v>
      </c>
      <c r="C12" s="12">
        <v>2.0400000000000001E-2</v>
      </c>
      <c r="D12" s="12">
        <v>0.89500000000000002</v>
      </c>
    </row>
    <row r="13" spans="1:4">
      <c r="A13" s="3">
        <v>44679</v>
      </c>
      <c r="B13" s="12">
        <v>0.318</v>
      </c>
      <c r="C13" s="12">
        <v>2.0299999999999999E-2</v>
      </c>
      <c r="D13" s="12">
        <v>0.9264</v>
      </c>
    </row>
    <row r="14" spans="1:4">
      <c r="A14" s="3">
        <v>44648</v>
      </c>
      <c r="B14" s="12">
        <v>0.32150000000000001</v>
      </c>
      <c r="C14" s="12">
        <v>2.07E-2</v>
      </c>
      <c r="D14" s="12">
        <v>0.94850000000000001</v>
      </c>
    </row>
    <row r="15" spans="1:4">
      <c r="A15" s="3">
        <v>44620</v>
      </c>
      <c r="B15" s="12">
        <v>0.31330000000000002</v>
      </c>
      <c r="C15" s="12">
        <v>1.95E-2</v>
      </c>
      <c r="D15" s="12">
        <v>0.96930000000000005</v>
      </c>
    </row>
    <row r="16" spans="1:4">
      <c r="A16" s="3">
        <v>44589</v>
      </c>
      <c r="B16" s="12">
        <v>0.30959999999999999</v>
      </c>
      <c r="C16" s="12">
        <v>1.9900000000000001E-2</v>
      </c>
      <c r="D16" s="12">
        <v>0.97099999999999997</v>
      </c>
    </row>
    <row r="17" spans="1:4">
      <c r="A17" s="3">
        <v>44558</v>
      </c>
      <c r="B17" s="12">
        <v>0.30359999999999998</v>
      </c>
      <c r="C17" s="12">
        <v>2.3400000000000001E-2</v>
      </c>
      <c r="D17" s="12">
        <v>0.98980000000000001</v>
      </c>
    </row>
    <row r="18" spans="1:4">
      <c r="A18" s="3">
        <v>44528</v>
      </c>
      <c r="B18" s="12">
        <v>0.30780000000000002</v>
      </c>
      <c r="C18" s="12">
        <v>2.35E-2</v>
      </c>
      <c r="D18" s="12">
        <v>0.99729999999999996</v>
      </c>
    </row>
    <row r="19" spans="1:4">
      <c r="A19" s="3">
        <v>44497</v>
      </c>
      <c r="B19" s="12">
        <v>0.29899999999999999</v>
      </c>
      <c r="C19" s="12">
        <v>2.41E-2</v>
      </c>
      <c r="D19" s="12">
        <v>0.99550000000000005</v>
      </c>
    </row>
    <row r="20" spans="1:4">
      <c r="A20" s="3">
        <v>44467</v>
      </c>
      <c r="B20" s="12">
        <v>0.30620000000000003</v>
      </c>
      <c r="C20" s="12">
        <v>2.53E-2</v>
      </c>
      <c r="D20" s="12">
        <v>0.99129999999999996</v>
      </c>
    </row>
    <row r="21" spans="1:4">
      <c r="A21" s="3">
        <v>44436</v>
      </c>
      <c r="B21" s="12">
        <v>0.30659999999999998</v>
      </c>
      <c r="C21" s="12">
        <v>2.4299999999999999E-2</v>
      </c>
      <c r="D21" s="12">
        <v>0.99670000000000003</v>
      </c>
    </row>
    <row r="22" spans="1:4">
      <c r="A22" s="3">
        <v>44405</v>
      </c>
      <c r="B22" s="12">
        <v>0.30730000000000002</v>
      </c>
      <c r="C22" s="12">
        <v>2.4799999999999999E-2</v>
      </c>
      <c r="D22" s="12">
        <v>0.99690000000000001</v>
      </c>
    </row>
    <row r="23" spans="1:4">
      <c r="A23" s="3">
        <v>44375</v>
      </c>
      <c r="B23" s="12">
        <v>0.31569999999999998</v>
      </c>
      <c r="C23" s="12">
        <v>2.6800000000000001E-2</v>
      </c>
      <c r="D23" s="12">
        <v>1.0087999999999999</v>
      </c>
    </row>
    <row r="24" spans="1:4">
      <c r="A24" s="3">
        <v>44344</v>
      </c>
      <c r="B24" s="12">
        <v>0.31819999999999998</v>
      </c>
      <c r="C24" s="12">
        <v>2.5999999999999999E-2</v>
      </c>
      <c r="D24" s="12">
        <v>1.0049999999999999</v>
      </c>
    </row>
    <row r="25" spans="1:4">
      <c r="A25" s="3">
        <v>44314</v>
      </c>
      <c r="B25" s="12">
        <v>0.32140000000000002</v>
      </c>
      <c r="C25" s="12">
        <v>2.63E-2</v>
      </c>
      <c r="D25" s="12">
        <v>1.0148999999999999</v>
      </c>
    </row>
    <row r="26" spans="1:4">
      <c r="A26" s="3">
        <v>44283</v>
      </c>
      <c r="B26" s="12">
        <v>0.32669999999999999</v>
      </c>
      <c r="C26" s="12">
        <v>2.8899999999999999E-2</v>
      </c>
      <c r="D26" s="12">
        <v>1.0177</v>
      </c>
    </row>
    <row r="27" spans="1:4">
      <c r="A27" s="3">
        <v>44255</v>
      </c>
      <c r="B27" s="12">
        <v>0.3251</v>
      </c>
      <c r="C27" s="12">
        <v>2.87E-2</v>
      </c>
      <c r="D27" s="12">
        <v>1.0123</v>
      </c>
    </row>
    <row r="28" spans="1:4">
      <c r="A28" s="3">
        <v>44224</v>
      </c>
      <c r="B28" s="12">
        <v>0.32419999999999999</v>
      </c>
      <c r="C28" s="12">
        <v>2.8799999999999999E-2</v>
      </c>
      <c r="D28" s="12">
        <v>1.0086999999999999</v>
      </c>
    </row>
    <row r="29" spans="1:4">
      <c r="A29" s="3">
        <v>44193</v>
      </c>
      <c r="B29" s="12">
        <v>0.32529999999999998</v>
      </c>
      <c r="C29" s="12">
        <v>3.2199999999999999E-2</v>
      </c>
      <c r="D29" s="12">
        <v>1.0210999999999999</v>
      </c>
    </row>
    <row r="30" spans="1:4">
      <c r="A30" s="3">
        <v>44163</v>
      </c>
      <c r="B30" s="12">
        <v>0.3286</v>
      </c>
      <c r="C30" s="12">
        <v>3.1899999999999998E-2</v>
      </c>
      <c r="D30" s="12">
        <v>1.0125</v>
      </c>
    </row>
    <row r="31" spans="1:4">
      <c r="A31" s="3">
        <v>44132</v>
      </c>
      <c r="B31" s="12">
        <v>0.32229999999999998</v>
      </c>
      <c r="C31" s="12">
        <v>2.9700000000000001E-2</v>
      </c>
      <c r="D31" s="12">
        <v>0.99460000000000004</v>
      </c>
    </row>
    <row r="32" spans="1:4">
      <c r="A32" s="3">
        <v>44102</v>
      </c>
      <c r="B32" s="12">
        <v>0.32990000000000003</v>
      </c>
      <c r="C32" s="12">
        <v>3.1099999999999999E-2</v>
      </c>
      <c r="D32" s="12">
        <v>0.99350000000000005</v>
      </c>
    </row>
    <row r="33" spans="1:4">
      <c r="A33" s="3">
        <v>44071</v>
      </c>
      <c r="B33" s="12">
        <v>0.33560000000000001</v>
      </c>
      <c r="C33" s="12">
        <v>2.9899999999999999E-2</v>
      </c>
      <c r="D33" s="12">
        <v>1.0176000000000001</v>
      </c>
    </row>
    <row r="34" spans="1:4">
      <c r="A34" s="3">
        <v>44040</v>
      </c>
      <c r="B34" s="12">
        <v>0.3422</v>
      </c>
      <c r="C34" s="12">
        <v>3.0700000000000002E-2</v>
      </c>
      <c r="D34" s="12">
        <v>1.0447</v>
      </c>
    </row>
    <row r="35" spans="1:4">
      <c r="A35" s="3">
        <v>44010</v>
      </c>
      <c r="B35" s="12">
        <v>0.34989999999999999</v>
      </c>
      <c r="C35" s="12">
        <v>3.3000000000000002E-2</v>
      </c>
      <c r="D35" s="12">
        <v>1.0728</v>
      </c>
    </row>
    <row r="36" spans="1:4">
      <c r="A36" s="3">
        <v>43979</v>
      </c>
      <c r="B36" s="12">
        <v>0.35120000000000001</v>
      </c>
      <c r="C36" s="12">
        <v>3.15E-2</v>
      </c>
      <c r="D36" s="12">
        <v>1.0849</v>
      </c>
    </row>
    <row r="37" spans="1:4">
      <c r="A37" s="3">
        <v>43949</v>
      </c>
      <c r="B37" s="12">
        <v>0.35539999999999999</v>
      </c>
      <c r="C37" s="12">
        <v>3.3700000000000001E-2</v>
      </c>
      <c r="D37" s="12">
        <v>1.0899000000000001</v>
      </c>
    </row>
    <row r="38" spans="1:4">
      <c r="A38" s="3">
        <v>43918</v>
      </c>
      <c r="B38" s="12">
        <v>0.35870000000000002</v>
      </c>
      <c r="C38" s="12">
        <v>3.6700000000000003E-2</v>
      </c>
      <c r="D38" s="12">
        <v>1.0903</v>
      </c>
    </row>
    <row r="39" spans="1:4">
      <c r="A39" s="3">
        <v>43889</v>
      </c>
      <c r="B39" s="12">
        <v>0.3639</v>
      </c>
      <c r="C39" s="12">
        <v>3.56E-2</v>
      </c>
      <c r="D39" s="12">
        <v>1.0607</v>
      </c>
    </row>
    <row r="40" spans="1:4">
      <c r="A40" s="3">
        <v>43858</v>
      </c>
      <c r="B40" s="12">
        <v>0.36509999999999998</v>
      </c>
      <c r="C40" s="12">
        <v>3.6200000000000003E-2</v>
      </c>
      <c r="D40" s="12">
        <v>1.0302</v>
      </c>
    </row>
    <row r="41" spans="1:4">
      <c r="A41" s="3">
        <v>43827</v>
      </c>
      <c r="B41" s="12">
        <v>0.36570000000000003</v>
      </c>
      <c r="C41" s="12">
        <v>4.1700000000000001E-2</v>
      </c>
      <c r="D41" s="12">
        <v>1.0327999999999999</v>
      </c>
    </row>
    <row r="42" spans="1:4">
      <c r="A42" s="3">
        <v>43797</v>
      </c>
      <c r="B42" s="12">
        <v>0.36570000000000003</v>
      </c>
      <c r="C42" s="12">
        <v>4.1799999999999997E-2</v>
      </c>
      <c r="D42" s="12">
        <v>1.0434000000000001</v>
      </c>
    </row>
    <row r="43" spans="1:4">
      <c r="A43" s="3">
        <v>43766</v>
      </c>
      <c r="B43" s="12">
        <v>0.36809999999999998</v>
      </c>
      <c r="C43" s="12">
        <v>4.2500000000000003E-2</v>
      </c>
      <c r="D43" s="12">
        <v>1.0429999999999999</v>
      </c>
    </row>
    <row r="44" spans="1:4">
      <c r="A44" s="3">
        <v>43736</v>
      </c>
      <c r="B44" s="12">
        <v>0.37019999999999997</v>
      </c>
      <c r="C44" s="12">
        <v>4.5699999999999998E-2</v>
      </c>
      <c r="D44" s="12">
        <v>1.0209999999999999</v>
      </c>
    </row>
    <row r="45" spans="1:4">
      <c r="A45" s="3">
        <v>43705</v>
      </c>
      <c r="B45" s="12">
        <v>0.36830000000000002</v>
      </c>
      <c r="C45" s="12">
        <v>4.5100000000000001E-2</v>
      </c>
      <c r="D45" s="12">
        <v>1.0011000000000001</v>
      </c>
    </row>
    <row r="46" spans="1:4">
      <c r="A46" s="3">
        <v>43674</v>
      </c>
      <c r="B46" s="12">
        <v>0.37430000000000002</v>
      </c>
      <c r="C46" s="12">
        <v>4.4900000000000002E-2</v>
      </c>
      <c r="D46" s="12">
        <v>0.99509999999999998</v>
      </c>
    </row>
    <row r="47" spans="1:4">
      <c r="A47" s="3">
        <v>43644</v>
      </c>
      <c r="B47" s="12">
        <v>0.37640000000000001</v>
      </c>
      <c r="C47" s="12">
        <v>4.7800000000000002E-2</v>
      </c>
      <c r="D47" s="12">
        <v>0.99609999999999999</v>
      </c>
    </row>
    <row r="48" spans="1:4">
      <c r="A48" s="3">
        <v>43613</v>
      </c>
      <c r="B48" s="12">
        <v>0.37940000000000002</v>
      </c>
      <c r="C48" s="12">
        <v>4.6800000000000001E-2</v>
      </c>
      <c r="D48" s="12">
        <v>0.97189999999999999</v>
      </c>
    </row>
    <row r="49" spans="1:4">
      <c r="A49" s="3">
        <v>43583</v>
      </c>
      <c r="B49" s="12">
        <v>0.33250000000000002</v>
      </c>
      <c r="C49" s="12">
        <v>4.7399999999999998E-2</v>
      </c>
      <c r="D49" s="12">
        <v>1.0007999999999999</v>
      </c>
    </row>
    <row r="50" spans="1:4">
      <c r="A50" s="3">
        <v>43552</v>
      </c>
      <c r="B50" s="12">
        <v>0.33900000000000002</v>
      </c>
      <c r="C50" s="12">
        <v>4.87E-2</v>
      </c>
      <c r="D50" s="12">
        <v>0.99990000000000001</v>
      </c>
    </row>
    <row r="51" spans="1:4">
      <c r="A51" s="3">
        <v>43524</v>
      </c>
      <c r="B51" s="12">
        <v>0.35659999999999997</v>
      </c>
      <c r="C51" s="12">
        <v>4.6399999999999997E-2</v>
      </c>
      <c r="D51" s="12">
        <v>0.995</v>
      </c>
    </row>
    <row r="52" spans="1:4">
      <c r="A52" s="3">
        <v>43493</v>
      </c>
      <c r="B52" s="12">
        <v>0.35949999999999999</v>
      </c>
      <c r="C52" s="12">
        <v>4.3299999999999998E-2</v>
      </c>
      <c r="D52" s="12">
        <v>0.97850000000000004</v>
      </c>
    </row>
    <row r="53" spans="1:4">
      <c r="A53" s="3">
        <v>43462</v>
      </c>
      <c r="B53" s="12">
        <v>0.35899999999999999</v>
      </c>
      <c r="C53" s="12">
        <v>4.7399999999999998E-2</v>
      </c>
      <c r="D53" s="12">
        <v>0.93620000000000003</v>
      </c>
    </row>
    <row r="54" spans="1:4">
      <c r="A54" s="3">
        <v>43432</v>
      </c>
      <c r="B54" s="12">
        <v>0.37759999999999999</v>
      </c>
      <c r="C54" s="12">
        <v>4.5499999999999999E-2</v>
      </c>
      <c r="D54" s="12">
        <v>0.93110000000000004</v>
      </c>
    </row>
    <row r="55" spans="1:4">
      <c r="A55" s="3">
        <v>43401</v>
      </c>
      <c r="B55" s="12">
        <v>0.39350000000000002</v>
      </c>
      <c r="C55" s="12">
        <v>4.5400000000000003E-2</v>
      </c>
      <c r="D55" s="12">
        <v>0.93799999999999994</v>
      </c>
    </row>
    <row r="56" spans="1:4">
      <c r="A56" s="3">
        <v>43371</v>
      </c>
      <c r="B56" s="12">
        <v>0.39200000000000002</v>
      </c>
      <c r="C56" s="12">
        <v>4.7500000000000001E-2</v>
      </c>
      <c r="D56" s="12">
        <v>0.94799999999999995</v>
      </c>
    </row>
    <row r="57" spans="1:4">
      <c r="A57" s="3">
        <v>43340</v>
      </c>
      <c r="B57" s="12">
        <v>0.39879999999999999</v>
      </c>
      <c r="C57" s="12">
        <v>4.6699999999999998E-2</v>
      </c>
      <c r="D57" s="12">
        <v>0.96160000000000001</v>
      </c>
    </row>
    <row r="58" spans="1:4">
      <c r="A58" s="3">
        <v>43309</v>
      </c>
      <c r="B58" s="12">
        <v>0.40189999999999998</v>
      </c>
      <c r="C58" s="12">
        <v>4.7300000000000002E-2</v>
      </c>
      <c r="D58" s="12">
        <v>0.97</v>
      </c>
    </row>
    <row r="59" spans="1:4">
      <c r="A59" s="3">
        <v>43279</v>
      </c>
      <c r="B59" s="12">
        <v>0.39650000000000002</v>
      </c>
      <c r="C59" s="12">
        <v>5.11E-2</v>
      </c>
      <c r="D59" s="12">
        <v>0.96360000000000001</v>
      </c>
    </row>
    <row r="60" spans="1:4">
      <c r="A60" s="3">
        <v>43248</v>
      </c>
      <c r="B60" s="12">
        <v>0.40400000000000003</v>
      </c>
      <c r="C60" s="12">
        <v>5.6899999999999999E-2</v>
      </c>
      <c r="D60" s="12">
        <v>0.97160000000000002</v>
      </c>
    </row>
    <row r="61" spans="1:4">
      <c r="A61" s="3">
        <v>43218</v>
      </c>
      <c r="B61" s="12">
        <v>0.39960000000000001</v>
      </c>
      <c r="C61" s="12">
        <v>5.6800000000000003E-2</v>
      </c>
      <c r="D61" s="12">
        <v>0.98480000000000001</v>
      </c>
    </row>
    <row r="62" spans="1:4">
      <c r="A62" s="3">
        <v>43187</v>
      </c>
      <c r="B62" s="12">
        <v>0.3982</v>
      </c>
      <c r="C62" s="12">
        <v>6.1600000000000002E-2</v>
      </c>
      <c r="D62" s="12">
        <v>0.99080000000000001</v>
      </c>
    </row>
    <row r="63" spans="1:4">
      <c r="A63" s="3">
        <v>43159</v>
      </c>
      <c r="B63" s="12">
        <v>0.38800000000000001</v>
      </c>
      <c r="C63" s="12">
        <v>5.9499999999999997E-2</v>
      </c>
      <c r="D63" s="12">
        <v>1.0052000000000001</v>
      </c>
    </row>
    <row r="64" spans="1:4">
      <c r="A64" s="3">
        <v>43128</v>
      </c>
      <c r="B64" s="12">
        <v>0.38540000000000002</v>
      </c>
      <c r="C64" s="12">
        <v>5.91E-2</v>
      </c>
      <c r="D64" s="12">
        <v>1.0343</v>
      </c>
    </row>
    <row r="65" spans="1:4">
      <c r="A65" s="3">
        <v>43097</v>
      </c>
      <c r="B65" s="12">
        <v>0.38319999999999999</v>
      </c>
      <c r="C65" s="12">
        <v>6.4000000000000001E-2</v>
      </c>
      <c r="D65" s="12">
        <v>1.0641</v>
      </c>
    </row>
    <row r="66" spans="1:4">
      <c r="A66" s="3">
        <v>43067</v>
      </c>
      <c r="B66" s="12">
        <v>0.39489999999999997</v>
      </c>
      <c r="C66" s="12">
        <v>6.2100000000000002E-2</v>
      </c>
      <c r="D66" s="12">
        <v>1.083</v>
      </c>
    </row>
    <row r="67" spans="1:4">
      <c r="A67" s="3">
        <v>43036</v>
      </c>
      <c r="B67" s="12">
        <v>0.38190000000000002</v>
      </c>
      <c r="C67" s="12">
        <v>6.2100000000000002E-2</v>
      </c>
      <c r="D67" s="12">
        <v>1.0981000000000001</v>
      </c>
    </row>
    <row r="68" spans="1:4">
      <c r="A68" s="3">
        <v>43006</v>
      </c>
      <c r="B68" s="12">
        <v>0.38690000000000002</v>
      </c>
      <c r="C68" s="12">
        <v>6.7299999999999999E-2</v>
      </c>
      <c r="D68" s="12">
        <v>1.111</v>
      </c>
    </row>
    <row r="69" spans="1:4">
      <c r="A69" s="3">
        <v>42975</v>
      </c>
      <c r="B69" s="12">
        <v>0.38979999999999998</v>
      </c>
      <c r="C69" s="12">
        <v>6.6199999999999995E-2</v>
      </c>
      <c r="D69" s="12">
        <v>1.1165</v>
      </c>
    </row>
    <row r="70" spans="1:4">
      <c r="A70" s="3">
        <v>42944</v>
      </c>
      <c r="B70" s="12">
        <v>0.3931</v>
      </c>
      <c r="C70" s="12">
        <v>6.7599999999999993E-2</v>
      </c>
      <c r="D70" s="12">
        <v>1.1222000000000001</v>
      </c>
    </row>
    <row r="71" spans="1:4">
      <c r="A71" s="3">
        <v>42914</v>
      </c>
      <c r="B71" s="12">
        <v>0.39739999999999998</v>
      </c>
      <c r="C71" s="12">
        <v>7.2999999999999995E-2</v>
      </c>
      <c r="D71" s="12">
        <v>1.1208</v>
      </c>
    </row>
    <row r="72" spans="1:4">
      <c r="A72" s="3">
        <v>42883</v>
      </c>
      <c r="B72" s="12">
        <v>0.39850000000000002</v>
      </c>
      <c r="C72" s="12">
        <v>7.2300000000000003E-2</v>
      </c>
      <c r="D72" s="12">
        <v>1.1368</v>
      </c>
    </row>
    <row r="73" spans="1:4">
      <c r="A73" s="3">
        <v>42853</v>
      </c>
      <c r="B73" s="12">
        <v>0.39860000000000001</v>
      </c>
      <c r="C73" s="12">
        <v>7.5399999999999995E-2</v>
      </c>
      <c r="D73" s="12">
        <v>1.1408</v>
      </c>
    </row>
    <row r="74" spans="1:4">
      <c r="A74" s="3">
        <v>42822</v>
      </c>
      <c r="B74" s="12">
        <v>0.41260000000000002</v>
      </c>
      <c r="C74" s="12">
        <v>8.1000000000000003E-2</v>
      </c>
      <c r="D74" s="12">
        <v>1.1587000000000001</v>
      </c>
    </row>
    <row r="75" spans="1:4">
      <c r="A75" s="3">
        <v>42794</v>
      </c>
      <c r="B75" s="12">
        <v>0.4143</v>
      </c>
      <c r="C75" s="12">
        <v>7.9299999999999995E-2</v>
      </c>
      <c r="D75" s="12">
        <v>1.1793</v>
      </c>
    </row>
    <row r="76" spans="1:4">
      <c r="A76" s="3">
        <v>42763</v>
      </c>
      <c r="B76" s="12">
        <v>0.41320000000000001</v>
      </c>
      <c r="C76" s="12">
        <v>8.1900000000000001E-2</v>
      </c>
      <c r="D76" s="12">
        <v>1.1969000000000001</v>
      </c>
    </row>
    <row r="77" spans="1:4">
      <c r="A77" s="3">
        <v>42732</v>
      </c>
      <c r="B77" s="12">
        <v>0.40989999999999999</v>
      </c>
      <c r="C77" s="12">
        <v>9.3899999999999997E-2</v>
      </c>
      <c r="D77" s="12">
        <v>1.2301</v>
      </c>
    </row>
    <row r="78" spans="1:4">
      <c r="A78" s="3">
        <v>42702</v>
      </c>
      <c r="B78" s="12">
        <v>0.40989999999999999</v>
      </c>
      <c r="C78" s="12">
        <v>9.2999999999999999E-2</v>
      </c>
      <c r="D78" s="12">
        <v>1.2421</v>
      </c>
    </row>
    <row r="79" spans="1:4">
      <c r="A79" s="3">
        <v>42671</v>
      </c>
      <c r="B79" s="12">
        <v>0.41139999999999999</v>
      </c>
      <c r="C79" s="12">
        <v>9.7100000000000006E-2</v>
      </c>
      <c r="D79" s="12">
        <v>1.2518</v>
      </c>
    </row>
    <row r="80" spans="1:4">
      <c r="A80" s="3">
        <v>42641</v>
      </c>
      <c r="B80" s="12">
        <v>0.42380000000000001</v>
      </c>
      <c r="C80" s="12">
        <v>0.1062</v>
      </c>
      <c r="D80" s="12">
        <v>1.2624</v>
      </c>
    </row>
    <row r="81" spans="1:4">
      <c r="A81" s="3">
        <v>42610</v>
      </c>
      <c r="B81" s="12">
        <v>0.42580000000000001</v>
      </c>
      <c r="C81" s="12">
        <v>0.104</v>
      </c>
      <c r="D81" s="12">
        <v>1.2765</v>
      </c>
    </row>
    <row r="82" spans="1:4">
      <c r="A82" s="3">
        <v>42579</v>
      </c>
      <c r="B82" s="12">
        <v>0.42809999999999998</v>
      </c>
      <c r="C82" s="12">
        <v>0.1057</v>
      </c>
      <c r="D82" s="12">
        <v>1.2811999999999999</v>
      </c>
    </row>
    <row r="83" spans="1:4">
      <c r="A83" s="3">
        <v>42549</v>
      </c>
      <c r="B83" s="12">
        <v>0.45319999999999999</v>
      </c>
      <c r="C83" s="12">
        <v>0.1216</v>
      </c>
      <c r="D83" s="12">
        <v>1.2992999999999999</v>
      </c>
    </row>
    <row r="84" spans="1:4">
      <c r="A84" s="3">
        <v>42518</v>
      </c>
      <c r="B84" s="12">
        <v>0.46339999999999998</v>
      </c>
      <c r="C84" s="12">
        <v>0.12620000000000001</v>
      </c>
      <c r="D84" s="12">
        <v>1.2939000000000001</v>
      </c>
    </row>
    <row r="85" spans="1:4">
      <c r="A85" s="3">
        <v>42488</v>
      </c>
      <c r="B85" s="12">
        <v>0.46610000000000001</v>
      </c>
      <c r="C85" s="12">
        <v>0.12939999999999999</v>
      </c>
      <c r="D85" s="12">
        <v>1.3093999999999999</v>
      </c>
    </row>
    <row r="86" spans="1:4">
      <c r="A86" s="3">
        <v>42457</v>
      </c>
      <c r="B86" s="12">
        <v>0.48730000000000001</v>
      </c>
      <c r="C86" s="12">
        <v>0.1431</v>
      </c>
      <c r="D86" s="12">
        <v>1.3381000000000001</v>
      </c>
    </row>
    <row r="87" spans="1:4">
      <c r="A87" s="3">
        <v>42428</v>
      </c>
      <c r="B87" s="12">
        <v>0.49359999999999998</v>
      </c>
      <c r="C87" s="12">
        <v>0.1439</v>
      </c>
      <c r="D87" s="12">
        <v>1.3687</v>
      </c>
    </row>
    <row r="88" spans="1:4">
      <c r="A88" s="3">
        <v>42397</v>
      </c>
      <c r="B88" s="12">
        <v>0.49830000000000002</v>
      </c>
      <c r="C88" s="12">
        <v>0.13950000000000001</v>
      </c>
      <c r="D88" s="12">
        <v>1.3831</v>
      </c>
    </row>
    <row r="89" spans="1:4">
      <c r="A89" s="3">
        <v>42366</v>
      </c>
      <c r="B89" s="12">
        <v>0.52200000000000002</v>
      </c>
      <c r="C89" s="12">
        <v>0.1633</v>
      </c>
      <c r="D89" s="12">
        <v>1.4151</v>
      </c>
    </row>
    <row r="90" spans="1:4">
      <c r="A90" s="3">
        <v>42336</v>
      </c>
      <c r="B90" s="12">
        <v>0.54310000000000003</v>
      </c>
      <c r="C90" s="12">
        <v>0.1699</v>
      </c>
      <c r="D90" s="12">
        <v>1.4312</v>
      </c>
    </row>
    <row r="91" spans="1:4">
      <c r="A91" s="3">
        <v>42305</v>
      </c>
      <c r="B91" s="12">
        <v>0.53849999999999998</v>
      </c>
      <c r="C91" s="12">
        <v>0.1714</v>
      </c>
      <c r="D91" s="12">
        <v>1.4633</v>
      </c>
    </row>
    <row r="92" spans="1:4">
      <c r="A92" s="3">
        <v>42275</v>
      </c>
      <c r="B92" s="12">
        <v>0.55559999999999998</v>
      </c>
      <c r="C92" s="12">
        <v>0.18559999999999999</v>
      </c>
      <c r="D92" s="12">
        <v>1.4970000000000001</v>
      </c>
    </row>
    <row r="93" spans="1:4">
      <c r="A93" s="3">
        <v>42244</v>
      </c>
      <c r="B93" s="12">
        <v>0.55559999999999998</v>
      </c>
      <c r="C93" s="12">
        <v>0.1845</v>
      </c>
      <c r="D93" s="12">
        <v>1.5147999999999999</v>
      </c>
    </row>
    <row r="94" spans="1:4">
      <c r="A94" s="3">
        <v>42213</v>
      </c>
      <c r="B94" s="12">
        <v>0.56059999999999999</v>
      </c>
      <c r="C94" s="12">
        <v>0.18779999999999999</v>
      </c>
      <c r="D94" s="12">
        <v>1.5458000000000001</v>
      </c>
    </row>
    <row r="95" spans="1:4">
      <c r="A95" s="3">
        <v>42183</v>
      </c>
      <c r="B95" s="12">
        <v>0.60760000000000003</v>
      </c>
      <c r="C95" s="12">
        <v>0.20069999999999999</v>
      </c>
      <c r="D95" s="12">
        <v>1.5701000000000001</v>
      </c>
    </row>
    <row r="96" spans="1:4">
      <c r="A96" s="3">
        <v>42152</v>
      </c>
      <c r="B96" s="12">
        <v>0.66839999999999999</v>
      </c>
      <c r="C96" s="12">
        <v>0.20480000000000001</v>
      </c>
      <c r="D96" s="12">
        <v>1.5958000000000001</v>
      </c>
    </row>
    <row r="97" spans="1:4">
      <c r="A97" s="3">
        <v>42122</v>
      </c>
      <c r="B97" s="12">
        <v>0.61770000000000003</v>
      </c>
      <c r="C97" s="12">
        <v>0.2117</v>
      </c>
      <c r="D97" s="12">
        <v>1.6375999999999999</v>
      </c>
    </row>
    <row r="98" spans="1:4">
      <c r="A98" s="3">
        <v>42091</v>
      </c>
      <c r="B98" s="12">
        <v>0.64780000000000004</v>
      </c>
      <c r="C98" s="12">
        <v>0.2298</v>
      </c>
      <c r="D98" s="12">
        <v>1.68</v>
      </c>
    </row>
    <row r="99" spans="1:4">
      <c r="A99" s="3">
        <v>42063</v>
      </c>
      <c r="B99" s="12">
        <v>0.65569999999999995</v>
      </c>
      <c r="C99" s="12">
        <v>0.2334</v>
      </c>
      <c r="D99" s="12">
        <v>1.7176</v>
      </c>
    </row>
    <row r="100" spans="1:4">
      <c r="A100" s="3">
        <v>42032</v>
      </c>
      <c r="B100" s="12">
        <v>0.67369999999999997</v>
      </c>
      <c r="C100" s="12">
        <v>0.25030000000000002</v>
      </c>
      <c r="D100" s="12">
        <v>1.7685999999999999</v>
      </c>
    </row>
    <row r="101" spans="1:4">
      <c r="A101" s="3">
        <v>42001</v>
      </c>
      <c r="B101" s="12">
        <v>0.73109999999999997</v>
      </c>
      <c r="C101" s="12">
        <v>0.29449999999999998</v>
      </c>
      <c r="D101" s="12">
        <v>1.8216000000000001</v>
      </c>
    </row>
    <row r="102" spans="1:4">
      <c r="A102" s="3">
        <v>41971</v>
      </c>
      <c r="B102" s="12">
        <v>0.73529999999999995</v>
      </c>
      <c r="C102" s="12">
        <v>0.26629999999999998</v>
      </c>
      <c r="D102" s="12">
        <v>1.849</v>
      </c>
    </row>
    <row r="103" spans="1:4">
      <c r="A103" s="3">
        <v>41940</v>
      </c>
      <c r="B103" s="12">
        <v>0.79159999999999997</v>
      </c>
      <c r="C103" s="12">
        <v>0.27250000000000002</v>
      </c>
      <c r="D103" s="12">
        <v>1.8875999999999999</v>
      </c>
    </row>
    <row r="104" spans="1:4">
      <c r="A104" s="3">
        <v>41910</v>
      </c>
      <c r="B104" s="12">
        <v>0.79100000000000004</v>
      </c>
      <c r="C104" s="12">
        <v>0.30869999999999997</v>
      </c>
      <c r="D104" s="12">
        <v>1.9386000000000001</v>
      </c>
    </row>
    <row r="105" spans="1:4">
      <c r="A105" s="3">
        <v>41879</v>
      </c>
      <c r="B105" s="12">
        <v>0.81030000000000002</v>
      </c>
      <c r="C105" s="12">
        <v>0.3221</v>
      </c>
      <c r="D105" s="12">
        <v>1.9787999999999999</v>
      </c>
    </row>
    <row r="106" spans="1:4">
      <c r="A106" s="3">
        <v>41848</v>
      </c>
      <c r="B106" s="12">
        <v>0.8266</v>
      </c>
      <c r="C106" s="12">
        <v>0.32379999999999998</v>
      </c>
      <c r="D106" s="12">
        <v>2.0323000000000002</v>
      </c>
    </row>
    <row r="107" spans="1:4">
      <c r="A107" s="3">
        <v>41818</v>
      </c>
      <c r="B107" s="12">
        <v>0.86029999999999995</v>
      </c>
      <c r="C107" s="12">
        <v>0.35830000000000001</v>
      </c>
      <c r="D107" s="12">
        <v>2.0996000000000001</v>
      </c>
    </row>
    <row r="108" spans="1:4">
      <c r="A108" s="3">
        <v>41787</v>
      </c>
      <c r="B108" s="12">
        <v>0.87250000000000005</v>
      </c>
      <c r="C108" s="12">
        <v>0.37130000000000002</v>
      </c>
      <c r="D108" s="12">
        <v>2.1432000000000002</v>
      </c>
    </row>
    <row r="109" spans="1:4">
      <c r="A109" s="3">
        <v>41757</v>
      </c>
      <c r="B109" s="12">
        <v>0.88800000000000001</v>
      </c>
      <c r="C109" s="12">
        <v>0.3745</v>
      </c>
      <c r="D109" s="12">
        <v>2.1848000000000001</v>
      </c>
    </row>
    <row r="110" spans="1:4">
      <c r="A110" s="3">
        <v>41726</v>
      </c>
      <c r="B110" s="12">
        <v>0.9395</v>
      </c>
      <c r="C110" s="12">
        <v>0.39269999999999999</v>
      </c>
      <c r="D110" s="12">
        <v>2.218</v>
      </c>
    </row>
    <row r="111" spans="1:4">
      <c r="A111" s="3">
        <v>41698</v>
      </c>
      <c r="B111" s="12">
        <v>0.94340000000000002</v>
      </c>
      <c r="C111" s="12">
        <v>0.3755</v>
      </c>
      <c r="D111" s="12">
        <v>2.2603</v>
      </c>
    </row>
    <row r="112" spans="1:4">
      <c r="A112" s="3">
        <v>41667</v>
      </c>
      <c r="B112" s="12">
        <v>0.95240000000000002</v>
      </c>
      <c r="C112" s="12">
        <v>0.3755</v>
      </c>
      <c r="D112" s="12">
        <v>2.3508</v>
      </c>
    </row>
    <row r="113" spans="1:4">
      <c r="A113" s="3">
        <v>41636</v>
      </c>
      <c r="B113" s="12">
        <v>0.97499999999999998</v>
      </c>
      <c r="C113" s="12">
        <v>0.41089999999999999</v>
      </c>
      <c r="D113" s="12">
        <v>2.4445000000000001</v>
      </c>
    </row>
    <row r="114" spans="1:4">
      <c r="A114" s="3">
        <v>41606</v>
      </c>
      <c r="B114" s="12">
        <v>0.98960000000000004</v>
      </c>
      <c r="C114" s="12">
        <v>0.41889999999999999</v>
      </c>
      <c r="D114" s="12">
        <v>2.4681000000000002</v>
      </c>
    </row>
    <row r="115" spans="1:4">
      <c r="A115" s="3">
        <v>41575</v>
      </c>
      <c r="B115" s="12">
        <v>0.99509999999999998</v>
      </c>
      <c r="C115" s="12">
        <v>0.41610000000000003</v>
      </c>
      <c r="D115" s="12">
        <v>2.5068999999999999</v>
      </c>
    </row>
    <row r="116" spans="1:4">
      <c r="A116" s="3">
        <v>41545</v>
      </c>
      <c r="B116" s="12">
        <v>1.0229999999999999</v>
      </c>
      <c r="C116" s="12">
        <v>0.43919999999999998</v>
      </c>
      <c r="D116" s="12">
        <v>2.5562999999999998</v>
      </c>
    </row>
    <row r="117" spans="1:4">
      <c r="A117" s="3">
        <v>41514</v>
      </c>
      <c r="B117" s="12">
        <v>1.0422</v>
      </c>
      <c r="C117" s="12">
        <v>0.4728</v>
      </c>
      <c r="D117" s="12">
        <v>2.5703999999999998</v>
      </c>
    </row>
    <row r="118" spans="1:4">
      <c r="A118" s="3">
        <v>41483</v>
      </c>
      <c r="B118" s="12">
        <v>1.0548</v>
      </c>
      <c r="C118" s="12">
        <v>0.4718</v>
      </c>
      <c r="D118" s="12">
        <v>2.6396999999999999</v>
      </c>
    </row>
    <row r="119" spans="1:4">
      <c r="A119" s="3">
        <v>41453</v>
      </c>
      <c r="B119" s="12">
        <v>1.0763</v>
      </c>
      <c r="C119" s="12">
        <v>0.48780000000000001</v>
      </c>
      <c r="D119" s="12">
        <v>2.7361</v>
      </c>
    </row>
    <row r="120" spans="1:4">
      <c r="A120" s="3">
        <v>41422</v>
      </c>
      <c r="B120" s="12">
        <v>1.0914999999999999</v>
      </c>
      <c r="C120" s="12">
        <v>0.4904</v>
      </c>
      <c r="D120" s="12">
        <v>2.8012000000000001</v>
      </c>
    </row>
    <row r="121" spans="1:4">
      <c r="A121" s="3">
        <v>41392</v>
      </c>
      <c r="B121" s="12">
        <v>1.1377999999999999</v>
      </c>
      <c r="C121" s="12">
        <v>0.49080000000000001</v>
      </c>
      <c r="D121" s="12">
        <v>2.8588</v>
      </c>
    </row>
    <row r="122" spans="1:4">
      <c r="A122" s="3">
        <v>41361</v>
      </c>
      <c r="B122" s="12">
        <v>1.1644000000000001</v>
      </c>
      <c r="C122" s="12">
        <v>0.51849999999999996</v>
      </c>
      <c r="D122" s="12">
        <v>2.8976999999999999</v>
      </c>
    </row>
    <row r="123" spans="1:4">
      <c r="A123" s="3">
        <v>41333</v>
      </c>
      <c r="B123" s="12">
        <v>1.1556</v>
      </c>
      <c r="C123" s="12">
        <v>0.4889</v>
      </c>
      <c r="D123" s="12">
        <v>2.9658000000000002</v>
      </c>
    </row>
    <row r="124" spans="1:4">
      <c r="A124" s="3">
        <v>41302</v>
      </c>
      <c r="B124" s="12">
        <v>1.1704000000000001</v>
      </c>
      <c r="C124" s="12">
        <v>0.48970000000000002</v>
      </c>
      <c r="D124" s="12">
        <v>3.0337000000000001</v>
      </c>
    </row>
    <row r="125" spans="1:4">
      <c r="A125" s="3">
        <v>41271</v>
      </c>
      <c r="B125" s="12">
        <v>1.2464999999999999</v>
      </c>
      <c r="C125" s="12">
        <v>0.53769999999999996</v>
      </c>
      <c r="D125" s="12">
        <v>3.1240000000000001</v>
      </c>
    </row>
    <row r="126" spans="1:4">
      <c r="A126" s="3">
        <v>41241</v>
      </c>
      <c r="B126" s="12">
        <v>1.2775000000000001</v>
      </c>
      <c r="C126" s="12">
        <v>0.54079999999999995</v>
      </c>
      <c r="D126" s="12">
        <v>3.1741999999999999</v>
      </c>
    </row>
    <row r="127" spans="1:4">
      <c r="A127" s="3">
        <v>41210</v>
      </c>
      <c r="B127" s="12">
        <v>1.2786</v>
      </c>
      <c r="C127" s="12">
        <v>0.55200000000000005</v>
      </c>
      <c r="D127" s="12">
        <v>3.2210000000000001</v>
      </c>
    </row>
    <row r="128" spans="1:4">
      <c r="A128" s="3">
        <v>41180</v>
      </c>
      <c r="B128" s="12">
        <v>1.2690999999999999</v>
      </c>
      <c r="C128" s="12">
        <v>0.54169999999999996</v>
      </c>
      <c r="D128" s="12">
        <v>3.2627999999999999</v>
      </c>
    </row>
    <row r="129" spans="1:4">
      <c r="A129" s="3">
        <v>41149</v>
      </c>
      <c r="B129" s="12">
        <v>1.2522</v>
      </c>
      <c r="C129" s="12">
        <v>0.51629999999999998</v>
      </c>
      <c r="D129" s="12">
        <v>3.2839999999999998</v>
      </c>
    </row>
    <row r="130" spans="1:4">
      <c r="A130" s="3">
        <v>41118</v>
      </c>
      <c r="B130" s="12">
        <v>1.2437</v>
      </c>
      <c r="C130" s="12">
        <v>0.50119999999999998</v>
      </c>
      <c r="D130" s="12">
        <v>3.2980999999999998</v>
      </c>
    </row>
    <row r="131" spans="1:4">
      <c r="A131" s="3">
        <v>41088</v>
      </c>
      <c r="B131" s="12">
        <v>1.2319</v>
      </c>
      <c r="C131" s="12">
        <v>0.51880000000000004</v>
      </c>
      <c r="D131" s="12">
        <v>3.2930999999999999</v>
      </c>
    </row>
    <row r="132" spans="1:4">
      <c r="A132" s="3">
        <v>41057</v>
      </c>
      <c r="B132" s="12">
        <v>1.2258</v>
      </c>
      <c r="C132" s="12">
        <v>0.51670000000000005</v>
      </c>
      <c r="D132" s="12">
        <v>3.2856999999999998</v>
      </c>
    </row>
    <row r="133" spans="1:4">
      <c r="A133" s="3">
        <v>41027</v>
      </c>
      <c r="B133" s="12">
        <v>1.2168000000000001</v>
      </c>
      <c r="C133" s="12">
        <v>0.51080000000000003</v>
      </c>
      <c r="D133" s="12">
        <v>3.2924000000000002</v>
      </c>
    </row>
    <row r="134" spans="1:4">
      <c r="A134" s="3">
        <v>40996</v>
      </c>
      <c r="B134" s="12">
        <v>1.2373000000000001</v>
      </c>
      <c r="C134" s="12">
        <v>0.53959999999999997</v>
      </c>
      <c r="D134" s="12">
        <v>3.2980999999999998</v>
      </c>
    </row>
    <row r="135" spans="1:4">
      <c r="A135" s="3">
        <v>40967</v>
      </c>
      <c r="B135" s="12">
        <v>1.1935</v>
      </c>
      <c r="C135" s="12">
        <v>0.5323</v>
      </c>
      <c r="D135" s="12">
        <v>3.2787999999999999</v>
      </c>
    </row>
    <row r="136" spans="1:4">
      <c r="A136" s="3">
        <v>40936</v>
      </c>
      <c r="B136" s="12">
        <v>1.1623000000000001</v>
      </c>
      <c r="C136" s="12">
        <v>0.55069999999999997</v>
      </c>
      <c r="D136" s="12">
        <v>3.1941999999999999</v>
      </c>
    </row>
    <row r="137" spans="1:4">
      <c r="A137" s="3">
        <v>40905</v>
      </c>
      <c r="B137" s="12">
        <v>1.0740000000000001</v>
      </c>
      <c r="C137" s="12">
        <v>0.59909999999999997</v>
      </c>
      <c r="D137" s="12">
        <v>2.9474</v>
      </c>
    </row>
    <row r="138" spans="1:4">
      <c r="A138" s="3">
        <v>40875</v>
      </c>
      <c r="B138" s="12">
        <v>1.0468</v>
      </c>
      <c r="C138" s="12">
        <v>0.57940000000000003</v>
      </c>
      <c r="D138" s="12">
        <v>2.6728000000000001</v>
      </c>
    </row>
    <row r="139" spans="1:4">
      <c r="A139" s="3">
        <v>40844</v>
      </c>
      <c r="B139" s="12">
        <v>0.999</v>
      </c>
      <c r="C139" s="12">
        <v>0.57550000000000001</v>
      </c>
      <c r="D139" s="12">
        <v>2.4558</v>
      </c>
    </row>
    <row r="140" spans="1:4">
      <c r="A140" s="3">
        <v>40814</v>
      </c>
      <c r="B140" s="12">
        <v>0.95809999999999995</v>
      </c>
      <c r="C140" s="12">
        <v>0.56089999999999995</v>
      </c>
      <c r="D140" s="12">
        <v>2.2200000000000002</v>
      </c>
    </row>
    <row r="141" spans="1:4">
      <c r="A141" s="3">
        <v>40783</v>
      </c>
      <c r="B141" s="12">
        <v>0.94089999999999996</v>
      </c>
      <c r="C141" s="12">
        <v>0.5504</v>
      </c>
      <c r="D141" s="12">
        <v>2.0746000000000002</v>
      </c>
    </row>
    <row r="142" spans="1:4">
      <c r="A142" s="3">
        <v>40752</v>
      </c>
      <c r="B142" s="12">
        <v>0.90900000000000003</v>
      </c>
      <c r="C142" s="12">
        <v>0.52510000000000001</v>
      </c>
      <c r="D142" s="12">
        <v>1.9550000000000001</v>
      </c>
    </row>
    <row r="143" spans="1:4">
      <c r="A143" s="3">
        <v>40722</v>
      </c>
      <c r="B143" s="12">
        <v>0.87729999999999997</v>
      </c>
      <c r="C143" s="12">
        <v>0.49630000000000002</v>
      </c>
      <c r="D143" s="12">
        <v>1.8882000000000001</v>
      </c>
    </row>
    <row r="144" spans="1:4">
      <c r="A144" s="3">
        <v>40691</v>
      </c>
      <c r="B144" s="12">
        <v>0.85580000000000001</v>
      </c>
      <c r="C144" s="12">
        <v>0.47810000000000002</v>
      </c>
      <c r="D144" s="12">
        <v>1.8069999999999999</v>
      </c>
    </row>
    <row r="145" spans="1:4">
      <c r="A145" s="3">
        <v>40661</v>
      </c>
      <c r="B145" s="12">
        <v>0.77739999999999998</v>
      </c>
      <c r="C145" s="12">
        <v>0.43180000000000002</v>
      </c>
      <c r="D145" s="12">
        <v>1.7493000000000001</v>
      </c>
    </row>
    <row r="146" spans="1:4">
      <c r="A146" s="3">
        <v>40630</v>
      </c>
      <c r="B146" s="12">
        <v>0.75190000000000001</v>
      </c>
      <c r="C146" s="12">
        <v>0.39910000000000001</v>
      </c>
      <c r="D146" s="12">
        <v>1.6751</v>
      </c>
    </row>
    <row r="147" spans="1:4">
      <c r="A147" s="3">
        <v>40602</v>
      </c>
      <c r="B147" s="12">
        <v>0.70699999999999996</v>
      </c>
      <c r="C147" s="12">
        <v>0.36820000000000003</v>
      </c>
      <c r="D147" s="12">
        <v>1.5862000000000001</v>
      </c>
    </row>
    <row r="148" spans="1:4">
      <c r="A148" s="3">
        <v>40571</v>
      </c>
      <c r="B148" s="12">
        <v>0.68869999999999998</v>
      </c>
      <c r="C148" s="12">
        <v>0.35060000000000002</v>
      </c>
      <c r="D148" s="12">
        <v>1.5336000000000001</v>
      </c>
    </row>
    <row r="149" spans="1:4">
      <c r="A149" s="3">
        <v>40540</v>
      </c>
      <c r="B149" s="12">
        <v>0.69199999999999995</v>
      </c>
      <c r="C149" s="12">
        <v>0.35870000000000002</v>
      </c>
      <c r="D149" s="12">
        <v>1.4703999999999999</v>
      </c>
    </row>
    <row r="150" spans="1:4">
      <c r="A150" s="3">
        <v>40510</v>
      </c>
      <c r="B150" s="12">
        <v>0.68530000000000002</v>
      </c>
      <c r="C150" s="12">
        <v>0.3483</v>
      </c>
      <c r="D150" s="12">
        <v>1.3993</v>
      </c>
    </row>
    <row r="151" spans="1:4">
      <c r="A151" s="3">
        <v>40479</v>
      </c>
      <c r="B151" s="12">
        <v>0.65629999999999999</v>
      </c>
      <c r="C151" s="12">
        <v>0.32240000000000002</v>
      </c>
      <c r="D151" s="12">
        <v>1.3835</v>
      </c>
    </row>
    <row r="152" spans="1:4">
      <c r="A152" s="3">
        <v>40449</v>
      </c>
      <c r="B152" s="12">
        <v>0.65369999999999995</v>
      </c>
      <c r="C152" s="12">
        <v>0.31109999999999999</v>
      </c>
      <c r="D152" s="12">
        <v>1.4100999999999999</v>
      </c>
    </row>
    <row r="153" spans="1:4">
      <c r="A153" s="3">
        <v>40418</v>
      </c>
      <c r="B153" s="12">
        <v>0.62590000000000001</v>
      </c>
      <c r="C153" s="12">
        <v>0.30249999999999999</v>
      </c>
      <c r="D153" s="12">
        <v>1.3956999999999999</v>
      </c>
    </row>
    <row r="154" spans="1:4">
      <c r="A154" s="3">
        <v>40387</v>
      </c>
      <c r="B154" s="12">
        <v>0.60840000000000005</v>
      </c>
      <c r="C154" s="12">
        <v>0.28620000000000001</v>
      </c>
      <c r="D154" s="12">
        <v>1.3913</v>
      </c>
    </row>
    <row r="155" spans="1:4">
      <c r="A155" s="3">
        <v>40357</v>
      </c>
      <c r="B155" s="12">
        <v>0.60040000000000004</v>
      </c>
      <c r="C155" s="12">
        <v>0.27400000000000002</v>
      </c>
      <c r="D155" s="12">
        <v>1.3592</v>
      </c>
    </row>
    <row r="156" spans="1:4">
      <c r="A156" s="3">
        <v>40326</v>
      </c>
      <c r="B156" s="12">
        <v>0.58579999999999999</v>
      </c>
      <c r="C156" s="12">
        <v>0.2671</v>
      </c>
      <c r="D156" s="12">
        <v>1.1209</v>
      </c>
    </row>
    <row r="157" spans="1:4">
      <c r="A157" s="3">
        <v>40296</v>
      </c>
      <c r="B157" s="12">
        <v>0.61199999999999999</v>
      </c>
      <c r="C157" s="12">
        <v>0.26479999999999998</v>
      </c>
      <c r="D157" s="12">
        <v>1.1453</v>
      </c>
    </row>
    <row r="158" spans="1:4">
      <c r="A158" s="3">
        <v>40265</v>
      </c>
      <c r="B158" s="12">
        <v>0.62560000000000004</v>
      </c>
      <c r="C158" s="12">
        <v>0.27610000000000001</v>
      </c>
      <c r="D158" s="12">
        <v>1.167</v>
      </c>
    </row>
    <row r="159" spans="1:4">
      <c r="A159" s="3">
        <v>40237</v>
      </c>
      <c r="B159" s="12">
        <v>0.62929999999999997</v>
      </c>
      <c r="C159" s="12">
        <v>0.27660000000000001</v>
      </c>
      <c r="D159" s="12">
        <v>1.2218</v>
      </c>
    </row>
    <row r="160" spans="1:4">
      <c r="A160" s="3">
        <v>40206</v>
      </c>
      <c r="B160" s="12">
        <v>0.66169999999999995</v>
      </c>
      <c r="C160" s="12">
        <v>0.28029999999999999</v>
      </c>
      <c r="D160" s="12">
        <v>1.2896000000000001</v>
      </c>
    </row>
    <row r="161" spans="1:4">
      <c r="A161" s="3">
        <v>40175</v>
      </c>
      <c r="B161" s="12">
        <v>0.6784</v>
      </c>
      <c r="C161" s="12">
        <v>0.30509999999999998</v>
      </c>
      <c r="D161" s="12">
        <v>1.3285</v>
      </c>
    </row>
    <row r="162" spans="1:4">
      <c r="A162" s="3">
        <v>40145</v>
      </c>
      <c r="B162" s="12">
        <v>0.69789999999999996</v>
      </c>
      <c r="C162" s="12">
        <v>0.30940000000000001</v>
      </c>
      <c r="D162" s="12">
        <v>1.4307000000000001</v>
      </c>
    </row>
    <row r="163" spans="1:4">
      <c r="A163" s="3">
        <v>40114</v>
      </c>
      <c r="B163" s="12">
        <v>0.73780000000000001</v>
      </c>
      <c r="C163" s="12">
        <v>0.32069999999999999</v>
      </c>
      <c r="D163" s="12">
        <v>1.516</v>
      </c>
    </row>
    <row r="164" spans="1:4">
      <c r="A164" s="3">
        <v>40084</v>
      </c>
      <c r="B164" s="12">
        <v>0.77480000000000004</v>
      </c>
      <c r="C164" s="12">
        <v>0.34360000000000002</v>
      </c>
      <c r="D164" s="12">
        <v>1.6077999999999999</v>
      </c>
    </row>
    <row r="165" spans="1:4">
      <c r="A165" s="3">
        <v>40053</v>
      </c>
      <c r="B165" s="12">
        <v>0.84099999999999997</v>
      </c>
      <c r="C165" s="12">
        <v>0.36220000000000002</v>
      </c>
      <c r="D165" s="12">
        <v>1.6981999999999999</v>
      </c>
    </row>
    <row r="166" spans="1:4">
      <c r="A166" s="3">
        <v>40022</v>
      </c>
      <c r="B166" s="12">
        <v>0.87119999999999997</v>
      </c>
      <c r="C166" s="12">
        <v>0.39500000000000002</v>
      </c>
      <c r="D166" s="12">
        <v>1.7655000000000001</v>
      </c>
    </row>
    <row r="167" spans="1:4">
      <c r="A167" s="3">
        <v>39992</v>
      </c>
      <c r="B167" s="12">
        <v>0.93059999999999998</v>
      </c>
      <c r="C167" s="12">
        <v>0.47389999999999999</v>
      </c>
      <c r="D167" s="12">
        <v>1.8466</v>
      </c>
    </row>
    <row r="168" spans="1:4">
      <c r="A168" s="3">
        <v>39961</v>
      </c>
      <c r="B168" s="12">
        <v>0.9919</v>
      </c>
      <c r="C168" s="12">
        <v>0.52259999999999995</v>
      </c>
      <c r="D168" s="12">
        <v>2.0449999999999999</v>
      </c>
    </row>
    <row r="169" spans="1:4">
      <c r="A169" s="3">
        <v>39931</v>
      </c>
      <c r="B169" s="12">
        <v>1.052</v>
      </c>
      <c r="C169" s="12">
        <v>0.58860000000000001</v>
      </c>
      <c r="D169" s="12">
        <v>2.2364000000000002</v>
      </c>
    </row>
    <row r="170" spans="1:4">
      <c r="A170" s="3">
        <v>39900</v>
      </c>
      <c r="B170" s="12">
        <v>1.2077</v>
      </c>
      <c r="C170" s="12">
        <v>0.74219999999999997</v>
      </c>
      <c r="D170" s="12">
        <v>2.472</v>
      </c>
    </row>
    <row r="171" spans="1:4">
      <c r="A171" s="3">
        <v>39872</v>
      </c>
      <c r="B171" s="12">
        <v>1.4693000000000001</v>
      </c>
      <c r="C171" s="12">
        <v>0.91449999999999998</v>
      </c>
      <c r="D171" s="12">
        <v>2.7631000000000001</v>
      </c>
    </row>
    <row r="172" spans="1:4">
      <c r="A172" s="3">
        <v>39841</v>
      </c>
      <c r="B172" s="12">
        <v>1.677</v>
      </c>
      <c r="C172" s="12">
        <v>1.1408</v>
      </c>
      <c r="D172" s="12">
        <v>3.0971000000000002</v>
      </c>
    </row>
    <row r="173" spans="1:4">
      <c r="A173" s="3">
        <v>39810</v>
      </c>
      <c r="B173" s="12">
        <v>1.9899</v>
      </c>
      <c r="C173" s="12">
        <v>1.5316000000000001</v>
      </c>
      <c r="D173" s="12">
        <v>3.4003999999999999</v>
      </c>
    </row>
    <row r="174" spans="1:4">
      <c r="A174" s="3">
        <v>39780</v>
      </c>
      <c r="B174" s="12">
        <v>2.2448999999999999</v>
      </c>
      <c r="C174" s="12">
        <v>1.8288</v>
      </c>
      <c r="D174" s="12">
        <v>3.5807000000000002</v>
      </c>
    </row>
    <row r="175" spans="1:4">
      <c r="A175" s="3">
        <v>39749</v>
      </c>
      <c r="B175" s="12">
        <v>2.3026</v>
      </c>
      <c r="C175" s="12">
        <v>1.9111</v>
      </c>
      <c r="D175" s="12">
        <v>3.6554000000000002</v>
      </c>
    </row>
    <row r="176" spans="1:4">
      <c r="A176" s="3">
        <v>39719</v>
      </c>
      <c r="B176" s="12">
        <v>2.3083</v>
      </c>
      <c r="C176" s="12">
        <v>1.8683000000000001</v>
      </c>
      <c r="D176" s="12">
        <v>3.6126999999999998</v>
      </c>
    </row>
    <row r="177" spans="1:4">
      <c r="A177" s="3">
        <v>39688</v>
      </c>
      <c r="B177" s="12">
        <v>2.2917000000000001</v>
      </c>
      <c r="C177" s="12">
        <v>1.8284</v>
      </c>
      <c r="D177" s="12">
        <v>3.5343</v>
      </c>
    </row>
    <row r="178" spans="1:4">
      <c r="A178" s="3">
        <v>39657</v>
      </c>
      <c r="B178" s="12">
        <v>2.2412000000000001</v>
      </c>
      <c r="C178" s="12">
        <v>1.786</v>
      </c>
      <c r="D178" s="12">
        <v>3.4632000000000001</v>
      </c>
    </row>
    <row r="179" spans="1:4">
      <c r="A179" s="3">
        <v>39627</v>
      </c>
      <c r="B179" s="12">
        <v>2.1760999999999999</v>
      </c>
      <c r="C179" s="12">
        <v>1.7548999999999999</v>
      </c>
      <c r="D179" s="12">
        <v>3.4140000000000001</v>
      </c>
    </row>
    <row r="180" spans="1:4">
      <c r="A180" s="3">
        <v>39596</v>
      </c>
      <c r="B180" s="12">
        <v>2.1572</v>
      </c>
      <c r="C180" s="12">
        <v>1.7295</v>
      </c>
      <c r="D180" s="12">
        <v>3.3969999999999998</v>
      </c>
    </row>
    <row r="181" spans="1:4">
      <c r="A181" s="3">
        <v>39566</v>
      </c>
      <c r="B181" s="12">
        <v>2.1135000000000002</v>
      </c>
      <c r="C181" s="12">
        <v>1.6860999999999999</v>
      </c>
      <c r="D181" s="12">
        <v>3.2477</v>
      </c>
    </row>
    <row r="182" spans="1:4">
      <c r="A182" s="3">
        <v>39535</v>
      </c>
      <c r="B182" s="12">
        <v>2.0905</v>
      </c>
      <c r="C182" s="12">
        <v>1.6526000000000001</v>
      </c>
      <c r="D182" s="12">
        <v>3.27</v>
      </c>
    </row>
    <row r="183" spans="1:4">
      <c r="A183" s="3">
        <v>39506</v>
      </c>
      <c r="B183" s="12">
        <v>2.0605000000000002</v>
      </c>
      <c r="C183" s="12">
        <v>1.6214</v>
      </c>
      <c r="D183" s="12">
        <v>3.2644000000000002</v>
      </c>
    </row>
    <row r="184" spans="1:4">
      <c r="A184" s="3">
        <v>39475</v>
      </c>
      <c r="B184" s="12">
        <v>2.0596000000000001</v>
      </c>
      <c r="C184" s="12">
        <v>1.643</v>
      </c>
      <c r="D184" s="12">
        <v>3.23</v>
      </c>
    </row>
    <row r="185" spans="1:4">
      <c r="A185" s="3">
        <v>39444</v>
      </c>
      <c r="B185" s="12">
        <v>2.0575999999999999</v>
      </c>
      <c r="C185" s="12">
        <v>1.6534</v>
      </c>
      <c r="D185" s="12">
        <v>3.2928000000000002</v>
      </c>
    </row>
    <row r="186" spans="1:4">
      <c r="A186" s="3">
        <v>39414</v>
      </c>
      <c r="B186" s="12">
        <v>2.0236000000000001</v>
      </c>
      <c r="C186" s="12">
        <v>1.5912999999999999</v>
      </c>
      <c r="D186" s="12">
        <v>3.1408</v>
      </c>
    </row>
    <row r="187" spans="1:4">
      <c r="A187" s="3">
        <v>39383</v>
      </c>
      <c r="B187" s="12">
        <v>1.9829000000000001</v>
      </c>
      <c r="C187" s="12">
        <v>1.5982000000000001</v>
      </c>
      <c r="D187" s="12">
        <v>3.0699000000000001</v>
      </c>
    </row>
    <row r="188" spans="1:4">
      <c r="A188" s="3">
        <v>39353</v>
      </c>
      <c r="B188" s="12">
        <v>1.9202999999999999</v>
      </c>
      <c r="C188" s="12">
        <v>1.5578000000000001</v>
      </c>
      <c r="D188" s="12">
        <v>3.0356999999999998</v>
      </c>
    </row>
    <row r="189" spans="1:4">
      <c r="A189" s="3">
        <v>39322</v>
      </c>
      <c r="B189" s="12">
        <v>1.8817999999999999</v>
      </c>
      <c r="C189" s="12">
        <v>1.4986999999999999</v>
      </c>
      <c r="D189" s="12">
        <v>2.9388999999999998</v>
      </c>
    </row>
    <row r="190" spans="1:4">
      <c r="A190" s="3">
        <v>39291</v>
      </c>
      <c r="B190" s="12">
        <v>1.8070999999999999</v>
      </c>
      <c r="C190" s="12">
        <v>1.4455</v>
      </c>
      <c r="D190" s="12">
        <v>2.8342000000000001</v>
      </c>
    </row>
    <row r="191" spans="1:4">
      <c r="A191" s="3">
        <v>39261</v>
      </c>
      <c r="B191" s="12">
        <v>1.7659</v>
      </c>
      <c r="C191" s="12">
        <v>1.4296</v>
      </c>
      <c r="D191" s="12">
        <v>2.8098000000000001</v>
      </c>
    </row>
    <row r="192" spans="1:4">
      <c r="A192" s="3">
        <v>39230</v>
      </c>
      <c r="B192" s="12">
        <v>1.7224999999999999</v>
      </c>
      <c r="C192" s="12">
        <v>1.3849</v>
      </c>
      <c r="D192" s="12">
        <v>2.6968999999999999</v>
      </c>
    </row>
    <row r="193" spans="1:4">
      <c r="A193" s="3">
        <v>39200</v>
      </c>
      <c r="B193" s="12">
        <v>1.6687000000000001</v>
      </c>
      <c r="C193" s="12">
        <v>1.3444</v>
      </c>
      <c r="D193" s="12">
        <v>2.6208999999999998</v>
      </c>
    </row>
    <row r="194" spans="1:4">
      <c r="A194" s="3">
        <v>39169</v>
      </c>
      <c r="B194" s="12">
        <v>1.6406000000000001</v>
      </c>
      <c r="C194" s="12">
        <v>1.3076000000000001</v>
      </c>
      <c r="D194" s="12">
        <v>2.6063000000000001</v>
      </c>
    </row>
    <row r="195" spans="1:4">
      <c r="A195" s="3">
        <v>39141</v>
      </c>
      <c r="B195" s="12">
        <v>1.5586</v>
      </c>
      <c r="C195" s="12">
        <v>1.2430000000000001</v>
      </c>
      <c r="D195" s="12">
        <v>2.4344000000000001</v>
      </c>
    </row>
    <row r="196" spans="1:4">
      <c r="A196" s="3">
        <v>39110</v>
      </c>
      <c r="B196" s="12">
        <v>1.5248999999999999</v>
      </c>
      <c r="C196" s="12">
        <v>1.2266999999999999</v>
      </c>
      <c r="D196" s="12">
        <v>2.4110999999999998</v>
      </c>
    </row>
    <row r="197" spans="1:4">
      <c r="A197" s="3">
        <v>39079</v>
      </c>
      <c r="B197" s="12">
        <v>1.4467000000000001</v>
      </c>
      <c r="C197" s="12">
        <v>1.1561999999999999</v>
      </c>
      <c r="D197" s="12">
        <v>2.4619</v>
      </c>
    </row>
    <row r="198" spans="1:4">
      <c r="A198" s="3">
        <v>39049</v>
      </c>
      <c r="B198" s="12">
        <v>1.399</v>
      </c>
      <c r="C198" s="12">
        <v>1.1133999999999999</v>
      </c>
      <c r="D198" s="12">
        <v>2.2343000000000002</v>
      </c>
    </row>
    <row r="199" spans="1:4">
      <c r="A199" s="3">
        <v>39018</v>
      </c>
      <c r="B199" s="12">
        <v>1.343</v>
      </c>
      <c r="C199" s="12">
        <v>1.0669</v>
      </c>
      <c r="D199" s="12">
        <v>2.2079</v>
      </c>
    </row>
    <row r="200" spans="1:4">
      <c r="A200" s="3">
        <v>38988</v>
      </c>
      <c r="B200" s="12">
        <v>1.2799</v>
      </c>
      <c r="C200" s="12">
        <v>1.0156000000000001</v>
      </c>
      <c r="D200" s="12">
        <v>2.1133999999999999</v>
      </c>
    </row>
    <row r="201" spans="1:4">
      <c r="A201" s="3">
        <v>38957</v>
      </c>
      <c r="B201" s="12">
        <v>1.2468999999999999</v>
      </c>
      <c r="C201" s="12">
        <v>0.97809999999999997</v>
      </c>
      <c r="D201" s="12">
        <v>2.0484</v>
      </c>
    </row>
    <row r="202" spans="1:4">
      <c r="A202" s="3">
        <v>38926</v>
      </c>
      <c r="B202" s="12">
        <v>1.1717</v>
      </c>
      <c r="C202" s="12">
        <v>0.92969999999999997</v>
      </c>
      <c r="D202" s="12">
        <v>1.9613</v>
      </c>
    </row>
    <row r="203" spans="1:4">
      <c r="A203" s="3">
        <v>38896</v>
      </c>
      <c r="B203" s="12">
        <v>1.1435</v>
      </c>
      <c r="C203" s="12">
        <v>0.92490000000000006</v>
      </c>
      <c r="D203" s="12">
        <v>1.9558</v>
      </c>
    </row>
    <row r="204" spans="1:4">
      <c r="A204" s="3">
        <v>38865</v>
      </c>
      <c r="B204" s="12">
        <v>1.0965</v>
      </c>
      <c r="C204" s="12">
        <v>0.89019999999999999</v>
      </c>
      <c r="D204" s="12">
        <v>1.8727</v>
      </c>
    </row>
    <row r="205" spans="1:4">
      <c r="A205" s="3">
        <v>38835</v>
      </c>
      <c r="B205" s="12">
        <v>1.0676000000000001</v>
      </c>
      <c r="C205" s="12">
        <v>0.87339999999999995</v>
      </c>
      <c r="D205" s="12">
        <v>1.8129</v>
      </c>
    </row>
    <row r="206" spans="1:4">
      <c r="A206" s="3">
        <v>38804</v>
      </c>
      <c r="B206" s="12">
        <v>1.0523</v>
      </c>
      <c r="C206" s="12">
        <v>0.85729999999999995</v>
      </c>
      <c r="D206" s="12">
        <v>1.7922</v>
      </c>
    </row>
    <row r="207" spans="1:4">
      <c r="A207" s="3">
        <v>38776</v>
      </c>
      <c r="B207" s="12">
        <v>0.9929</v>
      </c>
      <c r="C207" s="12">
        <v>0.80469999999999997</v>
      </c>
      <c r="D207" s="12">
        <v>1.7406999999999999</v>
      </c>
    </row>
    <row r="208" spans="1:4">
      <c r="A208" s="3">
        <v>38745</v>
      </c>
      <c r="B208" s="12">
        <v>0.97450000000000003</v>
      </c>
      <c r="C208" s="12">
        <v>0.78859999999999997</v>
      </c>
      <c r="D208" s="12">
        <v>1.7244999999999999</v>
      </c>
    </row>
    <row r="209" spans="1:4">
      <c r="A209" s="3">
        <v>38714</v>
      </c>
      <c r="B209" s="12">
        <v>0.95109999999999995</v>
      </c>
      <c r="C209" s="12">
        <v>0.76790000000000003</v>
      </c>
      <c r="D209" s="12">
        <v>1.7323</v>
      </c>
    </row>
    <row r="210" spans="1:4">
      <c r="A210" s="3">
        <v>38684</v>
      </c>
      <c r="B210" s="12">
        <v>0.91769999999999996</v>
      </c>
      <c r="C210" s="12">
        <v>0.73509999999999998</v>
      </c>
      <c r="D210" s="12">
        <v>1.6704000000000001</v>
      </c>
    </row>
    <row r="211" spans="1:4">
      <c r="A211" s="3">
        <v>38653</v>
      </c>
      <c r="B211" s="12">
        <v>0.89910000000000001</v>
      </c>
      <c r="C211" s="12">
        <v>0.72370000000000001</v>
      </c>
      <c r="D211" s="12">
        <v>1.6495</v>
      </c>
    </row>
    <row r="212" spans="1:4">
      <c r="A212" s="3">
        <v>38623</v>
      </c>
      <c r="B212" s="12">
        <v>0.90080000000000005</v>
      </c>
      <c r="C212" s="12">
        <v>0.71889999999999998</v>
      </c>
      <c r="D212" s="12">
        <v>1.6597</v>
      </c>
    </row>
    <row r="213" spans="1:4">
      <c r="A213" s="3">
        <v>38592</v>
      </c>
      <c r="B213" s="12">
        <v>0.89670000000000005</v>
      </c>
      <c r="C213" s="12">
        <v>0.70740000000000003</v>
      </c>
      <c r="D213" s="12">
        <v>1.6541999999999999</v>
      </c>
    </row>
    <row r="214" spans="1:4">
      <c r="A214" s="3">
        <v>38561</v>
      </c>
      <c r="B214" s="12">
        <v>0.88180000000000003</v>
      </c>
      <c r="C214" s="12">
        <v>0.69479999999999997</v>
      </c>
      <c r="D214" s="12">
        <v>1.6558999999999999</v>
      </c>
    </row>
    <row r="215" spans="1:4">
      <c r="A215" s="3">
        <v>38531</v>
      </c>
      <c r="B215" s="12">
        <v>0.88949999999999996</v>
      </c>
      <c r="C215" s="12">
        <v>0.70369999999999999</v>
      </c>
      <c r="D215" s="12">
        <v>1.6704000000000001</v>
      </c>
    </row>
    <row r="216" spans="1:4">
      <c r="A216" s="3">
        <v>38500</v>
      </c>
      <c r="B216" s="12">
        <v>0.88900000000000001</v>
      </c>
      <c r="C216" s="12">
        <v>0.70760000000000001</v>
      </c>
      <c r="D216" s="12">
        <v>1.6468</v>
      </c>
    </row>
    <row r="217" spans="1:4">
      <c r="A217" s="3">
        <v>38470</v>
      </c>
      <c r="B217" s="12">
        <v>0.88070000000000004</v>
      </c>
      <c r="C217" s="12">
        <v>0.70009999999999994</v>
      </c>
      <c r="D217" s="12">
        <v>1.6536999999999999</v>
      </c>
    </row>
    <row r="218" spans="1:4">
      <c r="A218" s="3">
        <v>38439</v>
      </c>
      <c r="B218" s="12">
        <v>0.88700000000000001</v>
      </c>
      <c r="C218" s="12">
        <v>0.7006</v>
      </c>
      <c r="D218" s="12">
        <v>1.6705000000000001</v>
      </c>
    </row>
    <row r="219" spans="1:4">
      <c r="A219" s="3">
        <v>38411</v>
      </c>
      <c r="B219" s="12">
        <v>0.86639999999999995</v>
      </c>
      <c r="C219" s="12">
        <v>0.68479999999999996</v>
      </c>
      <c r="D219" s="12">
        <v>1.6463000000000001</v>
      </c>
    </row>
    <row r="220" spans="1:4">
      <c r="A220" s="3">
        <v>38380</v>
      </c>
      <c r="B220" s="12">
        <v>0.87370000000000003</v>
      </c>
      <c r="C220" s="12">
        <v>0.69640000000000002</v>
      </c>
      <c r="D220" s="12">
        <v>1.657</v>
      </c>
    </row>
    <row r="221" spans="1:4">
      <c r="A221" s="3">
        <v>38349</v>
      </c>
      <c r="B221" s="12">
        <v>0.89190000000000003</v>
      </c>
      <c r="C221" s="12">
        <v>0.70889999999999997</v>
      </c>
      <c r="D221" s="12">
        <v>1.6785000000000001</v>
      </c>
    </row>
    <row r="222" spans="1:4">
      <c r="A222" s="3">
        <v>38319</v>
      </c>
      <c r="B222" s="12">
        <v>0.88119999999999998</v>
      </c>
      <c r="C222" s="12">
        <v>0.70230000000000004</v>
      </c>
      <c r="D222" s="12">
        <v>1.6519999999999999</v>
      </c>
    </row>
    <row r="223" spans="1:4">
      <c r="A223" s="3">
        <v>38288</v>
      </c>
      <c r="B223" s="12">
        <v>0.86829999999999996</v>
      </c>
      <c r="C223" s="12">
        <v>0.69069999999999998</v>
      </c>
      <c r="D223" s="12">
        <v>1.6516</v>
      </c>
    </row>
    <row r="224" spans="1:4">
      <c r="A224" s="3">
        <v>38258</v>
      </c>
      <c r="B224" s="12">
        <v>0.8679</v>
      </c>
      <c r="C224" s="12">
        <v>0.69099999999999995</v>
      </c>
      <c r="D224" s="12">
        <v>1.6671</v>
      </c>
    </row>
    <row r="225" spans="1:4">
      <c r="A225" s="3">
        <v>38227</v>
      </c>
      <c r="B225" s="12">
        <v>0.85799999999999998</v>
      </c>
      <c r="C225" s="12">
        <v>0.67310000000000003</v>
      </c>
      <c r="D225" s="12">
        <v>1.6688000000000001</v>
      </c>
    </row>
    <row r="226" spans="1:4">
      <c r="A226" s="3">
        <v>38196</v>
      </c>
      <c r="B226" s="12">
        <v>0.83740000000000003</v>
      </c>
      <c r="C226" s="12">
        <v>0.65529999999999999</v>
      </c>
      <c r="D226" s="12">
        <v>1.6819</v>
      </c>
    </row>
    <row r="227" spans="1:4">
      <c r="A227" s="3">
        <v>38166</v>
      </c>
      <c r="B227" s="12">
        <v>0.85740000000000005</v>
      </c>
      <c r="C227" s="12">
        <v>0.67879999999999996</v>
      </c>
      <c r="D227" s="12">
        <v>1.6879999999999999</v>
      </c>
    </row>
    <row r="228" spans="1:4">
      <c r="A228" s="3">
        <v>38135</v>
      </c>
      <c r="B228" s="12">
        <v>0.85680000000000001</v>
      </c>
      <c r="C228" s="12">
        <v>0.67349999999999999</v>
      </c>
      <c r="D228" s="12">
        <v>1.7074</v>
      </c>
    </row>
    <row r="229" spans="1:4">
      <c r="A229" s="3">
        <v>38105</v>
      </c>
      <c r="B229" s="12">
        <v>0.85529999999999995</v>
      </c>
      <c r="C229" s="12">
        <v>0.66700000000000004</v>
      </c>
      <c r="D229" s="12">
        <v>1.7229000000000001</v>
      </c>
    </row>
    <row r="230" spans="1:4">
      <c r="A230" s="3">
        <v>38074</v>
      </c>
      <c r="B230" s="12">
        <v>0.87639999999999996</v>
      </c>
      <c r="C230" s="12">
        <v>0.68020000000000003</v>
      </c>
      <c r="D230" s="12">
        <v>1.7366999999999999</v>
      </c>
    </row>
    <row r="231" spans="1:4">
      <c r="A231" s="3">
        <v>38045</v>
      </c>
      <c r="B231" s="12">
        <v>0.87439999999999996</v>
      </c>
      <c r="C231" s="12">
        <v>0.67889999999999995</v>
      </c>
      <c r="D231" s="12">
        <v>1.7579</v>
      </c>
    </row>
    <row r="232" spans="1:4">
      <c r="A232" s="3">
        <v>38014</v>
      </c>
      <c r="B232" s="12">
        <v>0.87290000000000001</v>
      </c>
      <c r="C232" s="12">
        <v>0.68059999999999998</v>
      </c>
      <c r="D232" s="12">
        <v>1.7736000000000001</v>
      </c>
    </row>
    <row r="233" spans="1:4">
      <c r="A233" s="3">
        <v>37983</v>
      </c>
      <c r="B233" s="12">
        <v>0.88470000000000004</v>
      </c>
      <c r="C233" s="12">
        <v>0.70589999999999997</v>
      </c>
      <c r="D233" s="12">
        <v>1.7887999999999999</v>
      </c>
    </row>
    <row r="234" spans="1:4">
      <c r="A234" s="3">
        <v>37953</v>
      </c>
      <c r="B234" s="12">
        <v>0.89749999999999996</v>
      </c>
      <c r="C234" s="12">
        <v>0.70209999999999995</v>
      </c>
      <c r="D234" s="12">
        <v>1.8153999999999999</v>
      </c>
    </row>
    <row r="235" spans="1:4">
      <c r="A235" s="3">
        <v>37922</v>
      </c>
      <c r="B235" s="12">
        <v>0.89229999999999998</v>
      </c>
      <c r="C235" s="12">
        <v>0.69410000000000005</v>
      </c>
      <c r="D235" s="12">
        <v>1.8536999999999999</v>
      </c>
    </row>
    <row r="236" spans="1:4">
      <c r="A236" s="3">
        <v>37892</v>
      </c>
      <c r="B236" s="12">
        <v>0.90300000000000002</v>
      </c>
      <c r="C236" s="12">
        <v>0.70130000000000003</v>
      </c>
      <c r="D236" s="12">
        <v>1.8973</v>
      </c>
    </row>
    <row r="237" spans="1:4">
      <c r="A237" s="3">
        <v>37861</v>
      </c>
      <c r="B237" s="12">
        <v>0.91620000000000001</v>
      </c>
      <c r="C237" s="12">
        <v>0.69989999999999997</v>
      </c>
      <c r="D237" s="12">
        <v>1.9661</v>
      </c>
    </row>
    <row r="238" spans="1:4">
      <c r="A238" s="3">
        <v>37830</v>
      </c>
      <c r="B238" s="12">
        <v>0.91169999999999995</v>
      </c>
      <c r="C238" s="12">
        <v>0.69</v>
      </c>
      <c r="D238" s="12">
        <v>2.0400999999999998</v>
      </c>
    </row>
    <row r="239" spans="1:4">
      <c r="A239" s="3">
        <v>37800</v>
      </c>
      <c r="B239" s="12">
        <v>0.97019999999999995</v>
      </c>
      <c r="C239" s="12">
        <v>0.74039999999999995</v>
      </c>
      <c r="D239" s="12">
        <v>2.1417999999999999</v>
      </c>
    </row>
    <row r="240" spans="1:4">
      <c r="A240" s="3">
        <v>37769</v>
      </c>
      <c r="B240" s="12">
        <v>1.1484000000000001</v>
      </c>
      <c r="C240" s="12">
        <v>0.91310000000000002</v>
      </c>
      <c r="D240" s="12">
        <v>2.2368999999999999</v>
      </c>
    </row>
    <row r="241" spans="1:4">
      <c r="A241" s="3">
        <v>37739</v>
      </c>
      <c r="B241" s="12">
        <v>1.1451</v>
      </c>
      <c r="C241" s="12">
        <v>0.88739999999999997</v>
      </c>
      <c r="D241" s="12">
        <v>2.2877999999999998</v>
      </c>
    </row>
    <row r="242" spans="1:4">
      <c r="A242" s="3">
        <v>37708</v>
      </c>
      <c r="B242" s="12">
        <v>1.1891</v>
      </c>
      <c r="C242" s="12">
        <v>0.91490000000000005</v>
      </c>
      <c r="D242" s="12">
        <v>2.387</v>
      </c>
    </row>
    <row r="243" spans="1:4">
      <c r="A243" s="3">
        <v>37680</v>
      </c>
      <c r="B243" s="12">
        <v>1.2944</v>
      </c>
      <c r="C243" s="12">
        <v>1.0163</v>
      </c>
      <c r="D243" s="12">
        <v>2.4554999999999998</v>
      </c>
    </row>
    <row r="244" spans="1:4">
      <c r="A244" s="3">
        <v>37649</v>
      </c>
      <c r="B244" s="12">
        <v>1.3117000000000001</v>
      </c>
      <c r="C244" s="12">
        <v>1.0193000000000001</v>
      </c>
      <c r="D244" s="12">
        <v>2.5167999999999999</v>
      </c>
    </row>
    <row r="245" spans="1:4">
      <c r="A245" s="3">
        <v>37618</v>
      </c>
      <c r="B245" s="12">
        <v>1.395</v>
      </c>
      <c r="C245" s="12">
        <v>1.0939000000000001</v>
      </c>
      <c r="D245" s="12"/>
    </row>
    <row r="246" spans="1:4">
      <c r="A246" s="3">
        <v>37588</v>
      </c>
      <c r="B246" s="12">
        <v>1.5611999999999999</v>
      </c>
      <c r="C246" s="12">
        <v>1.2526999999999999</v>
      </c>
      <c r="D246" s="12"/>
    </row>
    <row r="247" spans="1:4">
      <c r="A247" s="3">
        <v>37557</v>
      </c>
      <c r="B247" s="12">
        <v>1.5634999999999999</v>
      </c>
      <c r="C247" s="12">
        <v>1.2246999999999999</v>
      </c>
      <c r="D247" s="12"/>
    </row>
    <row r="248" spans="1:4">
      <c r="A248" s="3">
        <v>37527</v>
      </c>
      <c r="B248" s="12">
        <v>1.6007</v>
      </c>
      <c r="C248" s="12">
        <v>1.2714000000000001</v>
      </c>
      <c r="D248" s="12"/>
    </row>
    <row r="249" spans="1:4">
      <c r="A249" s="3">
        <v>37496</v>
      </c>
      <c r="B249" s="12">
        <v>1.6225000000000001</v>
      </c>
      <c r="C249" s="12">
        <v>1.2806999999999999</v>
      </c>
      <c r="D249" s="12"/>
    </row>
    <row r="250" spans="1:4">
      <c r="A250" s="3">
        <v>37465</v>
      </c>
      <c r="B250" s="12">
        <v>1.6403000000000001</v>
      </c>
      <c r="C250" s="12">
        <v>1.3088</v>
      </c>
      <c r="D250" s="12"/>
    </row>
    <row r="251" spans="1:4">
      <c r="A251" s="3">
        <v>37435</v>
      </c>
      <c r="B251" s="12">
        <v>1.6425000000000001</v>
      </c>
      <c r="C251" s="12">
        <v>1.3181</v>
      </c>
      <c r="D251" s="12"/>
    </row>
    <row r="252" spans="1:4">
      <c r="A252" s="3">
        <v>37404</v>
      </c>
      <c r="B252" s="12">
        <v>1.6372</v>
      </c>
      <c r="C252" s="12">
        <v>1.2994000000000001</v>
      </c>
      <c r="D252" s="12"/>
    </row>
    <row r="253" spans="1:4">
      <c r="A253" s="3">
        <v>37374</v>
      </c>
      <c r="B253" s="12">
        <v>1.6136999999999999</v>
      </c>
      <c r="C253" s="12">
        <v>1.2806999999999999</v>
      </c>
      <c r="D253" s="12"/>
    </row>
    <row r="254" spans="1:4">
      <c r="A254" s="3">
        <v>37343</v>
      </c>
      <c r="B254" s="12">
        <v>1.6122000000000001</v>
      </c>
      <c r="C254" s="12">
        <v>1.2714000000000001</v>
      </c>
      <c r="D254" s="12"/>
    </row>
    <row r="255" spans="1:4">
      <c r="A255" s="3">
        <v>37315</v>
      </c>
      <c r="B255" s="12">
        <v>1.5979000000000001</v>
      </c>
      <c r="C255" s="12">
        <v>1.2621</v>
      </c>
      <c r="D255" s="12"/>
    </row>
    <row r="256" spans="1:4">
      <c r="A256" s="3">
        <v>37284</v>
      </c>
      <c r="B256" s="12">
        <v>1.5717000000000001</v>
      </c>
      <c r="C256" s="12">
        <v>1.234</v>
      </c>
      <c r="D256" s="12"/>
    </row>
    <row r="257" spans="1:4">
      <c r="A257" s="3">
        <v>37253</v>
      </c>
      <c r="B257" s="12">
        <v>1.6404000000000001</v>
      </c>
      <c r="C257" s="12">
        <v>1.2901</v>
      </c>
      <c r="D257" s="12"/>
    </row>
    <row r="258" spans="1:4">
      <c r="A258" s="3">
        <v>37223</v>
      </c>
      <c r="B258" s="12">
        <v>1.6898</v>
      </c>
      <c r="C258" s="12">
        <v>1.2806999999999999</v>
      </c>
      <c r="D258" s="12"/>
    </row>
    <row r="259" spans="1:4">
      <c r="A259" s="3">
        <v>37192</v>
      </c>
      <c r="B259" s="12">
        <v>1.8903000000000001</v>
      </c>
      <c r="C259" s="12">
        <v>1.4676</v>
      </c>
      <c r="D259" s="12"/>
    </row>
    <row r="260" spans="1:4">
      <c r="A260" s="3">
        <v>37162</v>
      </c>
      <c r="B260" s="12">
        <v>1.9997</v>
      </c>
      <c r="C260" s="12">
        <v>1.5237000000000001</v>
      </c>
      <c r="D260" s="12"/>
    </row>
    <row r="261" spans="1:4">
      <c r="A261" s="3">
        <v>37131</v>
      </c>
      <c r="B261" s="12">
        <v>2.2825000000000002</v>
      </c>
      <c r="C261" s="12">
        <v>1.804</v>
      </c>
      <c r="D261" s="12"/>
    </row>
    <row r="262" spans="1:4">
      <c r="A262" s="3">
        <v>37100</v>
      </c>
      <c r="B262" s="12">
        <v>2.2624</v>
      </c>
      <c r="C262" s="12">
        <v>1.7946</v>
      </c>
      <c r="D262" s="12"/>
    </row>
    <row r="263" spans="1:4">
      <c r="A263" s="3">
        <v>37070</v>
      </c>
      <c r="B263" s="12">
        <v>2.2949000000000002</v>
      </c>
      <c r="C263" s="12">
        <v>1.8226</v>
      </c>
      <c r="D263" s="12"/>
    </row>
    <row r="264" spans="1:4">
      <c r="A264" s="3">
        <v>37039</v>
      </c>
      <c r="B264" s="12">
        <v>2.2934999999999999</v>
      </c>
      <c r="C264" s="12">
        <v>1.8132999999999999</v>
      </c>
      <c r="D264" s="12"/>
    </row>
    <row r="265" spans="1:4">
      <c r="A265" s="3">
        <v>37009</v>
      </c>
      <c r="B265" s="12">
        <v>2.3761999999999999</v>
      </c>
      <c r="C265" s="12">
        <v>1.9160999999999999</v>
      </c>
      <c r="D265" s="12"/>
    </row>
    <row r="266" spans="1:4">
      <c r="A266" s="3">
        <v>36978</v>
      </c>
      <c r="B266" s="12">
        <v>2.4312999999999998</v>
      </c>
      <c r="C266" s="12">
        <v>1.9534</v>
      </c>
      <c r="D266" s="12"/>
    </row>
    <row r="267" spans="1:4">
      <c r="A267" s="3">
        <v>36950</v>
      </c>
      <c r="B267" s="12">
        <v>2.3904000000000001</v>
      </c>
      <c r="C267" s="12">
        <v>1.9254</v>
      </c>
      <c r="D267" s="12"/>
    </row>
    <row r="268" spans="1:4">
      <c r="A268" s="3">
        <v>36919</v>
      </c>
      <c r="B268" s="12">
        <v>2.355</v>
      </c>
      <c r="C268" s="12">
        <v>1.8787</v>
      </c>
      <c r="D268" s="12"/>
    </row>
    <row r="269" spans="1:4">
      <c r="A269" s="3">
        <v>36888</v>
      </c>
      <c r="B269" s="12">
        <v>2.4489999999999998</v>
      </c>
      <c r="C269" s="12">
        <v>1.9907999999999999</v>
      </c>
      <c r="D269" s="12"/>
    </row>
    <row r="270" spans="1:4">
      <c r="A270" s="3">
        <v>36858</v>
      </c>
      <c r="B270" s="12">
        <v>2.3815</v>
      </c>
      <c r="C270" s="12">
        <v>1.9067000000000001</v>
      </c>
      <c r="D270" s="12"/>
    </row>
    <row r="271" spans="1:4">
      <c r="A271" s="3">
        <v>36827</v>
      </c>
      <c r="B271" s="12">
        <v>2.3001</v>
      </c>
      <c r="C271" s="12">
        <v>1.8226</v>
      </c>
      <c r="D271" s="12"/>
    </row>
    <row r="272" spans="1:4">
      <c r="A272" s="3">
        <v>36797</v>
      </c>
      <c r="B272" s="12">
        <v>2.2221000000000002</v>
      </c>
      <c r="C272" s="12">
        <v>1.7665999999999999</v>
      </c>
      <c r="D272" s="12"/>
    </row>
    <row r="273" spans="1:4">
      <c r="A273" s="3">
        <v>36766</v>
      </c>
      <c r="B273" s="12">
        <v>2.1379999999999999</v>
      </c>
      <c r="C273" s="12">
        <v>1.6732</v>
      </c>
      <c r="D273" s="12"/>
    </row>
    <row r="274" spans="1:4">
      <c r="A274" s="3">
        <v>36735</v>
      </c>
      <c r="B274" s="12">
        <v>2.0259999999999998</v>
      </c>
      <c r="C274" s="12">
        <v>1.5704</v>
      </c>
      <c r="D274" s="12"/>
    </row>
    <row r="275" spans="1:4">
      <c r="A275" s="3">
        <v>36705</v>
      </c>
      <c r="B275" s="12">
        <v>1.9907999999999999</v>
      </c>
      <c r="C275" s="12">
        <v>1.5704</v>
      </c>
      <c r="D275" s="12"/>
    </row>
    <row r="276" spans="1:4">
      <c r="A276" s="3">
        <v>36674</v>
      </c>
      <c r="B276" s="12">
        <v>1.8177000000000001</v>
      </c>
      <c r="C276" s="12">
        <v>1.4021999999999999</v>
      </c>
      <c r="D276" s="12"/>
    </row>
    <row r="277" spans="1:4">
      <c r="A277" s="3">
        <v>36644</v>
      </c>
      <c r="B277" s="12">
        <v>1.7262999999999999</v>
      </c>
      <c r="C277" s="12">
        <v>1.3274999999999999</v>
      </c>
      <c r="D277" s="12"/>
    </row>
    <row r="278" spans="1:4">
      <c r="A278" s="3">
        <v>36613</v>
      </c>
      <c r="B278" s="12">
        <v>1.6771</v>
      </c>
      <c r="C278" s="12">
        <v>1.2901</v>
      </c>
      <c r="D278" s="12"/>
    </row>
    <row r="279" spans="1:4">
      <c r="A279" s="3">
        <v>36584</v>
      </c>
      <c r="B279" s="12">
        <v>1.5799000000000001</v>
      </c>
      <c r="C279" s="12">
        <v>1.1967000000000001</v>
      </c>
      <c r="D279" s="12"/>
    </row>
    <row r="280" spans="1:4">
      <c r="A280" s="3">
        <v>36553</v>
      </c>
      <c r="B280" s="12">
        <v>1.5392999999999999</v>
      </c>
      <c r="C280" s="12">
        <v>1.1593</v>
      </c>
      <c r="D280" s="12"/>
    </row>
    <row r="281" spans="1:4">
      <c r="A281" s="3">
        <v>36522</v>
      </c>
      <c r="B281" s="12">
        <v>1.63</v>
      </c>
      <c r="C281" s="12">
        <v>1.2434000000000001</v>
      </c>
      <c r="D281" s="12"/>
    </row>
    <row r="282" spans="1:4">
      <c r="A282" s="3">
        <v>36492</v>
      </c>
      <c r="B282" s="12">
        <v>1.4869000000000001</v>
      </c>
      <c r="C282" s="12">
        <v>1.0751999999999999</v>
      </c>
      <c r="D282" s="12"/>
    </row>
    <row r="283" spans="1:4">
      <c r="A283" s="3">
        <v>36461</v>
      </c>
      <c r="B283" s="12">
        <v>1.4133</v>
      </c>
      <c r="C283" s="12">
        <v>1.0004999999999999</v>
      </c>
      <c r="D283" s="12"/>
    </row>
    <row r="284" spans="1:4">
      <c r="A284" s="3">
        <v>36431</v>
      </c>
      <c r="B284" s="12">
        <v>1.4097</v>
      </c>
      <c r="C284" s="12">
        <v>1.0004999999999999</v>
      </c>
      <c r="D284" s="12"/>
    </row>
    <row r="285" spans="1:4">
      <c r="A285" s="3">
        <v>36400</v>
      </c>
      <c r="B285" s="12">
        <v>1.4169</v>
      </c>
      <c r="C285" s="12">
        <v>0.99109999999999998</v>
      </c>
      <c r="D285" s="12"/>
    </row>
    <row r="286" spans="1:4">
      <c r="A286" s="3">
        <v>36369</v>
      </c>
      <c r="B286" s="12">
        <v>1.3989</v>
      </c>
      <c r="C286" s="12">
        <v>0.98180000000000001</v>
      </c>
      <c r="D286" s="12"/>
    </row>
    <row r="287" spans="1:4">
      <c r="A287" s="3">
        <v>36339</v>
      </c>
      <c r="B287" s="12">
        <v>1.4431</v>
      </c>
      <c r="C287" s="12">
        <v>1.0190999999999999</v>
      </c>
      <c r="D287" s="12"/>
    </row>
    <row r="288" spans="1:4">
      <c r="A288" s="3">
        <v>36308</v>
      </c>
      <c r="B288" s="12">
        <v>1.4478</v>
      </c>
      <c r="C288" s="12">
        <v>0.99109999999999998</v>
      </c>
      <c r="D288" s="12"/>
    </row>
    <row r="289" spans="1:4">
      <c r="A289" s="3">
        <v>36278</v>
      </c>
      <c r="B289" s="12">
        <v>1.5186999999999999</v>
      </c>
      <c r="C289" s="12">
        <v>1.0190999999999999</v>
      </c>
      <c r="D289" s="12"/>
    </row>
    <row r="290" spans="1:4">
      <c r="A290" s="3">
        <v>36247</v>
      </c>
      <c r="B290" s="12">
        <v>1.7356</v>
      </c>
      <c r="C290" s="12">
        <v>1.2153</v>
      </c>
      <c r="D290" s="12"/>
    </row>
    <row r="291" spans="1:4">
      <c r="A291" s="3">
        <v>36219</v>
      </c>
      <c r="B291" s="12">
        <v>1.7681</v>
      </c>
      <c r="C291" s="12">
        <v>1.206</v>
      </c>
      <c r="D291" s="12"/>
    </row>
    <row r="292" spans="1:4">
      <c r="A292" s="3">
        <v>36188</v>
      </c>
      <c r="B292" s="12">
        <v>1.7584</v>
      </c>
      <c r="C292" s="12">
        <v>1.1967000000000001</v>
      </c>
      <c r="D292" s="12"/>
    </row>
    <row r="293" spans="1:4">
      <c r="A293" s="16"/>
      <c r="B293" s="16"/>
      <c r="C293" s="16"/>
      <c r="D293" s="16"/>
    </row>
    <row r="294" spans="1:4">
      <c r="A294" s="17"/>
      <c r="B294" s="17"/>
      <c r="C294" s="17"/>
      <c r="D294" s="17"/>
    </row>
    <row r="295" spans="1:4">
      <c r="A295" s="18"/>
      <c r="B295" s="18"/>
      <c r="C295" s="18"/>
      <c r="D295" s="18"/>
    </row>
    <row r="296" spans="1:4">
      <c r="A296" s="17"/>
      <c r="B296" s="17"/>
      <c r="C296" s="17"/>
      <c r="D296" s="17"/>
    </row>
    <row r="297" spans="1:4">
      <c r="A297" s="18"/>
      <c r="B297" s="18"/>
      <c r="C297" s="18"/>
      <c r="D297" s="18"/>
    </row>
    <row r="298" spans="1:4">
      <c r="A298" s="17"/>
      <c r="B298" s="17"/>
      <c r="C298" s="17"/>
      <c r="D298" s="17"/>
    </row>
    <row r="299" spans="1:4">
      <c r="A299" s="18"/>
      <c r="B299" s="18"/>
      <c r="C299" s="18"/>
      <c r="D299" s="18"/>
    </row>
    <row r="300" spans="1:4">
      <c r="A300" s="17"/>
      <c r="B300" s="17"/>
      <c r="C300" s="17"/>
      <c r="D300" s="17"/>
    </row>
    <row r="301" spans="1:4">
      <c r="A301" s="18"/>
      <c r="B301" s="18"/>
      <c r="C301" s="18"/>
      <c r="D301" s="18"/>
    </row>
    <row r="302" spans="1:4">
      <c r="A302" s="17"/>
      <c r="B302" s="17"/>
      <c r="C302" s="17"/>
      <c r="D302" s="17"/>
    </row>
    <row r="303" spans="1:4">
      <c r="A303" s="18"/>
      <c r="B303" s="18"/>
      <c r="C303" s="18"/>
      <c r="D303" s="18"/>
    </row>
    <row r="304" spans="1:4">
      <c r="A304" s="17"/>
      <c r="B304" s="17"/>
      <c r="C304" s="17"/>
      <c r="D304" s="17"/>
    </row>
    <row r="305" spans="1:4">
      <c r="A305" s="18"/>
      <c r="B305" s="18"/>
      <c r="C305" s="18"/>
      <c r="D305" s="18"/>
    </row>
    <row r="306" spans="1:4">
      <c r="A306" s="17"/>
      <c r="B306" s="17"/>
      <c r="C306" s="17"/>
      <c r="D306" s="17"/>
    </row>
    <row r="307" spans="1:4">
      <c r="A307" s="18"/>
      <c r="B307" s="18"/>
      <c r="C307" s="18"/>
      <c r="D307" s="18"/>
    </row>
    <row r="308" spans="1:4">
      <c r="A308" s="17"/>
      <c r="B308" s="17"/>
      <c r="C308" s="17"/>
      <c r="D308" s="17"/>
    </row>
    <row r="309" spans="1:4">
      <c r="A309" s="18"/>
      <c r="B309" s="18"/>
      <c r="C309" s="18"/>
      <c r="D309" s="18"/>
    </row>
    <row r="310" spans="1:4">
      <c r="A310" s="17"/>
      <c r="B310" s="17"/>
      <c r="C310" s="17"/>
      <c r="D310" s="17"/>
    </row>
    <row r="311" spans="1:4">
      <c r="A311" s="18"/>
      <c r="B311" s="18"/>
      <c r="C311" s="18"/>
      <c r="D311" s="18"/>
    </row>
    <row r="312" spans="1:4">
      <c r="A312" s="17"/>
      <c r="B312" s="17"/>
      <c r="C312" s="17"/>
      <c r="D312" s="17"/>
    </row>
    <row r="313" spans="1:4">
      <c r="A313" s="18"/>
      <c r="B313" s="18"/>
      <c r="C313" s="18"/>
      <c r="D313" s="18"/>
    </row>
    <row r="314" spans="1:4">
      <c r="A314" s="17"/>
      <c r="B314" s="17"/>
      <c r="C314" s="17"/>
      <c r="D314" s="17"/>
    </row>
    <row r="315" spans="1:4">
      <c r="A315" s="18"/>
      <c r="B315" s="18"/>
      <c r="C315" s="18"/>
      <c r="D315" s="18"/>
    </row>
    <row r="316" spans="1:4">
      <c r="A316" s="17"/>
      <c r="B316" s="17"/>
      <c r="C316" s="17"/>
      <c r="D316" s="17"/>
    </row>
    <row r="317" spans="1:4">
      <c r="A317" s="18"/>
      <c r="B317" s="18"/>
      <c r="C317" s="18"/>
      <c r="D317" s="18"/>
    </row>
    <row r="318" spans="1:4">
      <c r="A318" s="17"/>
      <c r="B318" s="17"/>
      <c r="C318" s="17"/>
      <c r="D318" s="17"/>
    </row>
    <row r="319" spans="1:4">
      <c r="A319" s="18"/>
      <c r="B319" s="18"/>
      <c r="C319" s="18"/>
      <c r="D319" s="18"/>
    </row>
    <row r="320" spans="1:4">
      <c r="A320" s="17"/>
      <c r="B320" s="17"/>
      <c r="C320" s="17"/>
      <c r="D320" s="17"/>
    </row>
    <row r="321" spans="1:4">
      <c r="A321" s="18"/>
      <c r="B321" s="18"/>
      <c r="C321" s="18"/>
      <c r="D321" s="18"/>
    </row>
    <row r="322" spans="1:4">
      <c r="A322" s="17"/>
      <c r="B322" s="17"/>
      <c r="C322" s="17"/>
      <c r="D322" s="17"/>
    </row>
    <row r="323" spans="1:4">
      <c r="A323" s="18"/>
      <c r="B323" s="18"/>
      <c r="C323" s="18"/>
      <c r="D323" s="18"/>
    </row>
    <row r="324" spans="1:4">
      <c r="A324" s="17"/>
      <c r="B324" s="17"/>
      <c r="C324" s="17"/>
      <c r="D324" s="17"/>
    </row>
    <row r="325" spans="1:4">
      <c r="A325" s="18"/>
      <c r="B325" s="18"/>
      <c r="C325" s="18"/>
      <c r="D325" s="18"/>
    </row>
    <row r="326" spans="1:4">
      <c r="A326" s="17"/>
      <c r="B326" s="17"/>
      <c r="C326" s="17"/>
      <c r="D326" s="17"/>
    </row>
    <row r="327" spans="1:4">
      <c r="A327" s="18"/>
      <c r="B327" s="18"/>
      <c r="C327" s="18"/>
      <c r="D327" s="18"/>
    </row>
    <row r="328" spans="1:4">
      <c r="A328" s="17"/>
      <c r="B328" s="17"/>
      <c r="C328" s="17"/>
      <c r="D328" s="17"/>
    </row>
    <row r="329" spans="1:4">
      <c r="A329" s="18"/>
      <c r="B329" s="18"/>
      <c r="C329" s="18"/>
      <c r="D329" s="18"/>
    </row>
    <row r="330" spans="1:4">
      <c r="B330" s="17"/>
      <c r="C330" s="17"/>
      <c r="D330" s="17"/>
    </row>
    <row r="331" spans="1:4">
      <c r="B331" s="18"/>
      <c r="C331" s="18"/>
      <c r="D331" s="18"/>
    </row>
    <row r="332" spans="1:4">
      <c r="B332" s="17"/>
      <c r="C332" s="17"/>
      <c r="D332" s="17"/>
    </row>
    <row r="333" spans="1:4">
      <c r="B333" s="18"/>
      <c r="C333" s="18"/>
      <c r="D333" s="18"/>
    </row>
    <row r="334" spans="1:4">
      <c r="B334" s="17"/>
      <c r="C334" s="17"/>
      <c r="D334" s="17"/>
    </row>
    <row r="335" spans="1:4">
      <c r="B335" s="18"/>
      <c r="C335" s="18"/>
      <c r="D335" s="18"/>
    </row>
    <row r="336" spans="1:4">
      <c r="B336" s="17"/>
      <c r="C336" s="17"/>
      <c r="D336" s="17"/>
    </row>
    <row r="337" spans="2:4">
      <c r="B337" s="18"/>
      <c r="C337" s="18"/>
      <c r="D337" s="18"/>
    </row>
    <row r="338" spans="2:4">
      <c r="B338" s="17"/>
      <c r="C338" s="17"/>
      <c r="D338" s="17"/>
    </row>
    <row r="339" spans="2:4">
      <c r="B339" s="18"/>
      <c r="C339" s="18"/>
      <c r="D339" s="18"/>
    </row>
    <row r="340" spans="2:4">
      <c r="B340" s="17"/>
      <c r="C340" s="17"/>
      <c r="D340" s="17"/>
    </row>
    <row r="341" spans="2:4">
      <c r="B341" s="18"/>
      <c r="C341" s="18"/>
      <c r="D341" s="18"/>
    </row>
    <row r="342" spans="2:4">
      <c r="B342" s="17"/>
      <c r="C342" s="17"/>
      <c r="D342" s="17"/>
    </row>
    <row r="343" spans="2:4">
      <c r="B343" s="18"/>
      <c r="C343" s="18"/>
      <c r="D343" s="18"/>
    </row>
    <row r="344" spans="2:4">
      <c r="B344" s="17"/>
      <c r="C344" s="17"/>
      <c r="D344" s="17"/>
    </row>
    <row r="345" spans="2:4">
      <c r="B345" s="18"/>
      <c r="C345" s="18"/>
      <c r="D345" s="18"/>
    </row>
    <row r="346" spans="2:4">
      <c r="B346" s="17"/>
      <c r="C346" s="17"/>
      <c r="D346" s="17"/>
    </row>
    <row r="347" spans="2:4">
      <c r="B347" s="18"/>
      <c r="C347" s="18"/>
      <c r="D347" s="18"/>
    </row>
    <row r="348" spans="2:4">
      <c r="B348" s="17"/>
      <c r="C348" s="17"/>
      <c r="D348" s="17"/>
    </row>
    <row r="349" spans="2:4">
      <c r="B349" s="18"/>
      <c r="C349" s="18"/>
      <c r="D349" s="18"/>
    </row>
    <row r="350" spans="2:4">
      <c r="B350" s="17"/>
      <c r="C350" s="17"/>
      <c r="D350" s="17"/>
    </row>
    <row r="351" spans="2:4">
      <c r="B351" s="18"/>
      <c r="C351" s="18"/>
      <c r="D351" s="18"/>
    </row>
    <row r="352" spans="2:4">
      <c r="B352" s="17"/>
      <c r="C352" s="17"/>
      <c r="D352" s="17"/>
    </row>
    <row r="353" spans="2:4">
      <c r="B353" s="18"/>
      <c r="C353" s="18"/>
      <c r="D353" s="18"/>
    </row>
    <row r="354" spans="2:4">
      <c r="B354" s="17"/>
      <c r="C354" s="17"/>
      <c r="D354" s="17"/>
    </row>
    <row r="355" spans="2:4">
      <c r="B355" s="18"/>
      <c r="C355" s="18"/>
      <c r="D355" s="18"/>
    </row>
    <row r="356" spans="2:4">
      <c r="B356" s="17"/>
      <c r="C356" s="17"/>
      <c r="D356" s="17"/>
    </row>
    <row r="357" spans="2:4">
      <c r="B357" s="18"/>
      <c r="C357" s="18"/>
      <c r="D357" s="18"/>
    </row>
    <row r="358" spans="2:4">
      <c r="B358" s="17"/>
      <c r="C358" s="17"/>
      <c r="D358" s="17"/>
    </row>
    <row r="359" spans="2:4">
      <c r="B359" s="18"/>
      <c r="C359" s="18"/>
      <c r="D359" s="18"/>
    </row>
    <row r="360" spans="2:4">
      <c r="B360" s="17"/>
      <c r="C360" s="17"/>
      <c r="D360" s="17"/>
    </row>
    <row r="361" spans="2:4">
      <c r="B361" s="18"/>
      <c r="C361" s="18"/>
      <c r="D361" s="18"/>
    </row>
    <row r="362" spans="2:4">
      <c r="B362" s="17"/>
      <c r="C362" s="17"/>
      <c r="D362" s="17"/>
    </row>
    <row r="363" spans="2:4">
      <c r="B363" s="18"/>
      <c r="C363" s="18"/>
      <c r="D363" s="18"/>
    </row>
    <row r="364" spans="2:4">
      <c r="B364" s="17"/>
      <c r="C364" s="17"/>
      <c r="D364" s="17"/>
    </row>
    <row r="365" spans="2:4">
      <c r="B365" s="18"/>
      <c r="C365" s="18"/>
      <c r="D365" s="18"/>
    </row>
    <row r="366" spans="2:4">
      <c r="B366" s="17"/>
      <c r="C366" s="17"/>
      <c r="D366" s="17"/>
    </row>
    <row r="367" spans="2:4">
      <c r="B367" s="18"/>
      <c r="C367" s="18"/>
      <c r="D367" s="18"/>
    </row>
    <row r="368" spans="2:4">
      <c r="B368" s="17"/>
      <c r="C368" s="17"/>
      <c r="D368" s="17"/>
    </row>
    <row r="369" spans="2:4">
      <c r="B369" s="18"/>
      <c r="C369" s="18"/>
      <c r="D369" s="18"/>
    </row>
    <row r="370" spans="2:4">
      <c r="B370" s="17"/>
      <c r="C370" s="17"/>
      <c r="D370" s="17"/>
    </row>
    <row r="371" spans="2:4">
      <c r="B371" s="18"/>
      <c r="C371" s="18"/>
      <c r="D371" s="18"/>
    </row>
    <row r="372" spans="2:4">
      <c r="B372" s="17"/>
      <c r="C372" s="17"/>
      <c r="D372" s="17"/>
    </row>
    <row r="373" spans="2:4">
      <c r="B373" s="18"/>
      <c r="C373" s="18"/>
      <c r="D373" s="18"/>
    </row>
    <row r="374" spans="2:4">
      <c r="B374" s="17"/>
      <c r="C374" s="17"/>
      <c r="D374" s="17"/>
    </row>
    <row r="375" spans="2:4">
      <c r="B375" s="18"/>
      <c r="C375" s="18"/>
      <c r="D375" s="18"/>
    </row>
    <row r="376" spans="2:4">
      <c r="B376" s="17"/>
      <c r="C376" s="17"/>
      <c r="D376" s="17"/>
    </row>
    <row r="377" spans="2:4">
      <c r="B377" s="18"/>
      <c r="C377" s="18"/>
      <c r="D377" s="18"/>
    </row>
    <row r="378" spans="2:4">
      <c r="B378" s="17"/>
      <c r="C378" s="17"/>
      <c r="D378" s="17"/>
    </row>
    <row r="379" spans="2:4">
      <c r="B379" s="18"/>
      <c r="C379" s="18"/>
      <c r="D379" s="18"/>
    </row>
    <row r="380" spans="2:4">
      <c r="B380" s="17"/>
      <c r="C380" s="17"/>
      <c r="D380" s="17"/>
    </row>
    <row r="381" spans="2:4">
      <c r="B381" s="18"/>
      <c r="C381" s="18"/>
      <c r="D381" s="18"/>
    </row>
    <row r="382" spans="2:4">
      <c r="B382" s="17"/>
      <c r="C382" s="17"/>
      <c r="D382" s="17"/>
    </row>
    <row r="383" spans="2:4">
      <c r="B383" s="18"/>
      <c r="C383" s="18"/>
      <c r="D383" s="18"/>
    </row>
    <row r="384" spans="2:4">
      <c r="B384" s="17"/>
      <c r="C384" s="17"/>
      <c r="D384" s="17"/>
    </row>
    <row r="385" spans="2:4">
      <c r="B385" s="18"/>
      <c r="C385" s="18"/>
      <c r="D385" s="18"/>
    </row>
    <row r="386" spans="2:4">
      <c r="B386" s="17"/>
      <c r="C386" s="17"/>
      <c r="D386" s="17"/>
    </row>
    <row r="387" spans="2:4">
      <c r="B387" s="18"/>
      <c r="C387" s="18"/>
      <c r="D387" s="18"/>
    </row>
    <row r="388" spans="2:4">
      <c r="B388" s="17"/>
      <c r="C388" s="17"/>
      <c r="D388" s="17"/>
    </row>
    <row r="389" spans="2:4">
      <c r="B389" s="18"/>
      <c r="C389" s="18"/>
      <c r="D389" s="18"/>
    </row>
    <row r="390" spans="2:4">
      <c r="B390" s="17"/>
      <c r="C390" s="17"/>
      <c r="D390" s="17"/>
    </row>
    <row r="391" spans="2:4">
      <c r="B391" s="18"/>
      <c r="C391" s="18"/>
      <c r="D391" s="18"/>
    </row>
    <row r="392" spans="2:4">
      <c r="B392" s="17"/>
      <c r="C392" s="17"/>
      <c r="D392" s="17"/>
    </row>
    <row r="393" spans="2:4">
      <c r="B393" s="18"/>
      <c r="C393" s="18"/>
      <c r="D393" s="18"/>
    </row>
    <row r="394" spans="2:4">
      <c r="B394" s="17"/>
      <c r="C394" s="17"/>
      <c r="D394" s="17"/>
    </row>
    <row r="395" spans="2:4">
      <c r="B395" s="18"/>
      <c r="C395" s="18"/>
      <c r="D395" s="18"/>
    </row>
    <row r="396" spans="2:4">
      <c r="B396" s="17"/>
      <c r="C396" s="17"/>
      <c r="D396" s="17"/>
    </row>
    <row r="397" spans="2:4">
      <c r="B397" s="18"/>
      <c r="C397" s="18"/>
      <c r="D397" s="18"/>
    </row>
    <row r="398" spans="2:4">
      <c r="B398" s="17"/>
      <c r="C398" s="17"/>
      <c r="D398" s="17"/>
    </row>
    <row r="399" spans="2:4">
      <c r="B399" s="18"/>
      <c r="C399" s="18"/>
      <c r="D399" s="18"/>
    </row>
    <row r="400" spans="2:4">
      <c r="B400" s="17"/>
      <c r="C400" s="17"/>
      <c r="D400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389C-446C-E44A-A1AF-BCCA39281BD9}">
  <dimension ref="A1:C329"/>
  <sheetViews>
    <sheetView topLeftCell="A197" workbookViewId="0">
      <selection activeCell="K288" sqref="K288"/>
    </sheetView>
  </sheetViews>
  <sheetFormatPr baseColWidth="10" defaultRowHeight="15"/>
  <sheetData>
    <row r="1" spans="1:3" ht="28">
      <c r="A1" s="5" t="s">
        <v>22</v>
      </c>
      <c r="B1" s="1" t="s">
        <v>377</v>
      </c>
      <c r="C1" s="1" t="s">
        <v>378</v>
      </c>
    </row>
    <row r="2" spans="1:3">
      <c r="A2" s="3">
        <v>45016</v>
      </c>
      <c r="B2" s="12">
        <v>4.0583999999999998</v>
      </c>
      <c r="C2" s="12">
        <v>4.3438999999999997</v>
      </c>
    </row>
    <row r="3" spans="1:3">
      <c r="A3" s="3">
        <v>44985</v>
      </c>
      <c r="B3" s="12">
        <v>3.7347000000000001</v>
      </c>
      <c r="C3" s="12">
        <v>3.6779000000000002</v>
      </c>
    </row>
    <row r="4" spans="1:3">
      <c r="A4" s="3">
        <v>44954</v>
      </c>
      <c r="B4" s="12">
        <v>3.8826000000000001</v>
      </c>
      <c r="C4" s="12">
        <v>3.7524999999999999</v>
      </c>
    </row>
    <row r="5" spans="1:3">
      <c r="A5" s="3">
        <v>44923</v>
      </c>
      <c r="B5" s="12">
        <v>3.512</v>
      </c>
      <c r="C5" s="12">
        <v>3.5379999999999998</v>
      </c>
    </row>
    <row r="6" spans="1:3">
      <c r="A6" s="3">
        <v>44893</v>
      </c>
      <c r="B6" s="12">
        <v>3.6067</v>
      </c>
      <c r="C6" s="12">
        <v>2.9586000000000001</v>
      </c>
    </row>
    <row r="7" spans="1:3">
      <c r="A7" s="3">
        <v>44862</v>
      </c>
      <c r="B7" s="12">
        <v>3.2601</v>
      </c>
      <c r="C7" s="12">
        <v>2.5735999999999999</v>
      </c>
    </row>
    <row r="8" spans="1:3">
      <c r="A8" s="3">
        <v>44832</v>
      </c>
      <c r="B8" s="12">
        <v>2.4885999999999999</v>
      </c>
      <c r="C8" s="12">
        <v>2.0693999999999999</v>
      </c>
    </row>
    <row r="9" spans="1:3">
      <c r="A9" s="3">
        <v>44801</v>
      </c>
      <c r="B9" s="12">
        <v>2.0541</v>
      </c>
      <c r="C9" s="12">
        <v>1.5660000000000001</v>
      </c>
    </row>
    <row r="10" spans="1:3">
      <c r="A10" s="3">
        <v>44770</v>
      </c>
      <c r="B10" s="12">
        <v>2.6960999999999999</v>
      </c>
      <c r="C10" s="12">
        <v>1.3973</v>
      </c>
    </row>
    <row r="11" spans="1:3">
      <c r="A11" s="3">
        <v>44740</v>
      </c>
      <c r="B11" s="12">
        <v>2.3563999999999998</v>
      </c>
      <c r="C11" s="12">
        <v>1.4974000000000001</v>
      </c>
    </row>
    <row r="12" spans="1:3">
      <c r="A12" s="3">
        <v>44709</v>
      </c>
      <c r="B12" s="12">
        <v>2.2486999999999999</v>
      </c>
      <c r="C12" s="12">
        <v>1.2571000000000001</v>
      </c>
    </row>
    <row r="13" spans="1:3">
      <c r="A13" s="3">
        <v>44679</v>
      </c>
      <c r="B13" s="12">
        <v>2.1194000000000002</v>
      </c>
      <c r="C13" s="12">
        <v>1.2806</v>
      </c>
    </row>
    <row r="14" spans="1:3">
      <c r="A14" s="3">
        <v>44648</v>
      </c>
      <c r="B14" s="12">
        <v>1.6913</v>
      </c>
      <c r="C14" s="12">
        <v>1.3219000000000001</v>
      </c>
    </row>
    <row r="15" spans="1:3">
      <c r="A15" s="3">
        <v>44620</v>
      </c>
      <c r="B15" s="12">
        <v>1.6182000000000001</v>
      </c>
      <c r="C15" s="12">
        <v>1.1973</v>
      </c>
    </row>
    <row r="16" spans="1:3">
      <c r="A16" s="3">
        <v>44589</v>
      </c>
      <c r="B16" s="12">
        <v>1.3746</v>
      </c>
      <c r="C16" s="12">
        <v>1.2804</v>
      </c>
    </row>
    <row r="17" spans="1:3">
      <c r="A17" s="3">
        <v>44558</v>
      </c>
      <c r="B17" s="12">
        <v>1.3447</v>
      </c>
      <c r="C17" s="12">
        <v>1.3115000000000001</v>
      </c>
    </row>
    <row r="18" spans="1:3">
      <c r="A18" s="3">
        <v>44528</v>
      </c>
      <c r="B18" s="12">
        <v>1.4666999999999999</v>
      </c>
      <c r="C18" s="12">
        <v>1.2072000000000001</v>
      </c>
    </row>
    <row r="19" spans="1:3">
      <c r="A19" s="3">
        <v>44497</v>
      </c>
      <c r="B19" s="12">
        <v>1.4661999999999999</v>
      </c>
      <c r="C19" s="12">
        <v>1.2591000000000001</v>
      </c>
    </row>
    <row r="20" spans="1:3">
      <c r="A20" s="3">
        <v>44467</v>
      </c>
      <c r="B20" s="12">
        <v>1.4661999999999999</v>
      </c>
      <c r="C20" s="12">
        <v>1.2849999999999999</v>
      </c>
    </row>
    <row r="21" spans="1:3">
      <c r="A21" s="3">
        <v>44436</v>
      </c>
      <c r="B21" s="12">
        <v>1.2598</v>
      </c>
      <c r="C21" s="12">
        <v>1.2628999999999999</v>
      </c>
    </row>
    <row r="22" spans="1:3">
      <c r="A22" s="3">
        <v>44405</v>
      </c>
      <c r="B22" s="12">
        <v>1.2877000000000001</v>
      </c>
      <c r="C22" s="12">
        <v>1.2152000000000001</v>
      </c>
    </row>
    <row r="23" spans="1:3">
      <c r="A23" s="3">
        <v>44375</v>
      </c>
      <c r="B23" s="12">
        <v>1.4844999999999999</v>
      </c>
      <c r="C23" s="12">
        <v>1.3160000000000001</v>
      </c>
    </row>
    <row r="24" spans="1:3">
      <c r="A24" s="3">
        <v>44344</v>
      </c>
      <c r="B24" s="12">
        <v>1.4911000000000001</v>
      </c>
      <c r="C24" s="12">
        <v>1.2709999999999999</v>
      </c>
    </row>
    <row r="25" spans="1:3">
      <c r="A25" s="3">
        <v>44314</v>
      </c>
      <c r="B25" s="12">
        <v>1.5483</v>
      </c>
      <c r="C25" s="12">
        <v>1.3193999999999999</v>
      </c>
    </row>
    <row r="26" spans="1:3">
      <c r="A26" s="3">
        <v>44283</v>
      </c>
      <c r="B26" s="12">
        <v>1.4165000000000001</v>
      </c>
      <c r="C26" s="12">
        <v>1.4120999999999999</v>
      </c>
    </row>
    <row r="27" spans="1:3">
      <c r="A27" s="3">
        <v>44255</v>
      </c>
      <c r="B27" s="12">
        <v>1.3895999999999999</v>
      </c>
      <c r="C27" s="12">
        <v>1.3124</v>
      </c>
    </row>
    <row r="28" spans="1:3">
      <c r="A28" s="3">
        <v>44224</v>
      </c>
      <c r="B28" s="12">
        <v>1.4659</v>
      </c>
      <c r="C28" s="12">
        <v>1.3378000000000001</v>
      </c>
    </row>
    <row r="29" spans="1:3">
      <c r="A29" s="3">
        <v>44193</v>
      </c>
      <c r="B29" s="12">
        <v>1.4058999999999999</v>
      </c>
      <c r="C29" s="12">
        <v>1.5447</v>
      </c>
    </row>
    <row r="30" spans="1:3">
      <c r="A30" s="3">
        <v>44163</v>
      </c>
      <c r="B30" s="12">
        <v>1.4414</v>
      </c>
      <c r="C30" s="12">
        <v>1.4825999999999999</v>
      </c>
    </row>
    <row r="31" spans="1:3">
      <c r="A31" s="3">
        <v>44132</v>
      </c>
      <c r="B31" s="12">
        <v>1.4292</v>
      </c>
      <c r="C31" s="12">
        <v>1.4489000000000001</v>
      </c>
    </row>
    <row r="32" spans="1:3">
      <c r="A32" s="3">
        <v>44102</v>
      </c>
      <c r="B32" s="12">
        <v>1.3828</v>
      </c>
      <c r="C32" s="12">
        <v>1.4733000000000001</v>
      </c>
    </row>
    <row r="33" spans="1:3">
      <c r="A33" s="3">
        <v>44071</v>
      </c>
      <c r="B33" s="12">
        <v>1.2407999999999999</v>
      </c>
      <c r="C33" s="12">
        <v>1.4060999999999999</v>
      </c>
    </row>
    <row r="34" spans="1:3">
      <c r="A34" s="3">
        <v>44040</v>
      </c>
      <c r="B34" s="12">
        <v>1.2729999999999999</v>
      </c>
      <c r="C34" s="12">
        <v>1.4305000000000001</v>
      </c>
    </row>
    <row r="35" spans="1:3">
      <c r="A35" s="3">
        <v>44010</v>
      </c>
      <c r="B35" s="12">
        <v>1.2943</v>
      </c>
      <c r="C35" s="12">
        <v>1.5150999999999999</v>
      </c>
    </row>
    <row r="36" spans="1:3">
      <c r="A36" s="3">
        <v>43979</v>
      </c>
      <c r="B36" s="12">
        <v>1.2585</v>
      </c>
      <c r="C36" s="12">
        <v>1.5073000000000001</v>
      </c>
    </row>
    <row r="37" spans="1:3">
      <c r="A37" s="3">
        <v>43949</v>
      </c>
      <c r="B37" s="12">
        <v>1.1711</v>
      </c>
      <c r="C37" s="12">
        <v>1.4728000000000001</v>
      </c>
    </row>
    <row r="38" spans="1:3">
      <c r="A38" s="3">
        <v>43918</v>
      </c>
      <c r="B38" s="12">
        <v>1.2186999999999999</v>
      </c>
      <c r="C38" s="12">
        <v>1.4416</v>
      </c>
    </row>
    <row r="39" spans="1:3">
      <c r="A39" s="3">
        <v>43889</v>
      </c>
      <c r="B39" s="12">
        <v>1.5391999999999999</v>
      </c>
      <c r="C39" s="12">
        <v>1.5415000000000001</v>
      </c>
    </row>
    <row r="40" spans="1:3">
      <c r="A40" s="3">
        <v>43858</v>
      </c>
      <c r="B40" s="12">
        <v>1.4493</v>
      </c>
      <c r="C40" s="12">
        <v>1.5248999999999999</v>
      </c>
    </row>
    <row r="41" spans="1:3">
      <c r="A41" s="3">
        <v>43827</v>
      </c>
      <c r="B41" s="12">
        <v>1.5262</v>
      </c>
      <c r="C41" s="12">
        <v>1.6406000000000001</v>
      </c>
    </row>
    <row r="42" spans="1:3">
      <c r="A42" s="3">
        <v>43797</v>
      </c>
      <c r="B42" s="12">
        <v>1.4991000000000001</v>
      </c>
      <c r="C42" s="12">
        <v>1.5705</v>
      </c>
    </row>
    <row r="43" spans="1:3">
      <c r="A43" s="3">
        <v>43766</v>
      </c>
      <c r="B43" s="12">
        <v>1.4267000000000001</v>
      </c>
      <c r="C43" s="12">
        <v>1.6214999999999999</v>
      </c>
    </row>
    <row r="44" spans="1:3">
      <c r="A44" s="3">
        <v>43736</v>
      </c>
      <c r="B44" s="12">
        <v>1.5147999999999999</v>
      </c>
      <c r="C44" s="12">
        <v>1.5803</v>
      </c>
    </row>
    <row r="45" spans="1:3">
      <c r="A45" s="3">
        <v>43705</v>
      </c>
      <c r="B45" s="12">
        <v>1.7996000000000001</v>
      </c>
      <c r="C45" s="12">
        <v>1.5601</v>
      </c>
    </row>
    <row r="46" spans="1:3">
      <c r="A46" s="3">
        <v>43674</v>
      </c>
      <c r="B46" s="12">
        <v>1.6644000000000001</v>
      </c>
      <c r="C46" s="12">
        <v>1.6794</v>
      </c>
    </row>
    <row r="47" spans="1:3">
      <c r="A47" s="3">
        <v>43644</v>
      </c>
      <c r="B47" s="12">
        <v>1.8372999999999999</v>
      </c>
      <c r="C47" s="12">
        <v>1.6452</v>
      </c>
    </row>
    <row r="48" spans="1:3">
      <c r="A48" s="3">
        <v>43613</v>
      </c>
      <c r="B48" s="12">
        <v>1.9802</v>
      </c>
      <c r="C48" s="12">
        <v>1.7203999999999999</v>
      </c>
    </row>
    <row r="49" spans="1:3">
      <c r="A49" s="3">
        <v>43583</v>
      </c>
      <c r="B49" s="12">
        <v>1.8466</v>
      </c>
      <c r="C49" s="12">
        <v>1.7814000000000001</v>
      </c>
    </row>
    <row r="50" spans="1:3">
      <c r="A50" s="3">
        <v>43552</v>
      </c>
      <c r="B50" s="12">
        <v>2.0366</v>
      </c>
      <c r="C50" s="12">
        <v>1.6917</v>
      </c>
    </row>
    <row r="51" spans="1:3">
      <c r="A51" s="3">
        <v>43524</v>
      </c>
      <c r="B51" s="12">
        <v>2.0497000000000001</v>
      </c>
      <c r="C51" s="12">
        <v>1.7916000000000001</v>
      </c>
    </row>
    <row r="52" spans="1:3">
      <c r="A52" s="3">
        <v>43493</v>
      </c>
      <c r="B52" s="12">
        <v>1.9624999999999999</v>
      </c>
      <c r="C52" s="12">
        <v>1.7734000000000001</v>
      </c>
    </row>
    <row r="53" spans="1:3">
      <c r="A53" s="3">
        <v>43462</v>
      </c>
      <c r="B53" s="12">
        <v>2.0815000000000001</v>
      </c>
      <c r="C53" s="12">
        <v>1.7073</v>
      </c>
    </row>
    <row r="54" spans="1:3">
      <c r="A54" s="3">
        <v>43432</v>
      </c>
      <c r="B54" s="12">
        <v>2.0125000000000002</v>
      </c>
      <c r="C54" s="12">
        <v>1.762</v>
      </c>
    </row>
    <row r="55" spans="1:3">
      <c r="A55" s="3">
        <v>43401</v>
      </c>
      <c r="B55" s="12">
        <v>2.0941999999999998</v>
      </c>
      <c r="C55" s="12">
        <v>1.7578</v>
      </c>
    </row>
    <row r="56" spans="1:3">
      <c r="A56" s="3">
        <v>43371</v>
      </c>
      <c r="B56" s="12">
        <v>1.9531000000000001</v>
      </c>
      <c r="C56" s="12">
        <v>1.7029000000000001</v>
      </c>
    </row>
    <row r="57" spans="1:3">
      <c r="A57" s="3">
        <v>43340</v>
      </c>
      <c r="B57" s="12">
        <v>2.0769000000000002</v>
      </c>
      <c r="C57" s="12">
        <v>1.8004</v>
      </c>
    </row>
    <row r="58" spans="1:3">
      <c r="A58" s="3">
        <v>43309</v>
      </c>
      <c r="B58" s="12">
        <v>1.9238</v>
      </c>
      <c r="C58" s="12">
        <v>1.7545999999999999</v>
      </c>
    </row>
    <row r="59" spans="1:3">
      <c r="A59" s="3">
        <v>43279</v>
      </c>
      <c r="B59" s="12">
        <v>1.885</v>
      </c>
      <c r="C59" s="12">
        <v>1.7430000000000001</v>
      </c>
    </row>
    <row r="60" spans="1:3">
      <c r="A60" s="3">
        <v>43248</v>
      </c>
      <c r="B60" s="12">
        <v>1.9273</v>
      </c>
      <c r="C60" s="12">
        <v>1.708</v>
      </c>
    </row>
    <row r="61" spans="1:3">
      <c r="A61" s="3">
        <v>43218</v>
      </c>
      <c r="B61" s="12">
        <v>1.9146000000000001</v>
      </c>
      <c r="C61" s="12">
        <v>1.7561</v>
      </c>
    </row>
    <row r="62" spans="1:3">
      <c r="A62" s="3">
        <v>43187</v>
      </c>
      <c r="B62" s="12">
        <v>1.9784999999999999</v>
      </c>
      <c r="C62" s="12">
        <v>1.7965</v>
      </c>
    </row>
    <row r="63" spans="1:3">
      <c r="A63" s="3">
        <v>43159</v>
      </c>
      <c r="B63" s="12">
        <v>2.0396000000000001</v>
      </c>
      <c r="C63" s="12">
        <v>1.8162</v>
      </c>
    </row>
    <row r="64" spans="1:3">
      <c r="A64" s="3">
        <v>43128</v>
      </c>
      <c r="B64" s="12">
        <v>1.9222999999999999</v>
      </c>
      <c r="C64" s="12">
        <v>1.7463</v>
      </c>
    </row>
    <row r="65" spans="1:3">
      <c r="A65" s="3">
        <v>43097</v>
      </c>
      <c r="B65" s="12">
        <v>1.9014</v>
      </c>
      <c r="C65" s="12">
        <v>1.7945</v>
      </c>
    </row>
    <row r="66" spans="1:3">
      <c r="A66" s="3">
        <v>43067</v>
      </c>
      <c r="B66" s="12">
        <v>1.9888999999999999</v>
      </c>
      <c r="C66" s="12">
        <v>1.7989999999999999</v>
      </c>
    </row>
    <row r="67" spans="1:3">
      <c r="A67" s="3">
        <v>43036</v>
      </c>
      <c r="B67" s="12">
        <v>2.1518999999999999</v>
      </c>
      <c r="C67" s="12">
        <v>1.7912999999999999</v>
      </c>
    </row>
    <row r="68" spans="1:3">
      <c r="A68" s="3">
        <v>43006</v>
      </c>
      <c r="B68" s="12">
        <v>2.0832000000000002</v>
      </c>
      <c r="C68" s="12">
        <v>1.7424999999999999</v>
      </c>
    </row>
    <row r="69" spans="1:3">
      <c r="A69" s="3">
        <v>42975</v>
      </c>
      <c r="B69" s="12">
        <v>2.2787000000000002</v>
      </c>
      <c r="C69" s="12">
        <v>1.8812</v>
      </c>
    </row>
    <row r="70" spans="1:3">
      <c r="A70" s="3">
        <v>42944</v>
      </c>
      <c r="B70" s="12">
        <v>2.1303999999999998</v>
      </c>
      <c r="C70" s="12">
        <v>1.8595999999999999</v>
      </c>
    </row>
    <row r="71" spans="1:3">
      <c r="A71" s="3">
        <v>42914</v>
      </c>
      <c r="B71" s="12">
        <v>2.1082000000000001</v>
      </c>
      <c r="C71" s="12">
        <v>1.8513999999999999</v>
      </c>
    </row>
    <row r="72" spans="1:3">
      <c r="A72" s="3">
        <v>42883</v>
      </c>
      <c r="B72" s="12">
        <v>2.1709000000000001</v>
      </c>
      <c r="C72" s="12">
        <v>1.9076</v>
      </c>
    </row>
    <row r="73" spans="1:3">
      <c r="A73" s="3">
        <v>42853</v>
      </c>
      <c r="B73" s="12">
        <v>2.1673</v>
      </c>
      <c r="C73" s="12">
        <v>1.8485</v>
      </c>
    </row>
    <row r="74" spans="1:3">
      <c r="A74" s="3">
        <v>42822</v>
      </c>
      <c r="B74" s="12">
        <v>2.0626000000000002</v>
      </c>
      <c r="C74" s="12">
        <v>2.0036999999999998</v>
      </c>
    </row>
    <row r="75" spans="1:3">
      <c r="A75" s="3">
        <v>42794</v>
      </c>
      <c r="B75" s="12">
        <v>2.2044000000000001</v>
      </c>
      <c r="C75" s="12">
        <v>1.8993</v>
      </c>
    </row>
    <row r="76" spans="1:3">
      <c r="A76" s="3">
        <v>42763</v>
      </c>
      <c r="B76" s="12">
        <v>2.1797</v>
      </c>
      <c r="C76" s="12">
        <v>1.9398</v>
      </c>
    </row>
    <row r="77" spans="1:3">
      <c r="A77" s="3">
        <v>42732</v>
      </c>
      <c r="B77" s="12">
        <v>2.0169000000000001</v>
      </c>
      <c r="C77" s="12">
        <v>1.9016</v>
      </c>
    </row>
    <row r="78" spans="1:3">
      <c r="A78" s="3">
        <v>42702</v>
      </c>
      <c r="B78" s="12">
        <v>1.9838</v>
      </c>
      <c r="C78" s="12">
        <v>1.9741</v>
      </c>
    </row>
    <row r="79" spans="1:3">
      <c r="A79" s="3">
        <v>42671</v>
      </c>
      <c r="B79" s="12">
        <v>2.1158999999999999</v>
      </c>
      <c r="C79" s="12">
        <v>1.9646999999999999</v>
      </c>
    </row>
    <row r="80" spans="1:3">
      <c r="A80" s="3">
        <v>42641</v>
      </c>
      <c r="B80" s="12">
        <v>2.0935999999999999</v>
      </c>
      <c r="C80" s="12">
        <v>1.9144000000000001</v>
      </c>
    </row>
    <row r="81" spans="1:3">
      <c r="A81" s="3">
        <v>42610</v>
      </c>
      <c r="B81" s="12">
        <v>2.2265999999999999</v>
      </c>
      <c r="C81" s="12">
        <v>2.0522</v>
      </c>
    </row>
    <row r="82" spans="1:3">
      <c r="A82" s="3">
        <v>42579</v>
      </c>
      <c r="B82" s="12">
        <v>2.2391000000000001</v>
      </c>
      <c r="C82" s="12">
        <v>2.0735000000000001</v>
      </c>
    </row>
    <row r="83" spans="1:3">
      <c r="A83" s="3">
        <v>42549</v>
      </c>
      <c r="B83" s="12">
        <v>2.2957999999999998</v>
      </c>
      <c r="C83" s="12">
        <v>2.1371000000000002</v>
      </c>
    </row>
    <row r="84" spans="1:3">
      <c r="A84" s="3">
        <v>42518</v>
      </c>
      <c r="B84" s="12">
        <v>2.4836999999999998</v>
      </c>
      <c r="C84" s="12">
        <v>2.1753999999999998</v>
      </c>
    </row>
    <row r="85" spans="1:3">
      <c r="A85" s="3">
        <v>42488</v>
      </c>
      <c r="B85" s="12">
        <v>2.5264000000000002</v>
      </c>
      <c r="C85" s="12">
        <v>2.2938000000000001</v>
      </c>
    </row>
    <row r="86" spans="1:3">
      <c r="A86" s="3">
        <v>42457</v>
      </c>
      <c r="B86" s="12">
        <v>2.5983000000000001</v>
      </c>
      <c r="C86" s="12">
        <v>2.3069999999999999</v>
      </c>
    </row>
    <row r="87" spans="1:3">
      <c r="A87" s="3">
        <v>42428</v>
      </c>
      <c r="B87" s="12">
        <v>2.7814999999999999</v>
      </c>
      <c r="C87" s="12">
        <v>2.3603000000000001</v>
      </c>
    </row>
    <row r="88" spans="1:3">
      <c r="A88" s="3">
        <v>42397</v>
      </c>
      <c r="B88" s="12">
        <v>2.8071000000000002</v>
      </c>
      <c r="C88" s="12">
        <v>2.4405999999999999</v>
      </c>
    </row>
    <row r="89" spans="1:3">
      <c r="A89" s="3">
        <v>42366</v>
      </c>
      <c r="B89" s="12">
        <v>2.8567999999999998</v>
      </c>
      <c r="C89" s="12">
        <v>2.335</v>
      </c>
    </row>
    <row r="90" spans="1:3">
      <c r="A90" s="3">
        <v>42336</v>
      </c>
      <c r="B90" s="12">
        <v>2.9077000000000002</v>
      </c>
      <c r="C90" s="12">
        <v>2.3443000000000001</v>
      </c>
    </row>
    <row r="91" spans="1:3">
      <c r="A91" s="3">
        <v>42305</v>
      </c>
      <c r="B91" s="12">
        <v>3.0346000000000002</v>
      </c>
      <c r="C91" s="12">
        <v>2.4411999999999998</v>
      </c>
    </row>
    <row r="92" spans="1:3">
      <c r="A92" s="3">
        <v>42275</v>
      </c>
      <c r="B92" s="12">
        <v>3.1613000000000002</v>
      </c>
      <c r="C92" s="12">
        <v>2.4420999999999999</v>
      </c>
    </row>
    <row r="93" spans="1:3">
      <c r="A93" s="3">
        <v>42244</v>
      </c>
      <c r="B93" s="12">
        <v>3.1084000000000001</v>
      </c>
      <c r="C93" s="12">
        <v>2.5548999999999999</v>
      </c>
    </row>
    <row r="94" spans="1:3">
      <c r="A94" s="3">
        <v>42213</v>
      </c>
      <c r="B94" s="12">
        <v>3.0371000000000001</v>
      </c>
      <c r="C94" s="12">
        <v>2.5293999999999999</v>
      </c>
    </row>
    <row r="95" spans="1:3">
      <c r="A95" s="3">
        <v>42183</v>
      </c>
      <c r="B95" s="12">
        <v>3.2006000000000001</v>
      </c>
      <c r="C95" s="12">
        <v>2.6030000000000002</v>
      </c>
    </row>
    <row r="96" spans="1:3">
      <c r="A96" s="3">
        <v>42152</v>
      </c>
      <c r="B96" s="12">
        <v>3.1154000000000002</v>
      </c>
      <c r="C96" s="12">
        <v>2.6356999999999999</v>
      </c>
    </row>
    <row r="97" spans="1:3">
      <c r="A97" s="3">
        <v>42122</v>
      </c>
      <c r="B97" s="12">
        <v>3.2014</v>
      </c>
      <c r="C97" s="12">
        <v>2.8576000000000001</v>
      </c>
    </row>
    <row r="98" spans="1:3">
      <c r="A98" s="3">
        <v>42091</v>
      </c>
      <c r="B98" s="12">
        <v>3.4142999999999999</v>
      </c>
      <c r="C98" s="12">
        <v>2.8755000000000002</v>
      </c>
    </row>
    <row r="99" spans="1:3">
      <c r="A99" s="3">
        <v>42063</v>
      </c>
      <c r="B99" s="12">
        <v>3.5383</v>
      </c>
      <c r="C99" s="12">
        <v>2.9954000000000001</v>
      </c>
    </row>
    <row r="100" spans="1:3">
      <c r="A100" s="3">
        <v>42032</v>
      </c>
      <c r="B100" s="12">
        <v>3.2016</v>
      </c>
      <c r="C100" s="12">
        <v>3.0183</v>
      </c>
    </row>
    <row r="101" spans="1:3">
      <c r="A101" s="3">
        <v>42001</v>
      </c>
      <c r="B101" s="12">
        <v>3.5487000000000002</v>
      </c>
      <c r="C101" s="12">
        <v>3.0434000000000001</v>
      </c>
    </row>
    <row r="102" spans="1:3">
      <c r="A102" s="3">
        <v>41971</v>
      </c>
      <c r="B102" s="12">
        <v>3.8228</v>
      </c>
      <c r="C102" s="12">
        <v>3.0316999999999998</v>
      </c>
    </row>
    <row r="103" spans="1:3">
      <c r="A103" s="3">
        <v>41940</v>
      </c>
      <c r="B103" s="12">
        <v>3.8182</v>
      </c>
      <c r="C103" s="12">
        <v>3.1640000000000001</v>
      </c>
    </row>
    <row r="104" spans="1:3">
      <c r="A104" s="3">
        <v>41910</v>
      </c>
      <c r="B104" s="12">
        <v>4.2560000000000002</v>
      </c>
      <c r="C104" s="12">
        <v>3.3416000000000001</v>
      </c>
    </row>
    <row r="105" spans="1:3">
      <c r="A105" s="3">
        <v>41879</v>
      </c>
      <c r="B105" s="12">
        <v>4.5338000000000003</v>
      </c>
      <c r="C105" s="12">
        <v>3.4016000000000002</v>
      </c>
    </row>
    <row r="106" spans="1:3">
      <c r="A106" s="3">
        <v>41848</v>
      </c>
      <c r="B106" s="12">
        <v>4.1188000000000002</v>
      </c>
      <c r="C106" s="12">
        <v>3.5421</v>
      </c>
    </row>
    <row r="107" spans="1:3">
      <c r="A107" s="3">
        <v>41818</v>
      </c>
      <c r="B107" s="12">
        <v>4.1376999999999997</v>
      </c>
      <c r="C107" s="12">
        <v>3.5781000000000001</v>
      </c>
    </row>
    <row r="108" spans="1:3">
      <c r="A108" s="3">
        <v>41787</v>
      </c>
      <c r="B108" s="12">
        <v>4.6676000000000002</v>
      </c>
      <c r="C108" s="12">
        <v>3.7210999999999999</v>
      </c>
    </row>
    <row r="109" spans="1:3">
      <c r="A109" s="3">
        <v>41757</v>
      </c>
      <c r="B109" s="12">
        <v>4.3558000000000003</v>
      </c>
      <c r="C109" s="12">
        <v>3.7965</v>
      </c>
    </row>
    <row r="110" spans="1:3">
      <c r="A110" s="3">
        <v>41726</v>
      </c>
      <c r="B110" s="12">
        <v>4.7042999999999999</v>
      </c>
      <c r="C110" s="12">
        <v>3.8672</v>
      </c>
    </row>
    <row r="111" spans="1:3">
      <c r="A111" s="3">
        <v>41698</v>
      </c>
      <c r="B111" s="12">
        <v>4.7069999999999999</v>
      </c>
      <c r="C111" s="12">
        <v>3.9161999999999999</v>
      </c>
    </row>
    <row r="112" spans="1:3">
      <c r="A112" s="3">
        <v>41667</v>
      </c>
      <c r="B112" s="12">
        <v>4.3613</v>
      </c>
      <c r="C112" s="12">
        <v>3.8976999999999999</v>
      </c>
    </row>
    <row r="113" spans="1:3">
      <c r="A113" s="3">
        <v>41636</v>
      </c>
      <c r="B113" s="12">
        <v>4.5529999999999999</v>
      </c>
      <c r="C113" s="12">
        <v>3.9047999999999998</v>
      </c>
    </row>
    <row r="114" spans="1:3">
      <c r="A114" s="3">
        <v>41606</v>
      </c>
      <c r="B114" s="12">
        <v>4.3460999999999999</v>
      </c>
      <c r="C114" s="12">
        <v>3.8952</v>
      </c>
    </row>
    <row r="115" spans="1:3">
      <c r="A115" s="3">
        <v>41575</v>
      </c>
      <c r="B115" s="12">
        <v>4.6703999999999999</v>
      </c>
      <c r="C115" s="12">
        <v>3.9796999999999998</v>
      </c>
    </row>
    <row r="116" spans="1:3">
      <c r="A116" s="3">
        <v>41545</v>
      </c>
      <c r="B116" s="12">
        <v>4.7831999999999999</v>
      </c>
      <c r="C116" s="12">
        <v>4.0204000000000004</v>
      </c>
    </row>
    <row r="117" spans="1:3">
      <c r="A117" s="3">
        <v>41514</v>
      </c>
      <c r="B117" s="12">
        <v>4.181</v>
      </c>
      <c r="C117" s="12">
        <v>3.9434999999999998</v>
      </c>
    </row>
    <row r="118" spans="1:3">
      <c r="A118" s="3">
        <v>41483</v>
      </c>
      <c r="B118" s="12">
        <v>4.5457000000000001</v>
      </c>
      <c r="C118" s="12">
        <v>3.9748000000000001</v>
      </c>
    </row>
    <row r="119" spans="1:3">
      <c r="A119" s="3">
        <v>41453</v>
      </c>
      <c r="B119" s="12">
        <v>4.5015000000000001</v>
      </c>
      <c r="C119" s="12">
        <v>3.8399000000000001</v>
      </c>
    </row>
    <row r="120" spans="1:3">
      <c r="A120" s="3">
        <v>41422</v>
      </c>
      <c r="B120" s="12">
        <v>4.6841999999999997</v>
      </c>
      <c r="C120" s="12">
        <v>3.9483000000000001</v>
      </c>
    </row>
    <row r="121" spans="1:3">
      <c r="A121" s="3">
        <v>41392</v>
      </c>
      <c r="B121" s="12">
        <v>3.9950999999999999</v>
      </c>
      <c r="C121" s="12">
        <v>4.0442</v>
      </c>
    </row>
    <row r="122" spans="1:3">
      <c r="A122" s="3">
        <v>41361</v>
      </c>
      <c r="B122" s="12">
        <v>4.5166000000000004</v>
      </c>
      <c r="C122" s="12">
        <v>3.9636</v>
      </c>
    </row>
    <row r="123" spans="1:3">
      <c r="A123" s="3">
        <v>41333</v>
      </c>
      <c r="B123" s="12">
        <v>4.7103999999999999</v>
      </c>
      <c r="C123" s="12">
        <v>3.9845000000000002</v>
      </c>
    </row>
    <row r="124" spans="1:3">
      <c r="A124" s="3">
        <v>41302</v>
      </c>
      <c r="B124" s="12">
        <v>4.6151999999999997</v>
      </c>
      <c r="C124" s="12">
        <v>4.0915999999999997</v>
      </c>
    </row>
    <row r="125" spans="1:3">
      <c r="A125" s="3">
        <v>41271</v>
      </c>
      <c r="B125" s="12">
        <v>4.4085999999999999</v>
      </c>
      <c r="C125" s="12">
        <v>4.0625999999999998</v>
      </c>
    </row>
    <row r="126" spans="1:3">
      <c r="A126" s="3">
        <v>41241</v>
      </c>
      <c r="B126" s="12">
        <v>5.0602</v>
      </c>
      <c r="C126" s="12">
        <v>4.0345000000000004</v>
      </c>
    </row>
    <row r="127" spans="1:3">
      <c r="A127" s="3">
        <v>41210</v>
      </c>
      <c r="B127" s="12">
        <v>4.6779000000000002</v>
      </c>
      <c r="C127" s="12">
        <v>4.0533999999999999</v>
      </c>
    </row>
    <row r="128" spans="1:3">
      <c r="A128" s="3">
        <v>41180</v>
      </c>
      <c r="B128" s="12">
        <v>4.0609999999999999</v>
      </c>
      <c r="C128" s="12">
        <v>3.9338000000000002</v>
      </c>
    </row>
    <row r="129" spans="1:3">
      <c r="A129" s="3">
        <v>41149</v>
      </c>
      <c r="B129" s="12">
        <v>4.9722</v>
      </c>
      <c r="C129" s="12">
        <v>3.8784999999999998</v>
      </c>
    </row>
    <row r="130" spans="1:3">
      <c r="A130" s="3">
        <v>41118</v>
      </c>
      <c r="B130" s="12">
        <v>4.9320000000000004</v>
      </c>
      <c r="C130" s="12">
        <v>4.0660999999999996</v>
      </c>
    </row>
    <row r="131" spans="1:3">
      <c r="A131" s="3">
        <v>41088</v>
      </c>
      <c r="B131" s="12">
        <v>4.0358000000000001</v>
      </c>
      <c r="C131" s="12">
        <v>4.0350000000000001</v>
      </c>
    </row>
    <row r="132" spans="1:3">
      <c r="A132" s="3">
        <v>41057</v>
      </c>
      <c r="B132" s="12">
        <v>4.9721000000000002</v>
      </c>
      <c r="C132" s="12">
        <v>4.1753</v>
      </c>
    </row>
    <row r="133" spans="1:3">
      <c r="A133" s="3">
        <v>41027</v>
      </c>
      <c r="B133" s="12">
        <v>5.2397999999999998</v>
      </c>
      <c r="C133" s="12">
        <v>4.1321000000000003</v>
      </c>
    </row>
    <row r="134" spans="1:3">
      <c r="A134" s="3">
        <v>40996</v>
      </c>
      <c r="B134" s="12">
        <v>5.0388000000000002</v>
      </c>
      <c r="C134" s="12">
        <v>4.1161000000000003</v>
      </c>
    </row>
    <row r="135" spans="1:3">
      <c r="A135" s="3">
        <v>40967</v>
      </c>
      <c r="B135" s="12">
        <v>4.6093999999999999</v>
      </c>
      <c r="C135" s="12">
        <v>4.2625000000000002</v>
      </c>
    </row>
    <row r="136" spans="1:3">
      <c r="A136" s="3">
        <v>40936</v>
      </c>
      <c r="B136" s="12">
        <v>5.0382999999999996</v>
      </c>
      <c r="C136" s="12">
        <v>4.4066999999999998</v>
      </c>
    </row>
    <row r="137" spans="1:3">
      <c r="A137" s="3">
        <v>40905</v>
      </c>
      <c r="B137" s="12">
        <v>4.5278999999999998</v>
      </c>
      <c r="C137" s="12">
        <v>4.4565000000000001</v>
      </c>
    </row>
    <row r="138" spans="1:3">
      <c r="A138" s="3">
        <v>40875</v>
      </c>
      <c r="B138" s="12">
        <v>5.0049000000000001</v>
      </c>
      <c r="C138" s="12">
        <v>4.1524000000000001</v>
      </c>
    </row>
    <row r="139" spans="1:3">
      <c r="A139" s="3">
        <v>40844</v>
      </c>
      <c r="B139" s="12">
        <v>4.6746999999999996</v>
      </c>
      <c r="C139" s="12">
        <v>4.0515999999999996</v>
      </c>
    </row>
    <row r="140" spans="1:3">
      <c r="A140" s="3">
        <v>40814</v>
      </c>
      <c r="B140" s="12">
        <v>4.1289999999999996</v>
      </c>
      <c r="C140" s="12">
        <v>3.7974000000000001</v>
      </c>
    </row>
    <row r="141" spans="1:3">
      <c r="A141" s="3">
        <v>40783</v>
      </c>
      <c r="B141" s="12">
        <v>4.3014999999999999</v>
      </c>
      <c r="C141" s="12">
        <v>3.7698</v>
      </c>
    </row>
    <row r="142" spans="1:3">
      <c r="A142" s="3">
        <v>40752</v>
      </c>
      <c r="B142" s="12">
        <v>4.2732000000000001</v>
      </c>
      <c r="C142" s="12">
        <v>3.6286</v>
      </c>
    </row>
    <row r="143" spans="1:3">
      <c r="A143" s="3">
        <v>40722</v>
      </c>
      <c r="B143" s="12">
        <v>4.1779999999999999</v>
      </c>
      <c r="C143" s="12">
        <v>3.5331999999999999</v>
      </c>
    </row>
    <row r="144" spans="1:3">
      <c r="A144" s="3">
        <v>40691</v>
      </c>
      <c r="B144" s="12">
        <v>4.0434999999999999</v>
      </c>
      <c r="C144" s="12">
        <v>3.3706999999999998</v>
      </c>
    </row>
    <row r="145" spans="1:3">
      <c r="A145" s="3">
        <v>40661</v>
      </c>
      <c r="B145" s="12">
        <v>4.7057000000000002</v>
      </c>
      <c r="C145" s="12">
        <v>3.3277000000000001</v>
      </c>
    </row>
    <row r="146" spans="1:3">
      <c r="A146" s="3">
        <v>40630</v>
      </c>
      <c r="B146" s="12">
        <v>3.8317999999999999</v>
      </c>
      <c r="C146" s="12">
        <v>3.2492999999999999</v>
      </c>
    </row>
    <row r="147" spans="1:3">
      <c r="A147" s="3">
        <v>40602</v>
      </c>
      <c r="B147" s="12">
        <v>3.6467999999999998</v>
      </c>
      <c r="C147" s="12">
        <v>3.2109000000000001</v>
      </c>
    </row>
    <row r="148" spans="1:3">
      <c r="A148" s="3">
        <v>40571</v>
      </c>
      <c r="B148" s="12">
        <v>3.4348000000000001</v>
      </c>
      <c r="C148" s="12">
        <v>3.1334</v>
      </c>
    </row>
    <row r="149" spans="1:3">
      <c r="A149" s="3">
        <v>40540</v>
      </c>
      <c r="B149" s="12">
        <v>3.6718000000000002</v>
      </c>
      <c r="C149" s="12">
        <v>3.1429</v>
      </c>
    </row>
    <row r="150" spans="1:3">
      <c r="A150" s="3">
        <v>40510</v>
      </c>
      <c r="B150" s="12">
        <v>3.7888999999999999</v>
      </c>
      <c r="C150" s="12">
        <v>3.1295000000000002</v>
      </c>
    </row>
    <row r="151" spans="1:3">
      <c r="A151" s="3">
        <v>40479</v>
      </c>
      <c r="B151" s="12">
        <v>3.6922000000000001</v>
      </c>
      <c r="C151" s="12">
        <v>2.9847000000000001</v>
      </c>
    </row>
    <row r="152" spans="1:3">
      <c r="A152" s="3">
        <v>40449</v>
      </c>
      <c r="B152" s="12">
        <v>3.3567</v>
      </c>
      <c r="C152" s="12">
        <v>2.9998</v>
      </c>
    </row>
    <row r="153" spans="1:3">
      <c r="A153" s="3">
        <v>40418</v>
      </c>
      <c r="B153" s="12">
        <v>3.6427</v>
      </c>
      <c r="C153" s="12">
        <v>2.9296000000000002</v>
      </c>
    </row>
    <row r="154" spans="1:3">
      <c r="A154" s="3">
        <v>40387</v>
      </c>
      <c r="B154" s="12">
        <v>3.6928999999999998</v>
      </c>
      <c r="C154" s="12">
        <v>2.9180000000000001</v>
      </c>
    </row>
    <row r="155" spans="1:3">
      <c r="A155" s="3">
        <v>40357</v>
      </c>
      <c r="B155" s="12">
        <v>3.6092</v>
      </c>
      <c r="C155" s="12">
        <v>2.7572000000000001</v>
      </c>
    </row>
    <row r="156" spans="1:3">
      <c r="A156" s="3">
        <v>40326</v>
      </c>
      <c r="B156" s="12">
        <v>3.8325999999999998</v>
      </c>
      <c r="C156" s="12">
        <v>2.7282000000000002</v>
      </c>
    </row>
    <row r="157" spans="1:3">
      <c r="A157" s="3">
        <v>40296</v>
      </c>
      <c r="B157" s="12">
        <v>3.7383999999999999</v>
      </c>
      <c r="C157" s="12">
        <v>2.8944000000000001</v>
      </c>
    </row>
    <row r="158" spans="1:3">
      <c r="A158" s="3">
        <v>40265</v>
      </c>
      <c r="B158" s="12">
        <v>3.8536999999999999</v>
      </c>
      <c r="C158" s="12">
        <v>2.7490000000000001</v>
      </c>
    </row>
    <row r="159" spans="1:3">
      <c r="A159" s="3">
        <v>40237</v>
      </c>
      <c r="B159" s="12">
        <v>4.0586000000000002</v>
      </c>
      <c r="C159" s="12">
        <v>2.7503000000000002</v>
      </c>
    </row>
    <row r="160" spans="1:3">
      <c r="A160" s="3">
        <v>40206</v>
      </c>
      <c r="B160" s="12">
        <v>3.9777999999999998</v>
      </c>
      <c r="C160" s="12">
        <v>2.8369</v>
      </c>
    </row>
    <row r="161" spans="1:3">
      <c r="A161" s="3">
        <v>40175</v>
      </c>
      <c r="B161" s="12">
        <v>4.0589000000000004</v>
      </c>
      <c r="C161" s="12">
        <v>2.9131999999999998</v>
      </c>
    </row>
    <row r="162" spans="1:3">
      <c r="A162" s="3">
        <v>40145</v>
      </c>
      <c r="B162" s="12">
        <v>4.1323999999999996</v>
      </c>
      <c r="C162" s="12">
        <v>3.0001000000000002</v>
      </c>
    </row>
    <row r="163" spans="1:3">
      <c r="A163" s="3">
        <v>40114</v>
      </c>
      <c r="B163" s="12">
        <v>4.3445999999999998</v>
      </c>
      <c r="C163" s="12">
        <v>3.0529999999999999</v>
      </c>
    </row>
    <row r="164" spans="1:3">
      <c r="A164" s="3">
        <v>40084</v>
      </c>
      <c r="B164" s="12">
        <v>4.3072999999999997</v>
      </c>
      <c r="C164" s="12">
        <v>3.0790999999999999</v>
      </c>
    </row>
    <row r="165" spans="1:3">
      <c r="A165" s="3">
        <v>40053</v>
      </c>
      <c r="B165" s="12">
        <v>4.3315999999999999</v>
      </c>
      <c r="C165" s="12">
        <v>3.2124999999999999</v>
      </c>
    </row>
    <row r="166" spans="1:3">
      <c r="A166" s="3">
        <v>40022</v>
      </c>
      <c r="B166" s="12">
        <v>4.3429000000000002</v>
      </c>
      <c r="C166" s="12">
        <v>3.3462000000000001</v>
      </c>
    </row>
    <row r="167" spans="1:3">
      <c r="A167" s="3">
        <v>39992</v>
      </c>
      <c r="B167" s="12">
        <v>4.4617000000000004</v>
      </c>
      <c r="C167" s="12">
        <v>3.5019</v>
      </c>
    </row>
    <row r="168" spans="1:3">
      <c r="A168" s="3">
        <v>39961</v>
      </c>
      <c r="B168" s="12">
        <v>4.4927000000000001</v>
      </c>
      <c r="C168" s="12">
        <v>3.5291999999999999</v>
      </c>
    </row>
    <row r="169" spans="1:3">
      <c r="A169" s="3">
        <v>39931</v>
      </c>
      <c r="B169" s="12">
        <v>4.6801000000000004</v>
      </c>
      <c r="C169" s="12">
        <v>3.6436999999999999</v>
      </c>
    </row>
    <row r="170" spans="1:3">
      <c r="A170" s="3">
        <v>39900</v>
      </c>
      <c r="B170" s="12">
        <v>4.6391</v>
      </c>
      <c r="C170" s="12">
        <v>3.9409999999999998</v>
      </c>
    </row>
    <row r="171" spans="1:3">
      <c r="A171" s="3">
        <v>39872</v>
      </c>
      <c r="B171" s="12">
        <v>4.7929000000000004</v>
      </c>
      <c r="C171" s="12">
        <v>4.3211000000000004</v>
      </c>
    </row>
    <row r="172" spans="1:3">
      <c r="A172" s="3">
        <v>39841</v>
      </c>
      <c r="B172" s="12">
        <v>4.8539000000000003</v>
      </c>
      <c r="C172" s="12">
        <v>4.7487000000000004</v>
      </c>
    </row>
    <row r="173" spans="1:3">
      <c r="A173" s="3">
        <v>39810</v>
      </c>
      <c r="B173" s="12">
        <v>5.1203000000000003</v>
      </c>
      <c r="C173" s="12">
        <v>5.4379999999999997</v>
      </c>
    </row>
    <row r="174" spans="1:3">
      <c r="A174" s="3">
        <v>39780</v>
      </c>
      <c r="B174" s="12">
        <v>5.4770000000000003</v>
      </c>
      <c r="C174" s="12">
        <v>5.8772000000000002</v>
      </c>
    </row>
    <row r="175" spans="1:3">
      <c r="A175" s="3">
        <v>39749</v>
      </c>
      <c r="B175" s="12">
        <v>5.8604000000000003</v>
      </c>
      <c r="C175" s="12">
        <v>6.3837000000000002</v>
      </c>
    </row>
    <row r="176" spans="1:3">
      <c r="A176" s="3">
        <v>39719</v>
      </c>
      <c r="B176" s="12">
        <v>6.0987999999999998</v>
      </c>
      <c r="C176" s="12">
        <v>6.2580999999999998</v>
      </c>
    </row>
    <row r="177" spans="1:3">
      <c r="A177" s="3">
        <v>39688</v>
      </c>
      <c r="B177" s="12">
        <v>5.9798999999999998</v>
      </c>
      <c r="C177" s="12">
        <v>6.0986000000000002</v>
      </c>
    </row>
    <row r="178" spans="1:3">
      <c r="A178" s="3">
        <v>39657</v>
      </c>
      <c r="B178" s="12">
        <v>6.0976999999999997</v>
      </c>
      <c r="C178" s="12">
        <v>6.1586999999999996</v>
      </c>
    </row>
    <row r="179" spans="1:3">
      <c r="A179" s="3">
        <v>39627</v>
      </c>
      <c r="B179" s="12">
        <v>6.0031999999999996</v>
      </c>
      <c r="C179" s="12">
        <v>6.0486000000000004</v>
      </c>
    </row>
    <row r="180" spans="1:3">
      <c r="A180" s="3">
        <v>39596</v>
      </c>
      <c r="B180" s="12">
        <v>5.8353000000000002</v>
      </c>
      <c r="C180" s="12">
        <v>6.0218999999999996</v>
      </c>
    </row>
    <row r="181" spans="1:3">
      <c r="A181" s="3">
        <v>39566</v>
      </c>
      <c r="B181" s="12">
        <v>5.7378999999999998</v>
      </c>
      <c r="C181" s="12">
        <v>5.9653</v>
      </c>
    </row>
    <row r="182" spans="1:3">
      <c r="A182" s="3">
        <v>39535</v>
      </c>
      <c r="B182" s="12">
        <v>5.7286999999999999</v>
      </c>
      <c r="C182" s="12">
        <v>5.8192000000000004</v>
      </c>
    </row>
    <row r="183" spans="1:3">
      <c r="A183" s="3">
        <v>39506</v>
      </c>
      <c r="B183" s="12">
        <v>5.6570999999999998</v>
      </c>
      <c r="C183" s="12">
        <v>5.7896999999999998</v>
      </c>
    </row>
    <row r="184" spans="1:3">
      <c r="A184" s="3">
        <v>39475</v>
      </c>
      <c r="B184" s="12">
        <v>5.8190999999999997</v>
      </c>
      <c r="C184" s="12">
        <v>5.9012000000000002</v>
      </c>
    </row>
    <row r="185" spans="1:3">
      <c r="A185" s="3">
        <v>39444</v>
      </c>
      <c r="B185" s="12">
        <v>5.8053999999999997</v>
      </c>
      <c r="C185" s="12">
        <v>5.9633000000000003</v>
      </c>
    </row>
    <row r="186" spans="1:3">
      <c r="A186" s="3">
        <v>39414</v>
      </c>
      <c r="B186" s="12">
        <v>5.7868000000000004</v>
      </c>
      <c r="C186" s="12">
        <v>5.7678000000000003</v>
      </c>
    </row>
    <row r="187" spans="1:3">
      <c r="A187" s="3">
        <v>39383</v>
      </c>
      <c r="B187" s="12">
        <v>5.5979000000000001</v>
      </c>
      <c r="C187" s="12">
        <v>5.7888999999999999</v>
      </c>
    </row>
    <row r="188" spans="1:3">
      <c r="A188" s="3">
        <v>39353</v>
      </c>
      <c r="B188" s="12">
        <v>5.6879999999999997</v>
      </c>
      <c r="C188" s="12">
        <v>5.7126999999999999</v>
      </c>
    </row>
    <row r="189" spans="1:3">
      <c r="A189" s="3">
        <v>39322</v>
      </c>
      <c r="B189" s="12">
        <v>5.7619999999999996</v>
      </c>
      <c r="C189" s="12">
        <v>5.5389999999999997</v>
      </c>
    </row>
    <row r="190" spans="1:3">
      <c r="A190" s="3">
        <v>39291</v>
      </c>
      <c r="B190" s="12">
        <v>5.5818000000000003</v>
      </c>
      <c r="C190" s="12">
        <v>5.4739000000000004</v>
      </c>
    </row>
    <row r="191" spans="1:3">
      <c r="A191" s="3">
        <v>39261</v>
      </c>
      <c r="B191" s="12">
        <v>5.5926</v>
      </c>
      <c r="C191" s="12">
        <v>5.3922999999999996</v>
      </c>
    </row>
    <row r="192" spans="1:3">
      <c r="A192" s="3">
        <v>39230</v>
      </c>
      <c r="B192" s="12">
        <v>5.6260000000000003</v>
      </c>
      <c r="C192" s="12">
        <v>5.3601999999999999</v>
      </c>
    </row>
    <row r="193" spans="1:3">
      <c r="A193" s="3">
        <v>39200</v>
      </c>
      <c r="B193" s="12">
        <v>5.3441000000000001</v>
      </c>
      <c r="C193" s="12">
        <v>5.3244999999999996</v>
      </c>
    </row>
    <row r="194" spans="1:3">
      <c r="A194" s="3">
        <v>39169</v>
      </c>
      <c r="B194" s="12">
        <v>5.1012000000000004</v>
      </c>
      <c r="C194" s="12">
        <v>5.1797000000000004</v>
      </c>
    </row>
    <row r="195" spans="1:3">
      <c r="A195" s="3">
        <v>39141</v>
      </c>
      <c r="B195" s="12">
        <v>5.2194000000000003</v>
      </c>
      <c r="C195" s="12">
        <v>5.1429</v>
      </c>
    </row>
    <row r="196" spans="1:3">
      <c r="A196" s="3">
        <v>39110</v>
      </c>
      <c r="B196" s="12">
        <v>5.1562000000000001</v>
      </c>
      <c r="C196" s="12">
        <v>5.1237000000000004</v>
      </c>
    </row>
    <row r="197" spans="1:3">
      <c r="A197" s="3">
        <v>39079</v>
      </c>
      <c r="B197" s="12">
        <v>4.9313000000000002</v>
      </c>
      <c r="C197" s="12">
        <v>5.1558999999999999</v>
      </c>
    </row>
    <row r="198" spans="1:3">
      <c r="A198" s="3">
        <v>39049</v>
      </c>
      <c r="B198" s="12">
        <v>5.1211000000000002</v>
      </c>
      <c r="C198" s="12">
        <v>5.1279000000000003</v>
      </c>
    </row>
    <row r="199" spans="1:3">
      <c r="A199" s="3">
        <v>39018</v>
      </c>
      <c r="B199" s="12">
        <v>5.1485000000000003</v>
      </c>
      <c r="C199" s="12">
        <v>5.0583999999999998</v>
      </c>
    </row>
    <row r="200" spans="1:3">
      <c r="A200" s="3">
        <v>38988</v>
      </c>
      <c r="B200" s="12">
        <v>4.7743000000000002</v>
      </c>
      <c r="C200" s="12">
        <v>4.8662000000000001</v>
      </c>
    </row>
    <row r="201" spans="1:3">
      <c r="A201" s="3">
        <v>38957</v>
      </c>
      <c r="B201" s="12">
        <v>4.7740999999999998</v>
      </c>
      <c r="C201" s="12">
        <v>4.8559000000000001</v>
      </c>
    </row>
    <row r="202" spans="1:3">
      <c r="A202" s="3">
        <v>38926</v>
      </c>
      <c r="B202" s="12">
        <v>4.5909000000000004</v>
      </c>
      <c r="C202" s="12">
        <v>4.7359</v>
      </c>
    </row>
    <row r="203" spans="1:3">
      <c r="A203" s="3">
        <v>38896</v>
      </c>
      <c r="B203" s="12">
        <v>4.5175000000000001</v>
      </c>
      <c r="C203" s="12">
        <v>4.5940000000000003</v>
      </c>
    </row>
    <row r="204" spans="1:3">
      <c r="A204" s="3">
        <v>38865</v>
      </c>
      <c r="B204" s="12">
        <v>4.5728999999999997</v>
      </c>
      <c r="C204" s="12">
        <v>4.5307000000000004</v>
      </c>
    </row>
    <row r="205" spans="1:3">
      <c r="A205" s="3">
        <v>38835</v>
      </c>
      <c r="B205" s="12">
        <v>4.3632</v>
      </c>
      <c r="C205" s="12">
        <v>4.5199999999999996</v>
      </c>
    </row>
    <row r="206" spans="1:3">
      <c r="A206" s="3">
        <v>38804</v>
      </c>
      <c r="B206" s="12">
        <v>4.3075999999999999</v>
      </c>
      <c r="C206" s="12">
        <v>4.4484000000000004</v>
      </c>
    </row>
    <row r="207" spans="1:3">
      <c r="A207" s="3">
        <v>38776</v>
      </c>
      <c r="B207" s="12">
        <v>4.1962999999999999</v>
      </c>
      <c r="C207" s="12">
        <v>4.3335999999999997</v>
      </c>
    </row>
    <row r="208" spans="1:3">
      <c r="A208" s="3">
        <v>38745</v>
      </c>
      <c r="B208" s="12">
        <v>4.0468999999999999</v>
      </c>
      <c r="C208" s="12">
        <v>4.3049999999999997</v>
      </c>
    </row>
    <row r="209" spans="1:3">
      <c r="A209" s="3">
        <v>38714</v>
      </c>
      <c r="B209" s="12">
        <v>3.8186</v>
      </c>
      <c r="C209" s="12">
        <v>4.2332999999999998</v>
      </c>
    </row>
    <row r="210" spans="1:3">
      <c r="A210" s="3">
        <v>38684</v>
      </c>
      <c r="B210" s="12">
        <v>3.9777</v>
      </c>
      <c r="C210" s="12">
        <v>4.1845999999999997</v>
      </c>
    </row>
    <row r="211" spans="1:3">
      <c r="A211" s="3">
        <v>38653</v>
      </c>
      <c r="B211" s="12">
        <v>3.8342000000000001</v>
      </c>
      <c r="C211" s="12">
        <v>4.1185</v>
      </c>
    </row>
    <row r="212" spans="1:3">
      <c r="A212" s="3">
        <v>38623</v>
      </c>
      <c r="B212" s="12">
        <v>3.7947000000000002</v>
      </c>
      <c r="C212" s="12">
        <v>4.1386000000000003</v>
      </c>
    </row>
    <row r="213" spans="1:3">
      <c r="A213" s="3">
        <v>38592</v>
      </c>
      <c r="B213" s="12">
        <v>3.5798000000000001</v>
      </c>
      <c r="C213" s="12">
        <v>4.194</v>
      </c>
    </row>
    <row r="214" spans="1:3">
      <c r="A214" s="3">
        <v>38561</v>
      </c>
      <c r="B214" s="12">
        <v>3.7222</v>
      </c>
      <c r="C214" s="12">
        <v>4.0572999999999997</v>
      </c>
    </row>
    <row r="215" spans="1:3">
      <c r="A215" s="3">
        <v>38531</v>
      </c>
      <c r="B215" s="12">
        <v>3.8039000000000001</v>
      </c>
      <c r="C215" s="12">
        <v>4.0503</v>
      </c>
    </row>
    <row r="216" spans="1:3">
      <c r="A216" s="3">
        <v>38500</v>
      </c>
      <c r="B216" s="12">
        <v>4.0823999999999998</v>
      </c>
      <c r="C216" s="12">
        <v>4.1970000000000001</v>
      </c>
    </row>
    <row r="217" spans="1:3">
      <c r="A217" s="3">
        <v>38470</v>
      </c>
      <c r="B217" s="12">
        <v>3.7749999999999999</v>
      </c>
      <c r="C217" s="12">
        <v>4.2403000000000004</v>
      </c>
    </row>
    <row r="218" spans="1:3">
      <c r="A218" s="3">
        <v>38439</v>
      </c>
      <c r="B218" s="12">
        <v>3.7930000000000001</v>
      </c>
      <c r="C218" s="12">
        <v>4.2009999999999996</v>
      </c>
    </row>
    <row r="219" spans="1:3">
      <c r="A219" s="3">
        <v>38411</v>
      </c>
      <c r="B219" s="12">
        <v>3.5184000000000002</v>
      </c>
      <c r="C219" s="12">
        <v>4.2546999999999997</v>
      </c>
    </row>
    <row r="220" spans="1:3">
      <c r="A220" s="3">
        <v>38380</v>
      </c>
      <c r="B220" s="12">
        <v>3.4106000000000001</v>
      </c>
      <c r="C220" s="12">
        <v>4.2064000000000004</v>
      </c>
    </row>
    <row r="221" spans="1:3">
      <c r="A221" s="3">
        <v>38349</v>
      </c>
      <c r="B221" s="12">
        <v>3.9331</v>
      </c>
      <c r="C221" s="12">
        <v>4.1978</v>
      </c>
    </row>
    <row r="222" spans="1:3">
      <c r="A222" s="3">
        <v>38319</v>
      </c>
      <c r="B222" s="12">
        <v>4.1204000000000001</v>
      </c>
      <c r="C222" s="12">
        <v>4.2595999999999998</v>
      </c>
    </row>
    <row r="223" spans="1:3">
      <c r="A223" s="3">
        <v>38288</v>
      </c>
      <c r="B223" s="12">
        <v>3.9630000000000001</v>
      </c>
      <c r="C223" s="12">
        <v>4.3224999999999998</v>
      </c>
    </row>
    <row r="224" spans="1:3">
      <c r="A224" s="3">
        <v>38258</v>
      </c>
      <c r="B224" s="12">
        <v>4.4010999999999996</v>
      </c>
      <c r="C224" s="12">
        <v>4.2914000000000003</v>
      </c>
    </row>
    <row r="225" spans="1:3">
      <c r="A225" s="3">
        <v>38227</v>
      </c>
      <c r="B225" s="12">
        <v>4.0212000000000003</v>
      </c>
      <c r="C225" s="12">
        <v>4.3305999999999996</v>
      </c>
    </row>
    <row r="226" spans="1:3">
      <c r="A226" s="3">
        <v>38196</v>
      </c>
      <c r="B226" s="12">
        <v>3.9864999999999999</v>
      </c>
      <c r="C226" s="12">
        <v>4.3122999999999996</v>
      </c>
    </row>
    <row r="227" spans="1:3">
      <c r="A227" s="3">
        <v>38166</v>
      </c>
      <c r="B227" s="12">
        <v>3.5996000000000001</v>
      </c>
      <c r="C227" s="12">
        <v>4.2108999999999996</v>
      </c>
    </row>
    <row r="228" spans="1:3">
      <c r="A228" s="3">
        <v>38135</v>
      </c>
      <c r="B228" s="12">
        <v>3.9901</v>
      </c>
      <c r="C228" s="12">
        <v>4.3033000000000001</v>
      </c>
    </row>
    <row r="229" spans="1:3">
      <c r="A229" s="3">
        <v>38105</v>
      </c>
      <c r="B229" s="12">
        <v>4.0137</v>
      </c>
      <c r="C229" s="12">
        <v>4.3337000000000003</v>
      </c>
    </row>
    <row r="230" spans="1:3">
      <c r="A230" s="3">
        <v>38074</v>
      </c>
      <c r="B230" s="12">
        <v>3.9110999999999998</v>
      </c>
      <c r="C230" s="12">
        <v>4.2994000000000003</v>
      </c>
    </row>
    <row r="231" spans="1:3">
      <c r="A231" s="3">
        <v>38045</v>
      </c>
      <c r="B231" s="12">
        <v>3.8917999999999999</v>
      </c>
      <c r="C231" s="12">
        <v>4.3597999999999999</v>
      </c>
    </row>
    <row r="232" spans="1:3">
      <c r="A232" s="3">
        <v>38014</v>
      </c>
      <c r="B232" s="12">
        <v>3.8990999999999998</v>
      </c>
      <c r="C232" s="12">
        <v>4.3219000000000003</v>
      </c>
    </row>
    <row r="233" spans="1:3">
      <c r="A233" s="3">
        <v>37983</v>
      </c>
      <c r="B233" s="12">
        <v>4.0549999999999997</v>
      </c>
      <c r="C233" s="12">
        <v>4.3455000000000004</v>
      </c>
    </row>
    <row r="234" spans="1:3">
      <c r="A234" s="3">
        <v>37953</v>
      </c>
      <c r="B234" s="12">
        <v>3.6314000000000002</v>
      </c>
      <c r="C234" s="12">
        <v>4.4173</v>
      </c>
    </row>
    <row r="235" spans="1:3">
      <c r="A235" s="3">
        <v>37922</v>
      </c>
      <c r="B235" s="12">
        <v>3.4496000000000002</v>
      </c>
      <c r="C235" s="12">
        <v>4.4661999999999997</v>
      </c>
    </row>
    <row r="236" spans="1:3">
      <c r="A236" s="3">
        <v>37892</v>
      </c>
      <c r="B236" s="12">
        <v>3.8384999999999998</v>
      </c>
      <c r="C236" s="12">
        <v>4.4905999999999997</v>
      </c>
    </row>
    <row r="237" spans="1:3">
      <c r="A237" s="3">
        <v>37861</v>
      </c>
      <c r="B237" s="12">
        <v>3.7696999999999998</v>
      </c>
      <c r="C237" s="12">
        <v>4.5621</v>
      </c>
    </row>
    <row r="238" spans="1:3">
      <c r="A238" s="3">
        <v>37830</v>
      </c>
      <c r="B238" s="12">
        <v>3.8125</v>
      </c>
      <c r="C238" s="12">
        <v>4.5343</v>
      </c>
    </row>
    <row r="239" spans="1:3">
      <c r="A239" s="3">
        <v>37800</v>
      </c>
      <c r="B239" s="12">
        <v>3.8668</v>
      </c>
      <c r="C239" s="12">
        <v>4.5732999999999997</v>
      </c>
    </row>
    <row r="240" spans="1:3">
      <c r="A240" s="3">
        <v>37769</v>
      </c>
      <c r="B240" s="12">
        <v>3.9963000000000002</v>
      </c>
      <c r="C240" s="12">
        <v>4.8250000000000002</v>
      </c>
    </row>
    <row r="241" spans="1:3">
      <c r="A241" s="3">
        <v>37739</v>
      </c>
      <c r="B241" s="12">
        <v>4.1909999999999998</v>
      </c>
      <c r="C241" s="12">
        <v>4.9086999999999996</v>
      </c>
    </row>
    <row r="242" spans="1:3">
      <c r="A242" s="3">
        <v>37708</v>
      </c>
      <c r="B242" s="12">
        <v>4.3220000000000001</v>
      </c>
      <c r="C242" s="12">
        <v>5.0106999999999999</v>
      </c>
    </row>
    <row r="243" spans="1:3">
      <c r="A243" s="3">
        <v>37680</v>
      </c>
      <c r="B243" s="12">
        <v>4.4524999999999997</v>
      </c>
      <c r="C243" s="12">
        <v>5.1142000000000003</v>
      </c>
    </row>
    <row r="244" spans="1:3">
      <c r="A244" s="3">
        <v>37649</v>
      </c>
      <c r="B244" s="12">
        <v>4.4249000000000001</v>
      </c>
      <c r="C244" s="12">
        <v>5.2233999999999998</v>
      </c>
    </row>
    <row r="245" spans="1:3">
      <c r="A245" s="3"/>
    </row>
    <row r="246" spans="1:3">
      <c r="A246" s="3"/>
    </row>
    <row r="247" spans="1:3">
      <c r="A247" s="3"/>
    </row>
    <row r="248" spans="1:3">
      <c r="A248" s="3"/>
    </row>
    <row r="249" spans="1:3">
      <c r="A249" s="3"/>
    </row>
    <row r="250" spans="1:3">
      <c r="A250" s="3"/>
    </row>
    <row r="251" spans="1:3">
      <c r="A251" s="3"/>
    </row>
    <row r="252" spans="1:3">
      <c r="A252" s="3"/>
    </row>
    <row r="253" spans="1:3">
      <c r="A253" s="3"/>
    </row>
    <row r="254" spans="1:3">
      <c r="A254" s="3"/>
    </row>
    <row r="255" spans="1:3">
      <c r="A255" s="3"/>
    </row>
    <row r="256" spans="1:3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16"/>
    </row>
    <row r="294" spans="1:1">
      <c r="A294" s="17"/>
    </row>
    <row r="295" spans="1:1">
      <c r="A295" s="18"/>
    </row>
    <row r="296" spans="1:1">
      <c r="A296" s="17"/>
    </row>
    <row r="297" spans="1:1">
      <c r="A297" s="18"/>
    </row>
    <row r="298" spans="1:1">
      <c r="A298" s="17"/>
    </row>
    <row r="299" spans="1:1">
      <c r="A299" s="18"/>
    </row>
    <row r="300" spans="1:1">
      <c r="A300" s="17"/>
    </row>
    <row r="301" spans="1:1">
      <c r="A301" s="18"/>
    </row>
    <row r="302" spans="1:1">
      <c r="A302" s="17"/>
    </row>
    <row r="303" spans="1:1">
      <c r="A303" s="18"/>
    </row>
    <row r="304" spans="1:1">
      <c r="A304" s="17"/>
    </row>
    <row r="305" spans="1:1">
      <c r="A305" s="18"/>
    </row>
    <row r="306" spans="1:1">
      <c r="A306" s="17"/>
    </row>
    <row r="307" spans="1:1">
      <c r="A307" s="18"/>
    </row>
    <row r="308" spans="1:1">
      <c r="A308" s="17"/>
    </row>
    <row r="309" spans="1:1">
      <c r="A309" s="18"/>
    </row>
    <row r="310" spans="1:1">
      <c r="A310" s="17"/>
    </row>
    <row r="311" spans="1:1">
      <c r="A311" s="18"/>
    </row>
    <row r="312" spans="1:1">
      <c r="A312" s="17"/>
    </row>
    <row r="313" spans="1:1">
      <c r="A313" s="18"/>
    </row>
    <row r="314" spans="1:1">
      <c r="A314" s="17"/>
    </row>
    <row r="315" spans="1:1">
      <c r="A315" s="18"/>
    </row>
    <row r="316" spans="1:1">
      <c r="A316" s="17"/>
    </row>
    <row r="317" spans="1:1">
      <c r="A317" s="18"/>
    </row>
    <row r="318" spans="1:1">
      <c r="A318" s="17"/>
    </row>
    <row r="319" spans="1:1">
      <c r="A319" s="18"/>
    </row>
    <row r="320" spans="1:1">
      <c r="A320" s="17"/>
    </row>
    <row r="321" spans="1:1">
      <c r="A321" s="18"/>
    </row>
    <row r="322" spans="1:1">
      <c r="A322" s="17"/>
    </row>
    <row r="323" spans="1:1">
      <c r="A323" s="18"/>
    </row>
    <row r="324" spans="1:1">
      <c r="A324" s="17"/>
    </row>
    <row r="325" spans="1:1">
      <c r="A325" s="18"/>
    </row>
    <row r="326" spans="1:1">
      <c r="A326" s="17"/>
    </row>
    <row r="327" spans="1:1">
      <c r="A327" s="18"/>
    </row>
    <row r="328" spans="1:1">
      <c r="A328" s="17"/>
    </row>
    <row r="329" spans="1:1">
      <c r="A329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3774-9050-1147-9EEC-17C4DC83F45E}">
  <dimension ref="A1:R331"/>
  <sheetViews>
    <sheetView topLeftCell="B1" zoomScale="173" workbookViewId="0">
      <selection activeCell="I24" sqref="I24"/>
    </sheetView>
  </sheetViews>
  <sheetFormatPr baseColWidth="10" defaultRowHeight="15"/>
  <cols>
    <col min="1" max="1" width="15.5" bestFit="1" customWidth="1"/>
    <col min="2" max="14" width="25" customWidth="1"/>
    <col min="18" max="18" width="11.1640625" bestFit="1" customWidth="1"/>
  </cols>
  <sheetData>
    <row r="1" spans="1:18">
      <c r="B1" s="22" t="s">
        <v>23</v>
      </c>
      <c r="C1" s="22"/>
      <c r="D1" s="22"/>
      <c r="E1" s="22"/>
      <c r="F1" s="22"/>
      <c r="G1" s="22"/>
      <c r="H1" s="22"/>
      <c r="I1" s="22"/>
      <c r="J1" s="22"/>
      <c r="K1" s="22"/>
    </row>
    <row r="2" spans="1:18">
      <c r="B2" s="23" t="s">
        <v>31</v>
      </c>
      <c r="C2" s="23"/>
      <c r="D2" s="23"/>
      <c r="E2" s="23"/>
      <c r="F2" s="23" t="s">
        <v>8</v>
      </c>
      <c r="G2" s="23"/>
      <c r="H2" s="23"/>
      <c r="I2" s="23"/>
      <c r="J2" s="23" t="s">
        <v>10</v>
      </c>
      <c r="K2" s="23"/>
    </row>
    <row r="3" spans="1:18" ht="28">
      <c r="A3" s="1" t="s">
        <v>0</v>
      </c>
      <c r="B3" s="1" t="s">
        <v>30</v>
      </c>
      <c r="C3" s="1" t="s">
        <v>15</v>
      </c>
      <c r="D3" s="1" t="s">
        <v>6</v>
      </c>
      <c r="E3" s="1" t="s">
        <v>7</v>
      </c>
      <c r="F3" s="1" t="s">
        <v>30</v>
      </c>
      <c r="G3" s="1" t="s">
        <v>15</v>
      </c>
      <c r="H3" s="1" t="s">
        <v>7</v>
      </c>
      <c r="I3" s="1" t="s">
        <v>29</v>
      </c>
      <c r="J3" s="1" t="s">
        <v>28</v>
      </c>
      <c r="K3" s="1" t="s">
        <v>27</v>
      </c>
      <c r="L3" s="1" t="s">
        <v>24</v>
      </c>
      <c r="M3" s="1" t="s">
        <v>25</v>
      </c>
      <c r="N3" s="1" t="s">
        <v>26</v>
      </c>
    </row>
    <row r="4" spans="1:18">
      <c r="A4" s="2">
        <v>45016</v>
      </c>
      <c r="B4" s="11">
        <v>229467.96</v>
      </c>
      <c r="C4" s="10">
        <v>31770.57</v>
      </c>
      <c r="D4" s="11">
        <v>16.13</v>
      </c>
      <c r="E4" s="11">
        <v>229378.55</v>
      </c>
      <c r="F4" s="11">
        <v>2629398.84</v>
      </c>
      <c r="G4" s="11">
        <v>1992001.8</v>
      </c>
      <c r="H4" s="11">
        <v>613534.43999999994</v>
      </c>
      <c r="I4" s="11">
        <v>49719.9</v>
      </c>
      <c r="J4" s="11">
        <v>53100.71</v>
      </c>
      <c r="K4" s="11">
        <v>73704.42</v>
      </c>
      <c r="L4" s="11">
        <v>266067.96000000002</v>
      </c>
      <c r="M4" s="11">
        <v>348461.68</v>
      </c>
      <c r="N4" s="11">
        <v>321577.64</v>
      </c>
      <c r="O4" s="13"/>
      <c r="P4" s="13"/>
      <c r="Q4" s="13"/>
      <c r="R4" s="13"/>
    </row>
    <row r="5" spans="1:18">
      <c r="A5" s="2">
        <f>EDATE(A4,-1)</f>
        <v>44985</v>
      </c>
      <c r="B5" s="11">
        <v>238979</v>
      </c>
      <c r="C5" s="11">
        <v>30753.57</v>
      </c>
      <c r="D5" s="11">
        <v>17.559999999999999</v>
      </c>
      <c r="E5" s="11">
        <v>243137.79</v>
      </c>
      <c r="F5" s="11">
        <v>2643718.44</v>
      </c>
      <c r="G5" s="11">
        <v>2003070.1</v>
      </c>
      <c r="H5" s="11">
        <v>615883.06000000006</v>
      </c>
      <c r="I5" s="11">
        <v>49317.39</v>
      </c>
      <c r="J5" s="11">
        <v>55380.21</v>
      </c>
      <c r="K5" s="11">
        <v>74848.679999999993</v>
      </c>
      <c r="L5" s="11">
        <v>261845.11</v>
      </c>
      <c r="M5" s="11">
        <v>346921.74</v>
      </c>
      <c r="N5" s="11">
        <v>335360.96000000002</v>
      </c>
      <c r="O5" s="13"/>
      <c r="P5" s="13"/>
    </row>
    <row r="6" spans="1:18">
      <c r="A6" s="2">
        <f t="shared" ref="A6:A69" si="0">EDATE(A5,-1)</f>
        <v>44954</v>
      </c>
      <c r="B6" s="11">
        <v>228858.51</v>
      </c>
      <c r="C6" s="11">
        <v>30382.48</v>
      </c>
      <c r="D6" s="11">
        <v>16.809999999999999</v>
      </c>
      <c r="E6" s="11">
        <v>231762.09</v>
      </c>
      <c r="F6" s="11">
        <v>2661515.8199999998</v>
      </c>
      <c r="G6" s="11">
        <v>2019231.5</v>
      </c>
      <c r="H6" s="11">
        <v>618198.92000000004</v>
      </c>
      <c r="I6" s="11">
        <v>49668.57</v>
      </c>
      <c r="J6" s="11">
        <v>55459.72</v>
      </c>
      <c r="K6" s="11">
        <v>75885.72</v>
      </c>
      <c r="L6" s="11">
        <v>255525.05</v>
      </c>
      <c r="M6" s="11">
        <v>344675.31</v>
      </c>
      <c r="N6" s="11">
        <v>320720.89</v>
      </c>
      <c r="O6" s="13"/>
      <c r="P6" s="13"/>
    </row>
    <row r="7" spans="1:18">
      <c r="A7" s="2">
        <f t="shared" si="0"/>
        <v>44923</v>
      </c>
      <c r="B7" s="11">
        <v>208945.34</v>
      </c>
      <c r="C7" s="11">
        <v>27953.89</v>
      </c>
      <c r="D7" s="11">
        <v>16.62</v>
      </c>
      <c r="E7" s="11">
        <v>210559.46</v>
      </c>
      <c r="F7" s="11">
        <v>2709774.85</v>
      </c>
      <c r="G7" s="11">
        <v>2042687.9</v>
      </c>
      <c r="H7" s="11">
        <v>646371.49</v>
      </c>
      <c r="I7" s="11">
        <v>47276.59</v>
      </c>
      <c r="J7" s="11">
        <v>51195.72</v>
      </c>
      <c r="K7" s="11">
        <v>72794.399999999994</v>
      </c>
      <c r="L7" s="11">
        <v>256983.46</v>
      </c>
      <c r="M7" s="11">
        <v>342416.74</v>
      </c>
      <c r="N7" s="11">
        <v>317693.69</v>
      </c>
      <c r="O7" s="13"/>
      <c r="P7" s="13"/>
    </row>
    <row r="8" spans="1:18">
      <c r="A8" s="2">
        <f t="shared" si="0"/>
        <v>44893</v>
      </c>
      <c r="B8" s="11">
        <v>213503.07</v>
      </c>
      <c r="C8" s="11">
        <v>27213.02</v>
      </c>
      <c r="D8" s="11">
        <v>18.87</v>
      </c>
      <c r="E8" s="11">
        <v>219581.82</v>
      </c>
      <c r="F8" s="11">
        <v>2742150.17</v>
      </c>
      <c r="G8" s="11">
        <v>2016134.1</v>
      </c>
      <c r="H8" s="11">
        <v>697948.45</v>
      </c>
      <c r="I8" s="11">
        <v>54323.27</v>
      </c>
      <c r="J8" s="11">
        <v>55345.73</v>
      </c>
      <c r="K8" s="11">
        <v>75471.59</v>
      </c>
      <c r="L8" s="11">
        <v>257493.91</v>
      </c>
      <c r="M8" s="11">
        <v>344384.73</v>
      </c>
      <c r="N8" s="11">
        <v>349543.13</v>
      </c>
      <c r="O8" s="13"/>
      <c r="P8" s="13"/>
    </row>
    <row r="9" spans="1:18">
      <c r="A9" s="2">
        <f t="shared" si="0"/>
        <v>44862</v>
      </c>
      <c r="B9" s="11">
        <v>213207.88</v>
      </c>
      <c r="C9" s="11">
        <v>28659.21</v>
      </c>
      <c r="D9" s="11">
        <v>20.329999999999998</v>
      </c>
      <c r="E9" s="11">
        <v>220486.22</v>
      </c>
      <c r="F9" s="11">
        <v>2769037.82</v>
      </c>
      <c r="G9" s="11">
        <v>2025220.7</v>
      </c>
      <c r="H9" s="11">
        <v>719602.11</v>
      </c>
      <c r="I9" s="11">
        <v>51122.07</v>
      </c>
      <c r="J9" s="11">
        <v>52788.51</v>
      </c>
      <c r="K9" s="11">
        <v>74705.5</v>
      </c>
      <c r="L9" s="11">
        <v>254709.86</v>
      </c>
      <c r="M9" s="11">
        <v>344704.74</v>
      </c>
      <c r="N9" s="11">
        <v>328028.69</v>
      </c>
      <c r="O9" s="13"/>
      <c r="P9" s="13"/>
    </row>
    <row r="10" spans="1:18">
      <c r="A10" s="2">
        <f t="shared" si="0"/>
        <v>44832</v>
      </c>
      <c r="B10" s="11">
        <v>211335.72</v>
      </c>
      <c r="C10" s="11">
        <v>29960.28</v>
      </c>
      <c r="D10" s="11">
        <v>19.399999999999999</v>
      </c>
      <c r="E10" s="11">
        <v>214553</v>
      </c>
      <c r="F10" s="11">
        <v>2768505.09</v>
      </c>
      <c r="G10" s="11">
        <v>2027021</v>
      </c>
      <c r="H10" s="11">
        <v>719082.78</v>
      </c>
      <c r="I10" s="11">
        <v>48875.01</v>
      </c>
      <c r="J10" s="11">
        <v>55014.41</v>
      </c>
      <c r="K10" s="11">
        <v>78436.259999999995</v>
      </c>
      <c r="L10" s="11">
        <v>252942.23</v>
      </c>
      <c r="M10" s="11">
        <v>343879.92</v>
      </c>
      <c r="N10" s="11">
        <v>335917.72</v>
      </c>
      <c r="O10" s="13"/>
      <c r="P10" s="13"/>
    </row>
    <row r="11" spans="1:18">
      <c r="A11" s="2">
        <f t="shared" si="0"/>
        <v>44801</v>
      </c>
      <c r="B11" s="11">
        <v>208703.05</v>
      </c>
      <c r="C11" s="11">
        <v>27147.27</v>
      </c>
      <c r="D11" s="11">
        <v>19.88</v>
      </c>
      <c r="E11" s="11">
        <v>218848.58</v>
      </c>
      <c r="F11" s="11">
        <v>2795147.17</v>
      </c>
      <c r="G11" s="11">
        <v>2052958</v>
      </c>
      <c r="H11" s="11">
        <v>716838.09</v>
      </c>
      <c r="I11" s="11">
        <v>52693.58</v>
      </c>
      <c r="J11" s="11">
        <v>56625.58</v>
      </c>
      <c r="K11" s="11">
        <v>78606.06</v>
      </c>
      <c r="L11" s="11">
        <v>249408.37</v>
      </c>
      <c r="M11" s="11">
        <v>338462.52</v>
      </c>
      <c r="N11" s="11">
        <v>303153.09000000003</v>
      </c>
      <c r="O11" s="13"/>
      <c r="P11" s="13"/>
    </row>
    <row r="12" spans="1:18">
      <c r="A12" s="2">
        <f t="shared" si="0"/>
        <v>44770</v>
      </c>
      <c r="B12" s="11">
        <v>207755.28</v>
      </c>
      <c r="C12" s="11">
        <v>28620.61</v>
      </c>
      <c r="D12" s="11">
        <v>20.350000000000001</v>
      </c>
      <c r="E12" s="11">
        <v>215410.96</v>
      </c>
      <c r="F12" s="11">
        <v>2823755.71</v>
      </c>
      <c r="G12" s="11">
        <v>2075064.3</v>
      </c>
      <c r="H12" s="11">
        <v>723581.69</v>
      </c>
      <c r="I12" s="11">
        <v>52495.21</v>
      </c>
      <c r="J12" s="11">
        <v>52733.23</v>
      </c>
      <c r="K12" s="11">
        <v>76398.73</v>
      </c>
      <c r="L12" s="11">
        <v>248772.33</v>
      </c>
      <c r="M12" s="11">
        <v>338665.21</v>
      </c>
      <c r="N12" s="11">
        <v>276863.90999999997</v>
      </c>
      <c r="O12" s="13"/>
      <c r="P12" s="13"/>
    </row>
    <row r="13" spans="1:18">
      <c r="A13" s="2">
        <f t="shared" si="0"/>
        <v>44740</v>
      </c>
      <c r="B13" s="11">
        <v>192210.29</v>
      </c>
      <c r="C13" s="11">
        <v>26877.05</v>
      </c>
      <c r="D13" s="11">
        <v>21.78</v>
      </c>
      <c r="E13" s="11">
        <v>199457.57</v>
      </c>
      <c r="F13" s="11">
        <v>2782770.95</v>
      </c>
      <c r="G13" s="11">
        <v>2040175.2</v>
      </c>
      <c r="H13" s="11">
        <v>719586.61</v>
      </c>
      <c r="I13" s="11">
        <v>50558.65</v>
      </c>
      <c r="J13" s="11">
        <v>54265.52</v>
      </c>
      <c r="K13" s="11">
        <v>76323.600000000006</v>
      </c>
      <c r="L13" s="11">
        <v>249432.62</v>
      </c>
      <c r="M13" s="11">
        <v>342368.02</v>
      </c>
      <c r="N13" s="11">
        <v>317725.09000000003</v>
      </c>
      <c r="O13" s="13"/>
      <c r="P13" s="13"/>
    </row>
    <row r="14" spans="1:18">
      <c r="A14" s="2">
        <f t="shared" si="0"/>
        <v>44709</v>
      </c>
      <c r="B14" s="11">
        <v>210903.38</v>
      </c>
      <c r="C14" s="11">
        <v>27805.26</v>
      </c>
      <c r="D14" s="11">
        <v>29.31</v>
      </c>
      <c r="E14" s="11">
        <v>215768.82</v>
      </c>
      <c r="F14" s="11">
        <v>2854696.55</v>
      </c>
      <c r="G14" s="11">
        <v>2079703.9</v>
      </c>
      <c r="H14" s="11">
        <v>751608.74</v>
      </c>
      <c r="I14" s="11">
        <v>50296.56</v>
      </c>
      <c r="J14" s="11">
        <v>56843.48</v>
      </c>
      <c r="K14" s="11">
        <v>77307.08</v>
      </c>
      <c r="L14" s="11">
        <v>247218.78</v>
      </c>
      <c r="M14" s="11">
        <v>340131.07</v>
      </c>
      <c r="N14" s="11">
        <v>286555.93</v>
      </c>
    </row>
    <row r="15" spans="1:18">
      <c r="A15" s="2">
        <f t="shared" si="0"/>
        <v>44679</v>
      </c>
      <c r="B15" s="11">
        <v>212144.15</v>
      </c>
      <c r="C15" s="11">
        <v>28066.1</v>
      </c>
      <c r="D15" s="11">
        <v>27.2</v>
      </c>
      <c r="E15" s="11">
        <v>217141.38</v>
      </c>
      <c r="F15" s="11">
        <v>2855794.29</v>
      </c>
      <c r="G15" s="11">
        <v>2085884.2</v>
      </c>
      <c r="H15" s="11">
        <v>746131.75</v>
      </c>
      <c r="I15" s="11">
        <v>50671.23</v>
      </c>
      <c r="J15" s="11">
        <v>56954.67</v>
      </c>
      <c r="K15" s="11">
        <v>78251.89</v>
      </c>
      <c r="L15" s="11">
        <v>248137.38</v>
      </c>
      <c r="M15" s="11">
        <v>337679.02</v>
      </c>
      <c r="N15" s="11">
        <v>272242.40999999997</v>
      </c>
    </row>
    <row r="16" spans="1:18">
      <c r="A16" s="2">
        <f t="shared" si="0"/>
        <v>44648</v>
      </c>
      <c r="B16" s="11">
        <v>201819.27</v>
      </c>
      <c r="C16" s="11">
        <v>28173.69</v>
      </c>
      <c r="D16" s="11">
        <v>28.38</v>
      </c>
      <c r="E16" s="11">
        <v>206519.33</v>
      </c>
      <c r="F16" s="11">
        <v>2815662.44</v>
      </c>
      <c r="G16" s="11">
        <v>2040901.3</v>
      </c>
      <c r="H16" s="11">
        <v>750800.59</v>
      </c>
      <c r="I16" s="11">
        <v>50494.68</v>
      </c>
      <c r="J16" s="11">
        <v>58044.7</v>
      </c>
      <c r="K16" s="11">
        <v>77485.59</v>
      </c>
      <c r="L16" s="11">
        <v>249810.57</v>
      </c>
      <c r="M16" s="11">
        <v>345559.78</v>
      </c>
      <c r="N16" s="11">
        <v>278193.78999999998</v>
      </c>
    </row>
    <row r="17" spans="1:14">
      <c r="A17" s="2">
        <f t="shared" si="0"/>
        <v>44620</v>
      </c>
      <c r="B17" s="11">
        <v>206727.91</v>
      </c>
      <c r="C17" s="11">
        <v>28285.59</v>
      </c>
      <c r="D17" s="11">
        <v>24.9</v>
      </c>
      <c r="E17" s="11">
        <v>208872.16</v>
      </c>
      <c r="F17" s="11">
        <v>2805923.09</v>
      </c>
      <c r="G17" s="11">
        <v>2041734.8</v>
      </c>
      <c r="H17" s="11">
        <v>740975.8</v>
      </c>
      <c r="I17" s="11">
        <v>50831.64</v>
      </c>
      <c r="J17" s="11">
        <v>56475.72</v>
      </c>
      <c r="K17" s="11">
        <v>75023.73</v>
      </c>
      <c r="L17" s="11">
        <v>255281.76</v>
      </c>
      <c r="M17" s="11">
        <v>341618.77</v>
      </c>
      <c r="N17" s="11">
        <v>269392.77</v>
      </c>
    </row>
    <row r="18" spans="1:14">
      <c r="A18" s="2">
        <f t="shared" si="0"/>
        <v>44589</v>
      </c>
      <c r="B18" s="11">
        <v>200891.62</v>
      </c>
      <c r="C18" s="11">
        <v>29345.07</v>
      </c>
      <c r="D18" s="11">
        <v>24.47</v>
      </c>
      <c r="E18" s="11">
        <v>202317.36</v>
      </c>
      <c r="F18" s="11">
        <v>2810583.11</v>
      </c>
      <c r="G18" s="11">
        <v>2042425.2</v>
      </c>
      <c r="H18" s="11">
        <v>744847.49</v>
      </c>
      <c r="I18" s="11">
        <v>50131.87</v>
      </c>
      <c r="J18" s="11">
        <v>58483.94</v>
      </c>
      <c r="K18" s="11">
        <v>75963.520000000004</v>
      </c>
      <c r="L18" s="11">
        <v>255388.65</v>
      </c>
      <c r="M18" s="11">
        <v>340549.48</v>
      </c>
      <c r="N18" s="11">
        <v>275118.96000000002</v>
      </c>
    </row>
    <row r="19" spans="1:14">
      <c r="A19" s="2">
        <f t="shared" si="0"/>
        <v>44558</v>
      </c>
      <c r="B19" s="11">
        <v>179544.47</v>
      </c>
      <c r="C19" s="11">
        <v>29931.91</v>
      </c>
      <c r="D19" s="11">
        <v>723.17</v>
      </c>
      <c r="E19" s="11">
        <v>178888.15</v>
      </c>
      <c r="F19" s="11">
        <v>2815905.92</v>
      </c>
      <c r="G19" s="11">
        <v>2055724.2</v>
      </c>
      <c r="H19" s="11">
        <v>741388.67</v>
      </c>
      <c r="I19" s="11">
        <v>45503.48</v>
      </c>
      <c r="J19" s="11">
        <v>55735.5</v>
      </c>
      <c r="K19" s="11">
        <v>76318.880000000005</v>
      </c>
      <c r="L19" s="11">
        <v>260971.85</v>
      </c>
      <c r="M19" s="11">
        <v>340392.21</v>
      </c>
      <c r="N19" s="11">
        <v>251354.38</v>
      </c>
    </row>
    <row r="20" spans="1:14">
      <c r="A20" s="2">
        <f t="shared" si="0"/>
        <v>44528</v>
      </c>
      <c r="B20" s="11">
        <v>196260.1</v>
      </c>
      <c r="C20" s="11">
        <v>28927.5</v>
      </c>
      <c r="D20" s="11">
        <v>339.06</v>
      </c>
      <c r="E20" s="11">
        <v>197725.12</v>
      </c>
      <c r="F20" s="11">
        <v>2765196.4</v>
      </c>
      <c r="G20" s="11">
        <v>2009614.2</v>
      </c>
      <c r="H20" s="11">
        <v>740901.8</v>
      </c>
      <c r="I20" s="11">
        <v>41107.49</v>
      </c>
      <c r="J20" s="11">
        <v>58464.66</v>
      </c>
      <c r="K20" s="11">
        <v>77430.16</v>
      </c>
      <c r="L20" s="11">
        <v>260482.33</v>
      </c>
      <c r="M20" s="11">
        <v>347593.45</v>
      </c>
      <c r="N20" s="11">
        <v>298436</v>
      </c>
    </row>
    <row r="21" spans="1:14">
      <c r="A21" s="2">
        <f t="shared" si="0"/>
        <v>44497</v>
      </c>
      <c r="B21" s="11">
        <v>195919.45</v>
      </c>
      <c r="C21" s="11">
        <v>29162.080000000002</v>
      </c>
      <c r="D21" s="11">
        <v>141</v>
      </c>
      <c r="E21" s="11">
        <v>195179.05</v>
      </c>
      <c r="F21" s="11">
        <v>2792181.82</v>
      </c>
      <c r="G21" s="11">
        <v>2029197.1</v>
      </c>
      <c r="H21" s="11">
        <v>747232.12</v>
      </c>
      <c r="I21" s="11">
        <v>42381.54</v>
      </c>
      <c r="J21" s="11">
        <v>58314.239999999998</v>
      </c>
      <c r="K21" s="11">
        <v>75534.66</v>
      </c>
      <c r="L21" s="11">
        <v>262544.49</v>
      </c>
      <c r="M21" s="11">
        <v>348384.06</v>
      </c>
      <c r="N21" s="11">
        <v>248970.8</v>
      </c>
    </row>
    <row r="22" spans="1:14">
      <c r="A22" s="2">
        <f t="shared" si="0"/>
        <v>44467</v>
      </c>
      <c r="B22" s="11">
        <v>191063.2</v>
      </c>
      <c r="C22" s="11">
        <v>28072.91</v>
      </c>
      <c r="D22" s="11">
        <v>162.54</v>
      </c>
      <c r="E22" s="11">
        <v>189193.68</v>
      </c>
      <c r="F22" s="11">
        <v>2750018.45</v>
      </c>
      <c r="G22" s="11">
        <v>1995117.4</v>
      </c>
      <c r="H22" s="11">
        <v>737485.07</v>
      </c>
      <c r="I22" s="11">
        <v>44975.3</v>
      </c>
      <c r="J22" s="11">
        <v>56722.35</v>
      </c>
      <c r="K22" s="11">
        <v>74973.77</v>
      </c>
      <c r="L22" s="11">
        <v>263610.39</v>
      </c>
      <c r="M22" s="11">
        <v>349585.68</v>
      </c>
      <c r="N22" s="11">
        <v>270652.34999999998</v>
      </c>
    </row>
    <row r="23" spans="1:14">
      <c r="A23" s="2">
        <f t="shared" si="0"/>
        <v>44436</v>
      </c>
      <c r="B23" s="11">
        <v>196781.36</v>
      </c>
      <c r="C23" s="11">
        <v>27392.53</v>
      </c>
      <c r="D23" s="11">
        <v>253.89</v>
      </c>
      <c r="E23" s="11">
        <v>197231.31</v>
      </c>
      <c r="F23" s="11">
        <v>2758392.59</v>
      </c>
      <c r="G23" s="11">
        <v>1983745.6</v>
      </c>
      <c r="H23" s="11">
        <v>751246.86</v>
      </c>
      <c r="I23" s="11">
        <v>50774.23</v>
      </c>
      <c r="J23" s="11">
        <v>57030.49</v>
      </c>
      <c r="K23" s="11">
        <v>73652.759999999995</v>
      </c>
      <c r="L23" s="11">
        <v>263096.21999999997</v>
      </c>
      <c r="M23" s="11">
        <v>350051.72</v>
      </c>
      <c r="N23" s="11">
        <v>262760.38</v>
      </c>
    </row>
    <row r="24" spans="1:14">
      <c r="A24" s="2">
        <f t="shared" si="0"/>
        <v>44405</v>
      </c>
      <c r="B24" s="11">
        <v>197184.74</v>
      </c>
      <c r="C24" s="11">
        <v>29334.55</v>
      </c>
      <c r="D24" s="11">
        <v>298.83999999999997</v>
      </c>
      <c r="E24" s="11">
        <v>194839.64</v>
      </c>
      <c r="F24" s="11">
        <v>2776273.17</v>
      </c>
      <c r="G24" s="11">
        <v>1997222.5</v>
      </c>
      <c r="H24" s="11">
        <v>751859.24</v>
      </c>
      <c r="I24" s="11">
        <v>50774.23</v>
      </c>
      <c r="J24" s="11">
        <v>54630.54</v>
      </c>
      <c r="K24" s="11">
        <v>70916.490000000005</v>
      </c>
      <c r="L24" s="11">
        <v>262429.46999999997</v>
      </c>
      <c r="M24" s="11">
        <v>348789.39</v>
      </c>
      <c r="N24" s="11">
        <v>262745.32</v>
      </c>
    </row>
    <row r="25" spans="1:14">
      <c r="A25" s="2">
        <f t="shared" si="0"/>
        <v>44375</v>
      </c>
      <c r="B25" s="11">
        <v>180317.11</v>
      </c>
      <c r="C25" s="11">
        <v>28447.64</v>
      </c>
      <c r="D25" s="11">
        <v>354.56</v>
      </c>
      <c r="E25" s="11">
        <v>179096.95</v>
      </c>
      <c r="F25" s="11">
        <v>2747030</v>
      </c>
      <c r="G25" s="11">
        <v>1967513.5</v>
      </c>
      <c r="H25" s="11">
        <v>754405.81</v>
      </c>
      <c r="I25" s="11">
        <v>52032.34</v>
      </c>
      <c r="J25" s="11">
        <v>53890.58</v>
      </c>
      <c r="K25" s="11">
        <v>70825.88</v>
      </c>
      <c r="L25" s="11">
        <v>260122.14</v>
      </c>
      <c r="M25" s="11">
        <v>348786.62</v>
      </c>
      <c r="N25" s="11">
        <v>286658.83</v>
      </c>
    </row>
    <row r="26" spans="1:14">
      <c r="A26" s="2">
        <f t="shared" si="0"/>
        <v>44344</v>
      </c>
      <c r="B26" s="11">
        <v>202702.58</v>
      </c>
      <c r="C26" s="11">
        <v>30123.1</v>
      </c>
      <c r="D26" s="11">
        <v>414.66</v>
      </c>
      <c r="E26" s="11">
        <v>199148.25</v>
      </c>
      <c r="F26" s="11">
        <v>2726360.78</v>
      </c>
      <c r="G26" s="11">
        <v>1974524.2</v>
      </c>
      <c r="H26" s="11">
        <v>726933.57</v>
      </c>
      <c r="I26" s="11">
        <v>51723.18</v>
      </c>
      <c r="J26" s="11">
        <v>54781.24</v>
      </c>
      <c r="K26" s="11">
        <v>70115.09</v>
      </c>
      <c r="L26" s="11">
        <v>258200.34</v>
      </c>
      <c r="M26" s="11">
        <v>346614.09</v>
      </c>
      <c r="N26" s="11">
        <v>276382.51</v>
      </c>
    </row>
    <row r="27" spans="1:14">
      <c r="A27" s="2">
        <f t="shared" si="0"/>
        <v>44314</v>
      </c>
      <c r="B27" s="11">
        <v>196736.31</v>
      </c>
      <c r="C27" s="11">
        <v>30926.85</v>
      </c>
      <c r="D27" s="11">
        <v>445.44</v>
      </c>
      <c r="E27" s="11">
        <v>191527.38</v>
      </c>
      <c r="F27" s="11">
        <v>2720425.66</v>
      </c>
      <c r="G27" s="11">
        <v>1966807.9</v>
      </c>
      <c r="H27" s="11">
        <v>729192.5</v>
      </c>
      <c r="I27" s="11">
        <v>50861.02</v>
      </c>
      <c r="J27" s="11">
        <v>54405.07</v>
      </c>
      <c r="K27" s="11">
        <v>69866.460000000006</v>
      </c>
      <c r="L27" s="11">
        <v>260021.27</v>
      </c>
      <c r="M27" s="11">
        <v>348905.87</v>
      </c>
      <c r="N27" s="11">
        <v>272580.46000000002</v>
      </c>
    </row>
    <row r="28" spans="1:14">
      <c r="A28" s="2">
        <f t="shared" si="0"/>
        <v>44283</v>
      </c>
      <c r="B28" s="11">
        <v>180200.93</v>
      </c>
      <c r="C28" s="11">
        <v>29576.5</v>
      </c>
      <c r="D28" s="11">
        <v>647.70000000000005</v>
      </c>
      <c r="E28" s="11">
        <v>175227.13</v>
      </c>
      <c r="F28" s="11">
        <v>2703982.34</v>
      </c>
      <c r="G28" s="11">
        <v>1939176.4</v>
      </c>
      <c r="H28" s="11">
        <v>743542.33</v>
      </c>
      <c r="I28" s="11">
        <v>48915.37</v>
      </c>
      <c r="J28" s="11">
        <v>57682.83</v>
      </c>
      <c r="K28" s="11">
        <v>72919.38</v>
      </c>
      <c r="L28" s="11">
        <v>263361.84000000003</v>
      </c>
      <c r="M28" s="11">
        <v>353678.18</v>
      </c>
      <c r="N28" s="11">
        <v>282445.71999999997</v>
      </c>
    </row>
    <row r="29" spans="1:14">
      <c r="A29" s="2">
        <f t="shared" si="0"/>
        <v>44255</v>
      </c>
      <c r="B29" s="11">
        <v>199521.12</v>
      </c>
      <c r="C29" s="11">
        <v>29371.3</v>
      </c>
      <c r="D29" s="11">
        <v>733.2</v>
      </c>
      <c r="E29" s="11">
        <v>192883.3</v>
      </c>
      <c r="F29" s="11">
        <v>2645893.21</v>
      </c>
      <c r="G29" s="11">
        <v>1961828.2</v>
      </c>
      <c r="H29" s="11">
        <v>659513.28</v>
      </c>
      <c r="I29" s="11">
        <v>51527.12</v>
      </c>
      <c r="J29" s="11">
        <v>60417.82</v>
      </c>
      <c r="K29" s="11">
        <v>74838.23</v>
      </c>
      <c r="L29" s="11">
        <v>262706.95</v>
      </c>
      <c r="M29" s="11">
        <v>351111.45</v>
      </c>
      <c r="N29" s="11">
        <v>270276.96999999997</v>
      </c>
    </row>
    <row r="30" spans="1:14">
      <c r="A30" s="2">
        <f t="shared" si="0"/>
        <v>44224</v>
      </c>
      <c r="B30" s="11">
        <v>205485.9</v>
      </c>
      <c r="C30" s="11">
        <v>30035.91</v>
      </c>
      <c r="D30" s="11">
        <v>765.13</v>
      </c>
      <c r="E30" s="11">
        <v>198113.71</v>
      </c>
      <c r="F30" s="11">
        <v>2623737.2599999998</v>
      </c>
      <c r="G30" s="11">
        <v>1953552.5</v>
      </c>
      <c r="H30" s="11">
        <v>647263.68999999994</v>
      </c>
      <c r="I30" s="11">
        <v>51567.03</v>
      </c>
      <c r="J30" s="11">
        <v>60941.43</v>
      </c>
      <c r="K30" s="11">
        <v>77581.59</v>
      </c>
      <c r="L30" s="11">
        <v>263972.2</v>
      </c>
      <c r="M30" s="11">
        <v>348270.8</v>
      </c>
      <c r="N30" s="11">
        <v>284485</v>
      </c>
    </row>
    <row r="31" spans="1:14">
      <c r="A31" s="2">
        <f t="shared" si="0"/>
        <v>44193</v>
      </c>
      <c r="B31" s="11">
        <v>199470.11</v>
      </c>
      <c r="C31" s="11">
        <v>27341.95</v>
      </c>
      <c r="D31" s="11">
        <v>873.38</v>
      </c>
      <c r="E31" s="11">
        <v>191953.74</v>
      </c>
      <c r="F31" s="11">
        <v>2607315.17</v>
      </c>
      <c r="G31" s="11">
        <v>1934267.9</v>
      </c>
      <c r="H31" s="11">
        <v>651072.92000000004</v>
      </c>
      <c r="I31" s="11">
        <v>50471.44</v>
      </c>
      <c r="J31" s="11">
        <v>65001.05</v>
      </c>
      <c r="K31" s="11">
        <v>84120.55</v>
      </c>
      <c r="L31" s="11">
        <v>267809.73</v>
      </c>
      <c r="M31" s="11">
        <v>347895.1</v>
      </c>
      <c r="N31" s="11">
        <v>289584.63</v>
      </c>
    </row>
    <row r="32" spans="1:14">
      <c r="A32" s="2">
        <f t="shared" si="0"/>
        <v>44163</v>
      </c>
      <c r="B32" s="11">
        <v>214826.6</v>
      </c>
      <c r="C32" s="11">
        <v>27523.64</v>
      </c>
      <c r="D32" s="11">
        <v>521.30999999999995</v>
      </c>
      <c r="E32" s="11">
        <v>207605.31</v>
      </c>
      <c r="F32" s="11">
        <v>2599106.73</v>
      </c>
      <c r="G32" s="11">
        <v>1923059.4</v>
      </c>
      <c r="H32" s="11">
        <v>650121.42000000004</v>
      </c>
      <c r="I32" s="11">
        <v>53176.81</v>
      </c>
      <c r="J32" s="11">
        <v>68641.89</v>
      </c>
      <c r="K32" s="11">
        <v>85378.7</v>
      </c>
      <c r="L32" s="11">
        <v>269753.42</v>
      </c>
      <c r="M32" s="11">
        <v>361850.45</v>
      </c>
      <c r="N32" s="11">
        <v>323946</v>
      </c>
    </row>
    <row r="33" spans="1:14">
      <c r="A33" s="2">
        <f t="shared" si="0"/>
        <v>44132</v>
      </c>
      <c r="B33" s="11">
        <v>209894.24</v>
      </c>
      <c r="C33" s="11">
        <v>27563.02</v>
      </c>
      <c r="D33" s="11">
        <v>474.75</v>
      </c>
      <c r="E33" s="11">
        <v>201844.86</v>
      </c>
      <c r="F33" s="11">
        <v>2595966.59</v>
      </c>
      <c r="G33" s="11">
        <v>1924355.4</v>
      </c>
      <c r="H33" s="11">
        <v>647328.97</v>
      </c>
      <c r="I33" s="11">
        <v>50418.71</v>
      </c>
      <c r="J33" s="11">
        <v>68213.2</v>
      </c>
      <c r="K33" s="11">
        <v>85646.51</v>
      </c>
      <c r="L33" s="11">
        <v>271894.90999999997</v>
      </c>
      <c r="M33" s="11">
        <v>362880.98</v>
      </c>
      <c r="N33" s="11">
        <v>275708.76</v>
      </c>
    </row>
    <row r="34" spans="1:14">
      <c r="A34" s="2">
        <f t="shared" si="0"/>
        <v>44102</v>
      </c>
      <c r="B34" s="11">
        <v>187099.55</v>
      </c>
      <c r="C34" s="11">
        <v>27246.85</v>
      </c>
      <c r="D34" s="11">
        <v>491.68</v>
      </c>
      <c r="E34" s="11">
        <v>180745.99</v>
      </c>
      <c r="F34" s="11">
        <v>2546742.0699999998</v>
      </c>
      <c r="G34" s="11">
        <v>1884823</v>
      </c>
      <c r="H34" s="11">
        <v>637566.21</v>
      </c>
      <c r="I34" s="11">
        <v>48806.34</v>
      </c>
      <c r="J34" s="11">
        <v>64627.5</v>
      </c>
      <c r="K34" s="11">
        <v>83609.429999999993</v>
      </c>
      <c r="L34" s="11">
        <v>278958.03000000003</v>
      </c>
      <c r="M34" s="11">
        <v>360840.96000000002</v>
      </c>
      <c r="N34" s="11">
        <v>295806.38</v>
      </c>
    </row>
    <row r="35" spans="1:14">
      <c r="A35" s="2">
        <f t="shared" si="0"/>
        <v>44071</v>
      </c>
      <c r="B35" s="11">
        <v>204132.26</v>
      </c>
      <c r="C35" s="11">
        <v>26514.720000000001</v>
      </c>
      <c r="D35" s="11">
        <v>493.61</v>
      </c>
      <c r="E35" s="11">
        <v>198742.92</v>
      </c>
      <c r="F35" s="11">
        <v>2523787.4900000002</v>
      </c>
      <c r="G35" s="11">
        <v>1893450.7</v>
      </c>
      <c r="H35" s="11">
        <v>611964.09</v>
      </c>
      <c r="I35" s="11">
        <v>42932.23</v>
      </c>
      <c r="J35" s="11">
        <v>65944.86</v>
      </c>
      <c r="K35" s="11">
        <v>84577.11</v>
      </c>
      <c r="L35" s="11">
        <v>277395.34000000003</v>
      </c>
      <c r="M35" s="11">
        <v>357835.28</v>
      </c>
      <c r="N35" s="11">
        <v>274205.06</v>
      </c>
    </row>
    <row r="36" spans="1:14">
      <c r="A36" s="2">
        <f t="shared" si="0"/>
        <v>44040</v>
      </c>
      <c r="B36" s="11">
        <v>214436.14</v>
      </c>
      <c r="C36" s="11">
        <v>26198.68</v>
      </c>
      <c r="D36" s="11">
        <v>536.84</v>
      </c>
      <c r="E36" s="11">
        <v>211098.28</v>
      </c>
      <c r="F36" s="11">
        <v>2511978.83</v>
      </c>
      <c r="G36" s="11">
        <v>1883098.2</v>
      </c>
      <c r="H36" s="11">
        <v>609641.72</v>
      </c>
      <c r="I36" s="11">
        <v>44264.62</v>
      </c>
      <c r="J36" s="11">
        <v>78187.28</v>
      </c>
      <c r="K36" s="11">
        <v>96807.15</v>
      </c>
      <c r="L36" s="11">
        <v>275946.87</v>
      </c>
      <c r="M36" s="11">
        <v>355295.27</v>
      </c>
      <c r="N36" s="11">
        <v>298511.09999999998</v>
      </c>
    </row>
    <row r="37" spans="1:14">
      <c r="A37" s="2">
        <f t="shared" si="0"/>
        <v>44010</v>
      </c>
      <c r="B37" s="11">
        <v>196780.88</v>
      </c>
      <c r="C37" s="11">
        <v>24715.74</v>
      </c>
      <c r="D37" s="11">
        <v>198.89</v>
      </c>
      <c r="E37" s="11">
        <v>195600.15</v>
      </c>
      <c r="F37" s="11">
        <v>2639167.3199999998</v>
      </c>
      <c r="G37" s="11">
        <v>1859620.6</v>
      </c>
      <c r="H37" s="11">
        <v>769702.7</v>
      </c>
      <c r="I37" s="11">
        <v>42299.040000000001</v>
      </c>
      <c r="J37" s="11">
        <v>66155.75</v>
      </c>
      <c r="K37" s="11">
        <v>85734.16</v>
      </c>
      <c r="L37" s="11">
        <v>285219.95</v>
      </c>
      <c r="M37" s="11">
        <v>359680.65</v>
      </c>
      <c r="N37" s="11">
        <v>328468.11</v>
      </c>
    </row>
    <row r="38" spans="1:14">
      <c r="A38" s="2">
        <f t="shared" si="0"/>
        <v>43979</v>
      </c>
      <c r="B38" s="11">
        <v>219379.68</v>
      </c>
      <c r="C38" s="11">
        <v>24111.41</v>
      </c>
      <c r="D38" s="11">
        <v>439.52</v>
      </c>
      <c r="E38" s="11">
        <v>219334.54</v>
      </c>
      <c r="F38" s="11">
        <v>2573657.15</v>
      </c>
      <c r="G38" s="11">
        <v>1878928.6</v>
      </c>
      <c r="H38" s="11">
        <v>697400.75</v>
      </c>
      <c r="I38" s="11">
        <v>41615.33</v>
      </c>
      <c r="J38" s="11">
        <v>64544.4</v>
      </c>
      <c r="K38" s="11">
        <v>83652.490000000005</v>
      </c>
      <c r="L38" s="11">
        <v>287190</v>
      </c>
      <c r="M38" s="11">
        <v>354852.4</v>
      </c>
      <c r="N38" s="11">
        <v>300114.12</v>
      </c>
    </row>
    <row r="39" spans="1:14">
      <c r="A39" s="2">
        <f t="shared" si="0"/>
        <v>43949</v>
      </c>
      <c r="B39" s="11">
        <v>215034.22</v>
      </c>
      <c r="C39" s="11">
        <v>23013.49</v>
      </c>
      <c r="D39" s="11">
        <v>506.7</v>
      </c>
      <c r="E39" s="11">
        <v>215594</v>
      </c>
      <c r="F39" s="11">
        <v>2522707.9700000002</v>
      </c>
      <c r="G39" s="11">
        <v>1857976.6</v>
      </c>
      <c r="H39" s="11">
        <v>669115.62</v>
      </c>
      <c r="I39" s="11">
        <v>41932.53</v>
      </c>
      <c r="J39" s="11">
        <v>64099.29</v>
      </c>
      <c r="K39" s="11">
        <v>79700.87</v>
      </c>
      <c r="L39" s="11">
        <v>289878.7</v>
      </c>
      <c r="M39" s="11">
        <v>353063.78</v>
      </c>
      <c r="N39" s="11">
        <v>315755.7</v>
      </c>
    </row>
    <row r="40" spans="1:14">
      <c r="A40" s="2">
        <f t="shared" si="0"/>
        <v>43918</v>
      </c>
      <c r="B40" s="11">
        <v>212842.86</v>
      </c>
      <c r="C40" s="11">
        <v>22359.37</v>
      </c>
      <c r="D40" s="11">
        <v>433.95</v>
      </c>
      <c r="E40" s="11">
        <v>214132.75</v>
      </c>
      <c r="F40" s="11">
        <v>2493264.75</v>
      </c>
      <c r="G40" s="11">
        <v>1835734.6</v>
      </c>
      <c r="H40" s="11">
        <v>651539.51</v>
      </c>
      <c r="I40" s="11">
        <v>49929.4</v>
      </c>
      <c r="J40" s="11">
        <v>62883.87</v>
      </c>
      <c r="K40" s="11">
        <v>81988.36</v>
      </c>
      <c r="L40" s="11">
        <v>291995.84000000003</v>
      </c>
      <c r="M40" s="11">
        <v>356607.63</v>
      </c>
      <c r="N40" s="11">
        <v>304790.40000000002</v>
      </c>
    </row>
    <row r="41" spans="1:14">
      <c r="A41" s="2">
        <f t="shared" si="0"/>
        <v>43889</v>
      </c>
      <c r="B41" s="11">
        <v>227630.83</v>
      </c>
      <c r="C41" s="11">
        <v>24958.58</v>
      </c>
      <c r="D41" s="11">
        <v>492.29</v>
      </c>
      <c r="E41" s="11">
        <v>227791.38</v>
      </c>
      <c r="F41" s="11">
        <v>2428079.2599999998</v>
      </c>
      <c r="G41" s="11">
        <v>1812915.8</v>
      </c>
      <c r="H41" s="11">
        <v>582986.13</v>
      </c>
      <c r="I41" s="11">
        <v>61622.39</v>
      </c>
      <c r="J41" s="11">
        <v>67192.02</v>
      </c>
      <c r="K41" s="11">
        <v>87974.57</v>
      </c>
      <c r="L41" s="11">
        <v>297474.89</v>
      </c>
      <c r="M41" s="11">
        <v>356724.58</v>
      </c>
      <c r="N41" s="11">
        <v>314666.06</v>
      </c>
    </row>
    <row r="42" spans="1:14">
      <c r="A42" s="2">
        <f t="shared" si="0"/>
        <v>43858</v>
      </c>
      <c r="B42" s="11">
        <v>228163.49</v>
      </c>
      <c r="C42" s="11">
        <v>26481.18</v>
      </c>
      <c r="D42" s="11">
        <v>542.04</v>
      </c>
      <c r="E42" s="11">
        <v>227197.13</v>
      </c>
      <c r="F42" s="11">
        <v>2406598.96</v>
      </c>
      <c r="G42" s="11">
        <v>1790715.3</v>
      </c>
      <c r="H42" s="11">
        <v>583828.02</v>
      </c>
      <c r="I42" s="11">
        <v>60987.64</v>
      </c>
      <c r="J42" s="11">
        <v>64490.55</v>
      </c>
      <c r="K42" s="11">
        <v>81441.41</v>
      </c>
      <c r="L42" s="11">
        <v>298338.90000000002</v>
      </c>
      <c r="M42" s="11">
        <v>357026.03</v>
      </c>
      <c r="N42" s="11">
        <v>321013.74</v>
      </c>
    </row>
    <row r="43" spans="1:14">
      <c r="A43" s="2">
        <f t="shared" si="0"/>
        <v>43827</v>
      </c>
      <c r="B43" s="11">
        <v>218833.98</v>
      </c>
      <c r="C43" s="11">
        <v>25661.83</v>
      </c>
      <c r="D43" s="11">
        <v>603.9</v>
      </c>
      <c r="E43" s="11">
        <v>215985.6</v>
      </c>
      <c r="F43" s="11">
        <v>2428148.83</v>
      </c>
      <c r="G43" s="11">
        <v>1802921.4</v>
      </c>
      <c r="H43" s="11">
        <v>599658.34</v>
      </c>
      <c r="I43" s="11">
        <v>53214.81</v>
      </c>
      <c r="J43" s="11">
        <v>62442.41</v>
      </c>
      <c r="K43" s="11">
        <v>81769.649999999994</v>
      </c>
      <c r="L43" s="11">
        <v>300882.65999999997</v>
      </c>
      <c r="M43" s="11">
        <v>362517.34</v>
      </c>
      <c r="N43" s="11">
        <v>277366.95</v>
      </c>
    </row>
    <row r="44" spans="1:14">
      <c r="A44" s="2">
        <f t="shared" si="0"/>
        <v>43797</v>
      </c>
      <c r="B44" s="11">
        <v>222718.8</v>
      </c>
      <c r="C44" s="11">
        <v>24022.080000000002</v>
      </c>
      <c r="D44" s="11">
        <v>460.32</v>
      </c>
      <c r="E44" s="11">
        <v>225848.91</v>
      </c>
      <c r="F44" s="11">
        <v>2474574.5499999998</v>
      </c>
      <c r="G44" s="11">
        <v>1828528.2</v>
      </c>
      <c r="H44" s="11">
        <v>609057.06000000006</v>
      </c>
      <c r="I44" s="11">
        <v>66226.16</v>
      </c>
      <c r="J44" s="11">
        <v>63644.41</v>
      </c>
      <c r="K44" s="11">
        <v>84695.2</v>
      </c>
      <c r="L44" s="11">
        <v>303207.24</v>
      </c>
      <c r="M44" s="11">
        <v>370451.04</v>
      </c>
      <c r="N44" s="11">
        <v>299955.68</v>
      </c>
    </row>
    <row r="45" spans="1:14">
      <c r="A45" s="2">
        <f t="shared" si="0"/>
        <v>43766</v>
      </c>
      <c r="B45" s="11">
        <v>223948.94</v>
      </c>
      <c r="C45" s="11">
        <v>24398.13</v>
      </c>
      <c r="D45" s="11">
        <v>551.26</v>
      </c>
      <c r="E45" s="11">
        <v>226731.4</v>
      </c>
      <c r="F45" s="11">
        <v>2482553.7000000002</v>
      </c>
      <c r="G45" s="11">
        <v>1804289.2</v>
      </c>
      <c r="H45" s="11">
        <v>640242.98</v>
      </c>
      <c r="I45" s="11">
        <v>66945.11</v>
      </c>
      <c r="J45" s="11">
        <v>62724.15</v>
      </c>
      <c r="K45" s="11">
        <v>84120.43</v>
      </c>
      <c r="L45" s="11">
        <v>302730.18</v>
      </c>
      <c r="M45" s="11">
        <v>376976.92</v>
      </c>
      <c r="N45" s="11">
        <v>315428.06</v>
      </c>
    </row>
    <row r="46" spans="1:14">
      <c r="A46" s="2">
        <f t="shared" si="0"/>
        <v>43736</v>
      </c>
      <c r="B46" s="11">
        <v>217036.02</v>
      </c>
      <c r="C46" s="11">
        <v>23833.18</v>
      </c>
      <c r="D46" s="11">
        <v>551.86</v>
      </c>
      <c r="E46" s="11">
        <v>219239.84</v>
      </c>
      <c r="F46" s="11">
        <v>2453836.87</v>
      </c>
      <c r="G46" s="11">
        <v>1762182.1</v>
      </c>
      <c r="H46" s="11">
        <v>658775.06999999995</v>
      </c>
      <c r="I46" s="11">
        <v>63406.68</v>
      </c>
      <c r="J46" s="11">
        <v>63970.21</v>
      </c>
      <c r="K46" s="11">
        <v>88138.29</v>
      </c>
      <c r="L46" s="11">
        <v>303588.06</v>
      </c>
      <c r="M46" s="11">
        <v>370771.31</v>
      </c>
      <c r="N46" s="11">
        <v>349156.8</v>
      </c>
    </row>
    <row r="47" spans="1:14">
      <c r="A47" s="2">
        <f t="shared" si="0"/>
        <v>43705</v>
      </c>
      <c r="B47" s="11">
        <v>215048.02</v>
      </c>
      <c r="C47" s="11">
        <v>22219.599999999999</v>
      </c>
      <c r="D47" s="11">
        <v>335.74</v>
      </c>
      <c r="E47" s="11">
        <v>220354.45</v>
      </c>
      <c r="F47" s="11">
        <v>2462633.02</v>
      </c>
      <c r="G47" s="11">
        <v>1777129.1</v>
      </c>
      <c r="H47" s="11">
        <v>659729.75</v>
      </c>
      <c r="I47" s="11">
        <v>55911.64</v>
      </c>
      <c r="J47" s="11">
        <v>63757.06</v>
      </c>
      <c r="K47" s="11">
        <v>87273.84</v>
      </c>
      <c r="L47" s="11">
        <v>302281.63</v>
      </c>
      <c r="M47" s="11">
        <v>368073.24</v>
      </c>
      <c r="N47" s="11">
        <v>324231.92</v>
      </c>
    </row>
    <row r="48" spans="1:14">
      <c r="A48" s="2">
        <f t="shared" si="0"/>
        <v>43674</v>
      </c>
      <c r="B48" s="11">
        <v>214226.36</v>
      </c>
      <c r="C48" s="11">
        <v>23305.74</v>
      </c>
      <c r="D48" s="11">
        <v>326.08999999999997</v>
      </c>
      <c r="E48" s="11">
        <v>216029.5</v>
      </c>
      <c r="F48" s="11">
        <v>2433811.15</v>
      </c>
      <c r="G48" s="11">
        <v>1755350</v>
      </c>
      <c r="H48" s="11">
        <v>651506.76</v>
      </c>
      <c r="I48" s="11">
        <v>56157.82</v>
      </c>
      <c r="J48" s="11">
        <v>63929.15</v>
      </c>
      <c r="K48" s="11">
        <v>87474.07</v>
      </c>
      <c r="L48" s="11">
        <v>303350.71000000002</v>
      </c>
      <c r="M48" s="11">
        <v>372323.7</v>
      </c>
      <c r="N48" s="11">
        <v>327173.09000000003</v>
      </c>
    </row>
    <row r="49" spans="1:14">
      <c r="A49" s="2">
        <f t="shared" si="0"/>
        <v>43644</v>
      </c>
      <c r="B49" s="11">
        <v>217793.93</v>
      </c>
      <c r="C49" s="11">
        <v>22967.09</v>
      </c>
      <c r="D49" s="11">
        <v>357.09</v>
      </c>
      <c r="E49" s="11">
        <v>217035.03</v>
      </c>
      <c r="F49" s="11">
        <v>2439279.62</v>
      </c>
      <c r="G49" s="11">
        <v>1762325.4</v>
      </c>
      <c r="H49" s="11">
        <v>652429.29</v>
      </c>
      <c r="I49" s="11">
        <v>54897.3</v>
      </c>
      <c r="J49" s="11">
        <v>62739.65</v>
      </c>
      <c r="K49" s="11">
        <v>88539.95</v>
      </c>
      <c r="L49" s="11">
        <v>298500.08</v>
      </c>
      <c r="M49" s="11">
        <v>371542.19</v>
      </c>
      <c r="N49" s="11">
        <v>298545.84000000003</v>
      </c>
    </row>
    <row r="50" spans="1:14">
      <c r="A50" s="2">
        <f t="shared" si="0"/>
        <v>43613</v>
      </c>
      <c r="B50" s="11">
        <v>222304.6</v>
      </c>
      <c r="C50" s="11">
        <v>22290.49</v>
      </c>
      <c r="D50" s="11">
        <v>425.51</v>
      </c>
      <c r="E50" s="11">
        <v>221575.62</v>
      </c>
      <c r="F50" s="11">
        <v>2410480.4900000002</v>
      </c>
      <c r="G50" s="11">
        <v>1750210</v>
      </c>
      <c r="H50" s="11">
        <v>636061.24</v>
      </c>
      <c r="I50" s="11">
        <v>54544.37</v>
      </c>
      <c r="J50" s="11">
        <v>64625.3</v>
      </c>
      <c r="K50" s="11">
        <v>90469.69</v>
      </c>
      <c r="L50" s="11">
        <v>298449.51</v>
      </c>
      <c r="M50" s="11">
        <v>373483.7</v>
      </c>
      <c r="N50" s="11">
        <v>298342.59000000003</v>
      </c>
    </row>
    <row r="51" spans="1:14">
      <c r="A51" s="2">
        <f t="shared" si="0"/>
        <v>43583</v>
      </c>
      <c r="B51" s="11">
        <v>216554.9</v>
      </c>
      <c r="C51" s="11">
        <v>21355.03</v>
      </c>
      <c r="D51" s="11">
        <v>263.31</v>
      </c>
      <c r="E51" s="11">
        <v>217135.32</v>
      </c>
      <c r="F51" s="11">
        <v>2401247.2799999998</v>
      </c>
      <c r="G51" s="11">
        <v>1749409.7</v>
      </c>
      <c r="H51" s="11">
        <v>629994.46</v>
      </c>
      <c r="I51" s="11">
        <v>52638.05</v>
      </c>
      <c r="J51" s="11">
        <v>65754.12</v>
      </c>
      <c r="K51" s="11">
        <v>90397.95</v>
      </c>
      <c r="L51" s="11">
        <v>300633.31</v>
      </c>
      <c r="M51" s="11">
        <v>374789.33</v>
      </c>
      <c r="N51" s="11">
        <v>297464.46999999997</v>
      </c>
    </row>
    <row r="52" spans="1:14">
      <c r="A52" s="2">
        <f t="shared" si="0"/>
        <v>43552</v>
      </c>
      <c r="B52" s="11">
        <v>220496.09</v>
      </c>
      <c r="C52" s="11">
        <v>21794.85</v>
      </c>
      <c r="D52" s="11">
        <v>285.73</v>
      </c>
      <c r="E52" s="11">
        <v>219510.55</v>
      </c>
      <c r="F52" s="11">
        <v>2405881.84</v>
      </c>
      <c r="G52" s="11">
        <v>1748804.7</v>
      </c>
      <c r="H52" s="11">
        <v>636493.39</v>
      </c>
      <c r="I52" s="11">
        <v>52635.95</v>
      </c>
      <c r="J52" s="11">
        <v>67685.72</v>
      </c>
      <c r="K52" s="11">
        <v>93858.73</v>
      </c>
      <c r="L52" s="11">
        <v>302567.06</v>
      </c>
      <c r="M52" s="11">
        <v>375150.13</v>
      </c>
      <c r="N52" s="11">
        <v>281087.25</v>
      </c>
    </row>
    <row r="53" spans="1:14">
      <c r="A53" s="2">
        <f t="shared" si="0"/>
        <v>43524</v>
      </c>
      <c r="B53" s="11">
        <v>202159.69</v>
      </c>
      <c r="C53" s="11">
        <v>20165.52</v>
      </c>
      <c r="D53" s="11">
        <v>333.16</v>
      </c>
      <c r="E53" s="11">
        <v>202974.65</v>
      </c>
      <c r="F53" s="11">
        <v>2378960.96</v>
      </c>
      <c r="G53" s="11">
        <v>1728294.4</v>
      </c>
      <c r="H53" s="11">
        <v>627791.55000000005</v>
      </c>
      <c r="I53" s="11">
        <v>53803.839999999997</v>
      </c>
      <c r="J53" s="11">
        <v>80769.37</v>
      </c>
      <c r="K53" s="11">
        <v>105670.2</v>
      </c>
      <c r="L53" s="11">
        <v>296809.3</v>
      </c>
      <c r="M53" s="11">
        <v>378691.8</v>
      </c>
      <c r="N53" s="11">
        <v>276287.82</v>
      </c>
    </row>
    <row r="54" spans="1:14">
      <c r="A54" s="2">
        <f t="shared" si="0"/>
        <v>43493</v>
      </c>
      <c r="B54" s="11">
        <v>191786.34</v>
      </c>
      <c r="C54" s="11">
        <v>20859.68</v>
      </c>
      <c r="D54" s="11">
        <v>356.33</v>
      </c>
      <c r="E54" s="11">
        <v>190075.81</v>
      </c>
      <c r="F54" s="11">
        <v>2374390.86</v>
      </c>
      <c r="G54" s="11">
        <v>1714654.8</v>
      </c>
      <c r="H54" s="11">
        <v>638683.69999999995</v>
      </c>
      <c r="I54" s="11">
        <v>52970.04</v>
      </c>
      <c r="J54" s="11">
        <v>84263.360000000001</v>
      </c>
      <c r="K54" s="11">
        <v>109294.49</v>
      </c>
      <c r="L54" s="11">
        <v>299762.49</v>
      </c>
      <c r="M54" s="11">
        <v>380533.63</v>
      </c>
      <c r="N54" s="11">
        <v>279522.84999999998</v>
      </c>
    </row>
    <row r="55" spans="1:14">
      <c r="A55" s="2">
        <f t="shared" si="0"/>
        <v>43462</v>
      </c>
      <c r="B55" s="11">
        <v>188283.72</v>
      </c>
      <c r="C55" s="11">
        <v>20606.259999999998</v>
      </c>
      <c r="D55" s="11">
        <v>401.72</v>
      </c>
      <c r="E55" s="11">
        <v>187128.48</v>
      </c>
      <c r="F55" s="11">
        <v>2383754.1</v>
      </c>
      <c r="G55" s="11">
        <v>1736630.8</v>
      </c>
      <c r="H55" s="11">
        <v>639879.1</v>
      </c>
      <c r="I55" s="11">
        <v>38996.43</v>
      </c>
      <c r="J55" s="11">
        <v>81321.39</v>
      </c>
      <c r="K55" s="11">
        <v>110391.98</v>
      </c>
      <c r="L55" s="11">
        <v>299684.01</v>
      </c>
      <c r="M55" s="11">
        <v>380212.81</v>
      </c>
      <c r="N55" s="11">
        <v>251866.57</v>
      </c>
    </row>
    <row r="56" spans="1:14">
      <c r="A56" s="2">
        <f t="shared" si="0"/>
        <v>43432</v>
      </c>
      <c r="B56" s="11">
        <v>183840.48</v>
      </c>
      <c r="C56" s="11">
        <v>20296.330000000002</v>
      </c>
      <c r="D56" s="11">
        <v>185.45</v>
      </c>
      <c r="E56" s="11">
        <v>186607.67</v>
      </c>
      <c r="F56" s="11">
        <v>2360477.21</v>
      </c>
      <c r="G56" s="11">
        <v>1704017.2</v>
      </c>
      <c r="H56" s="11">
        <v>628888.72</v>
      </c>
      <c r="I56" s="11">
        <v>59165.98</v>
      </c>
      <c r="J56" s="11">
        <v>82446.95</v>
      </c>
      <c r="K56" s="11">
        <v>109710.48</v>
      </c>
      <c r="L56" s="11">
        <v>294355.14</v>
      </c>
      <c r="M56" s="11">
        <v>392025.58</v>
      </c>
      <c r="N56" s="11">
        <v>292979.40000000002</v>
      </c>
    </row>
    <row r="57" spans="1:14">
      <c r="A57" s="2">
        <f t="shared" si="0"/>
        <v>43401</v>
      </c>
      <c r="B57" s="11">
        <v>188155.48</v>
      </c>
      <c r="C57" s="11">
        <v>19689.240000000002</v>
      </c>
      <c r="D57" s="11">
        <v>166.39</v>
      </c>
      <c r="E57" s="11">
        <v>193102</v>
      </c>
      <c r="F57" s="11">
        <v>2399316.79</v>
      </c>
      <c r="G57" s="11">
        <v>1701766.2</v>
      </c>
      <c r="H57" s="11">
        <v>668730.24</v>
      </c>
      <c r="I57" s="11">
        <v>61611.75</v>
      </c>
      <c r="J57" s="11">
        <v>84223.6</v>
      </c>
      <c r="K57" s="11">
        <v>106685.7</v>
      </c>
      <c r="L57" s="11">
        <v>303940.61</v>
      </c>
      <c r="M57" s="11">
        <v>399003.22</v>
      </c>
      <c r="N57" s="11">
        <v>264233.58</v>
      </c>
    </row>
    <row r="58" spans="1:14">
      <c r="A58" s="2">
        <f t="shared" si="0"/>
        <v>43371</v>
      </c>
      <c r="B58" s="11">
        <v>194833.82</v>
      </c>
      <c r="C58" s="11">
        <v>20779.57</v>
      </c>
      <c r="D58" s="11">
        <v>217.76</v>
      </c>
      <c r="E58" s="11">
        <v>194531.01</v>
      </c>
      <c r="F58" s="11">
        <v>2429563.4900000002</v>
      </c>
      <c r="G58" s="11">
        <v>1724692</v>
      </c>
      <c r="H58" s="11">
        <v>679088.35</v>
      </c>
      <c r="I58" s="11">
        <v>57856.46</v>
      </c>
      <c r="J58" s="11">
        <v>83614.960000000006</v>
      </c>
      <c r="K58" s="11">
        <v>109171.84</v>
      </c>
      <c r="L58" s="11">
        <v>308964.37</v>
      </c>
      <c r="M58" s="11">
        <v>400318.17</v>
      </c>
      <c r="N58" s="11">
        <v>243867.84</v>
      </c>
    </row>
    <row r="59" spans="1:14">
      <c r="A59" s="2">
        <f t="shared" si="0"/>
        <v>43340</v>
      </c>
      <c r="B59" s="11">
        <v>186648.26</v>
      </c>
      <c r="C59" s="11">
        <v>20021.64</v>
      </c>
      <c r="D59" s="11">
        <v>284.54000000000002</v>
      </c>
      <c r="E59" s="11">
        <v>187326.79</v>
      </c>
      <c r="F59" s="11">
        <v>2398003.38</v>
      </c>
      <c r="G59" s="11">
        <v>1702000.1</v>
      </c>
      <c r="H59" s="11">
        <v>674643.05</v>
      </c>
      <c r="I59" s="11">
        <v>53263.96</v>
      </c>
      <c r="J59" s="11">
        <v>84340.46</v>
      </c>
      <c r="K59" s="11">
        <v>108881.53</v>
      </c>
      <c r="L59" s="11">
        <v>314131.03000000003</v>
      </c>
      <c r="M59" s="11">
        <v>400597.9</v>
      </c>
      <c r="N59" s="11">
        <v>253238.22</v>
      </c>
    </row>
    <row r="60" spans="1:14">
      <c r="A60" s="2">
        <f t="shared" si="0"/>
        <v>43309</v>
      </c>
      <c r="B60" s="11">
        <v>188232.29</v>
      </c>
      <c r="C60" s="11">
        <v>20593.41</v>
      </c>
      <c r="D60" s="11">
        <v>96.19</v>
      </c>
      <c r="E60" s="11">
        <v>187043</v>
      </c>
      <c r="F60" s="11">
        <v>2387991.7799999998</v>
      </c>
      <c r="G60" s="11">
        <v>1699553.3</v>
      </c>
      <c r="H60" s="11">
        <v>667133.68999999994</v>
      </c>
      <c r="I60" s="11">
        <v>53142.61</v>
      </c>
      <c r="J60" s="11">
        <v>83644</v>
      </c>
      <c r="K60" s="11">
        <v>106471</v>
      </c>
      <c r="L60" s="11">
        <v>315685.71000000002</v>
      </c>
      <c r="M60" s="11">
        <v>404334.91</v>
      </c>
      <c r="N60" s="11">
        <v>268449.95</v>
      </c>
    </row>
    <row r="61" spans="1:14">
      <c r="A61" s="2">
        <f t="shared" si="0"/>
        <v>43279</v>
      </c>
      <c r="B61" s="11">
        <v>186570.23</v>
      </c>
      <c r="C61" s="11">
        <v>26365.13</v>
      </c>
      <c r="D61" s="11">
        <v>133.46</v>
      </c>
      <c r="E61" s="11">
        <v>179068.28</v>
      </c>
      <c r="F61" s="11">
        <v>2413309.61</v>
      </c>
      <c r="G61" s="11">
        <v>1718789.5</v>
      </c>
      <c r="H61" s="11">
        <v>675293.39</v>
      </c>
      <c r="I61" s="11">
        <v>51729.5</v>
      </c>
      <c r="J61" s="11">
        <v>83048.789999999994</v>
      </c>
      <c r="K61" s="11">
        <v>104717.19</v>
      </c>
      <c r="L61" s="11">
        <v>316844.27</v>
      </c>
      <c r="M61" s="11">
        <v>408632.56</v>
      </c>
      <c r="N61" s="11">
        <v>262292.75</v>
      </c>
    </row>
    <row r="62" spans="1:14">
      <c r="A62" s="2">
        <f t="shared" si="0"/>
        <v>43248</v>
      </c>
      <c r="B62" s="11">
        <v>186188.11</v>
      </c>
      <c r="C62" s="11">
        <v>25524.61</v>
      </c>
      <c r="D62" s="11">
        <v>169.39</v>
      </c>
      <c r="E62" s="11">
        <v>178656.69</v>
      </c>
      <c r="F62" s="11">
        <v>2388194.7799999998</v>
      </c>
      <c r="G62" s="11">
        <v>1687586.3</v>
      </c>
      <c r="H62" s="11">
        <v>684097.63</v>
      </c>
      <c r="I62" s="11">
        <v>48839.99</v>
      </c>
      <c r="J62" s="11">
        <v>86451.67</v>
      </c>
      <c r="K62" s="11">
        <v>108669.11</v>
      </c>
      <c r="L62" s="11">
        <v>321956.44</v>
      </c>
      <c r="M62" s="11">
        <v>433216.36</v>
      </c>
      <c r="N62" s="11">
        <v>274938.84999999998</v>
      </c>
    </row>
    <row r="63" spans="1:14">
      <c r="A63" s="2">
        <f t="shared" si="0"/>
        <v>43218</v>
      </c>
      <c r="B63" s="11">
        <v>181854.12</v>
      </c>
      <c r="C63" s="11">
        <v>25163.73</v>
      </c>
      <c r="D63" s="11">
        <v>204.94</v>
      </c>
      <c r="E63" s="11">
        <v>173855.49</v>
      </c>
      <c r="F63" s="11">
        <v>2359792.96</v>
      </c>
      <c r="G63" s="11">
        <v>1672211.9</v>
      </c>
      <c r="H63" s="11">
        <v>671459.92</v>
      </c>
      <c r="I63" s="11">
        <v>47640.13</v>
      </c>
      <c r="J63" s="11">
        <v>86682.48</v>
      </c>
      <c r="K63" s="11">
        <v>106064.43</v>
      </c>
      <c r="L63" s="11">
        <v>322968.19</v>
      </c>
      <c r="M63" s="11">
        <v>439884.13</v>
      </c>
      <c r="N63" s="11">
        <v>280553.58</v>
      </c>
    </row>
    <row r="64" spans="1:14">
      <c r="A64" s="2">
        <f t="shared" si="0"/>
        <v>43187</v>
      </c>
      <c r="B64" s="11">
        <v>180661.63</v>
      </c>
      <c r="C64" s="11">
        <v>25268.6</v>
      </c>
      <c r="D64" s="11">
        <v>243.98</v>
      </c>
      <c r="E64" s="11">
        <v>171252.07</v>
      </c>
      <c r="F64" s="11">
        <v>2359275.15</v>
      </c>
      <c r="G64" s="11">
        <v>1676398.6</v>
      </c>
      <c r="H64" s="11">
        <v>665721.54</v>
      </c>
      <c r="I64" s="11">
        <v>47951.06</v>
      </c>
      <c r="J64" s="11">
        <v>82020.11</v>
      </c>
      <c r="K64" s="11">
        <v>102654.78</v>
      </c>
      <c r="L64" s="11">
        <v>327081.52</v>
      </c>
      <c r="M64" s="11">
        <v>443478.81</v>
      </c>
      <c r="N64" s="11">
        <v>265817.40000000002</v>
      </c>
    </row>
    <row r="65" spans="1:14">
      <c r="A65" s="2">
        <f t="shared" si="0"/>
        <v>43159</v>
      </c>
      <c r="B65" s="11">
        <v>178270.76</v>
      </c>
      <c r="C65" s="11">
        <v>24902.6</v>
      </c>
      <c r="D65" s="11">
        <v>270.55</v>
      </c>
      <c r="E65" s="11">
        <v>170548.37</v>
      </c>
      <c r="F65" s="11">
        <v>2320103.21</v>
      </c>
      <c r="G65" s="11">
        <v>1649235.7</v>
      </c>
      <c r="H65" s="11">
        <v>647129.36</v>
      </c>
      <c r="I65" s="11">
        <v>54689.39</v>
      </c>
      <c r="J65" s="11">
        <v>85984.24</v>
      </c>
      <c r="K65" s="11">
        <v>103649.44</v>
      </c>
      <c r="L65" s="11">
        <v>328570.23999999999</v>
      </c>
      <c r="M65" s="11">
        <v>440773.36</v>
      </c>
      <c r="N65" s="11">
        <v>271722.06</v>
      </c>
    </row>
    <row r="66" spans="1:14">
      <c r="A66" s="2">
        <f t="shared" si="0"/>
        <v>43128</v>
      </c>
      <c r="B66" s="11">
        <v>177327</v>
      </c>
      <c r="C66" s="11">
        <v>24928.66</v>
      </c>
      <c r="D66" s="11">
        <v>326.17</v>
      </c>
      <c r="E66" s="11">
        <v>169200.02</v>
      </c>
      <c r="F66" s="11">
        <v>2344152.08</v>
      </c>
      <c r="G66" s="11">
        <v>1656172.6</v>
      </c>
      <c r="H66" s="11">
        <v>649298.30000000005</v>
      </c>
      <c r="I66" s="11">
        <v>69849.37</v>
      </c>
      <c r="J66" s="11">
        <v>83501.16</v>
      </c>
      <c r="K66" s="11">
        <v>99567.25</v>
      </c>
      <c r="L66" s="11">
        <v>331406.76</v>
      </c>
      <c r="M66" s="11">
        <v>444192.99</v>
      </c>
      <c r="N66" s="11">
        <v>281385.88</v>
      </c>
    </row>
    <row r="67" spans="1:14">
      <c r="A67" s="2">
        <f t="shared" si="0"/>
        <v>43097</v>
      </c>
      <c r="B67" s="11">
        <v>175649.38</v>
      </c>
      <c r="C67" s="11">
        <v>20123.55</v>
      </c>
      <c r="D67" s="11">
        <v>382.59</v>
      </c>
      <c r="E67" s="11">
        <v>168714.87</v>
      </c>
      <c r="F67" s="11">
        <v>2344077.2999999998</v>
      </c>
      <c r="G67" s="11">
        <v>1670694.1</v>
      </c>
      <c r="H67" s="11">
        <v>643694.12</v>
      </c>
      <c r="I67" s="11">
        <v>59352.76</v>
      </c>
      <c r="J67" s="11">
        <v>85002.21</v>
      </c>
      <c r="K67" s="11">
        <v>105605.06</v>
      </c>
      <c r="L67" s="11">
        <v>341842.89</v>
      </c>
      <c r="M67" s="11">
        <v>437734.84</v>
      </c>
      <c r="N67" s="11">
        <v>264227.24</v>
      </c>
    </row>
    <row r="68" spans="1:14">
      <c r="A68" s="2">
        <f t="shared" si="0"/>
        <v>43067</v>
      </c>
      <c r="B68" s="11">
        <v>177909.84</v>
      </c>
      <c r="C68" s="11">
        <v>19102.13</v>
      </c>
      <c r="D68" s="11">
        <v>251.83</v>
      </c>
      <c r="E68" s="11">
        <v>174692.07</v>
      </c>
      <c r="F68" s="11">
        <v>2328346.85</v>
      </c>
      <c r="G68" s="11">
        <v>1646575.9</v>
      </c>
      <c r="H68" s="11">
        <v>655910.81000000006</v>
      </c>
      <c r="I68" s="11">
        <v>55415.77</v>
      </c>
      <c r="J68" s="11">
        <v>89272.01</v>
      </c>
      <c r="K68" s="11">
        <v>108213.62</v>
      </c>
      <c r="L68" s="11">
        <v>496728.88</v>
      </c>
      <c r="M68" s="11">
        <v>440383.14</v>
      </c>
      <c r="N68" s="11">
        <v>322751.48</v>
      </c>
    </row>
    <row r="69" spans="1:14">
      <c r="A69" s="2">
        <f t="shared" si="0"/>
        <v>43036</v>
      </c>
      <c r="B69" s="11">
        <v>178136.27</v>
      </c>
      <c r="C69" s="11">
        <v>19059</v>
      </c>
      <c r="D69" s="11">
        <v>304.55</v>
      </c>
      <c r="E69" s="11">
        <v>174373.81</v>
      </c>
      <c r="F69" s="11">
        <v>2334008.56</v>
      </c>
      <c r="G69" s="11">
        <v>1635767</v>
      </c>
      <c r="H69" s="11">
        <v>652504.88</v>
      </c>
      <c r="I69" s="11">
        <v>75374.7</v>
      </c>
      <c r="J69" s="11">
        <v>89964.6</v>
      </c>
      <c r="K69" s="11">
        <v>110610.52</v>
      </c>
      <c r="L69" s="11">
        <v>501703.7</v>
      </c>
      <c r="M69" s="11">
        <v>438744.33</v>
      </c>
      <c r="N69" s="11">
        <v>294276.45</v>
      </c>
    </row>
    <row r="70" spans="1:14">
      <c r="A70" s="2">
        <f t="shared" ref="A70:A133" si="1">EDATE(A69,-1)</f>
        <v>43006</v>
      </c>
      <c r="B70" s="11">
        <v>172724.6</v>
      </c>
      <c r="C70" s="11">
        <v>18589.240000000002</v>
      </c>
      <c r="D70" s="11">
        <v>366.95</v>
      </c>
      <c r="E70" s="11">
        <v>169524.63</v>
      </c>
      <c r="F70" s="11">
        <v>2319932.81</v>
      </c>
      <c r="G70" s="11">
        <v>1629011.7</v>
      </c>
      <c r="H70" s="11">
        <v>644407.69999999995</v>
      </c>
      <c r="I70" s="11">
        <v>76255.55</v>
      </c>
      <c r="J70" s="11">
        <v>88408.35</v>
      </c>
      <c r="K70" s="11">
        <v>108808.58</v>
      </c>
      <c r="L70" s="11">
        <v>512533.94</v>
      </c>
      <c r="M70" s="11">
        <v>438828.12</v>
      </c>
      <c r="N70" s="11">
        <v>278108.59000000003</v>
      </c>
    </row>
    <row r="71" spans="1:14">
      <c r="A71" s="2">
        <f t="shared" si="1"/>
        <v>42975</v>
      </c>
      <c r="B71" s="11">
        <v>172110.45</v>
      </c>
      <c r="C71" s="11">
        <v>17848.78</v>
      </c>
      <c r="D71" s="11">
        <v>243.94</v>
      </c>
      <c r="E71" s="11">
        <v>170448.45</v>
      </c>
      <c r="F71" s="11">
        <v>2303343.5699999998</v>
      </c>
      <c r="G71" s="11">
        <v>1598720.8</v>
      </c>
      <c r="H71" s="11">
        <v>656503.63</v>
      </c>
      <c r="I71" s="11">
        <v>77765.87</v>
      </c>
      <c r="J71" s="11">
        <v>90126.96</v>
      </c>
      <c r="K71" s="11">
        <v>109852.53</v>
      </c>
      <c r="L71" s="11">
        <v>522150.36</v>
      </c>
      <c r="M71" s="11">
        <v>438137.49</v>
      </c>
      <c r="N71" s="11">
        <v>294587.84000000003</v>
      </c>
    </row>
    <row r="72" spans="1:14">
      <c r="A72" s="2">
        <f t="shared" si="1"/>
        <v>42944</v>
      </c>
      <c r="B72" s="11">
        <v>170537.81</v>
      </c>
      <c r="C72" s="11">
        <v>18029.099999999999</v>
      </c>
      <c r="D72" s="11">
        <v>290.82</v>
      </c>
      <c r="E72" s="11">
        <v>168495.83</v>
      </c>
      <c r="F72" s="11">
        <v>2301916.46</v>
      </c>
      <c r="G72" s="11">
        <v>1595711.7</v>
      </c>
      <c r="H72" s="11">
        <v>656942.6</v>
      </c>
      <c r="I72" s="11">
        <v>78049.19</v>
      </c>
      <c r="J72" s="11">
        <v>92603.89</v>
      </c>
      <c r="K72" s="11">
        <v>111052.67</v>
      </c>
      <c r="L72" s="11">
        <v>529287.18999999994</v>
      </c>
      <c r="M72" s="11">
        <v>428617.71</v>
      </c>
      <c r="N72" s="11">
        <v>314677.39</v>
      </c>
    </row>
    <row r="73" spans="1:14">
      <c r="A73" s="2">
        <f t="shared" si="1"/>
        <v>42914</v>
      </c>
      <c r="B73" s="11">
        <v>167292.1</v>
      </c>
      <c r="C73" s="11">
        <v>17785.36</v>
      </c>
      <c r="D73" s="11">
        <v>360.13</v>
      </c>
      <c r="E73" s="11">
        <v>164534.67000000001</v>
      </c>
      <c r="F73" s="11">
        <v>2306125.41</v>
      </c>
      <c r="G73" s="11">
        <v>1604593.8</v>
      </c>
      <c r="H73" s="11">
        <v>653813.01</v>
      </c>
      <c r="I73" s="11">
        <v>76381.850000000006</v>
      </c>
      <c r="J73" s="11">
        <v>92444.39</v>
      </c>
      <c r="K73" s="11">
        <v>114067.54</v>
      </c>
      <c r="L73" s="11">
        <v>526267.43000000005</v>
      </c>
      <c r="M73" s="11">
        <v>442153.13</v>
      </c>
      <c r="N73" s="11">
        <v>308653.46999999997</v>
      </c>
    </row>
    <row r="74" spans="1:14">
      <c r="A74" s="2">
        <f t="shared" si="1"/>
        <v>42883</v>
      </c>
      <c r="B74" s="11">
        <v>167654.04</v>
      </c>
      <c r="C74" s="11">
        <v>17990.86</v>
      </c>
      <c r="D74" s="11">
        <v>144.03</v>
      </c>
      <c r="E74" s="11">
        <v>166105.87</v>
      </c>
      <c r="F74" s="11">
        <v>2308756.48</v>
      </c>
      <c r="G74" s="11">
        <v>1618675.3</v>
      </c>
      <c r="H74" s="11">
        <v>646517.01</v>
      </c>
      <c r="I74" s="11">
        <v>70882.039999999994</v>
      </c>
      <c r="J74" s="11">
        <v>93660.54</v>
      </c>
      <c r="K74" s="11">
        <v>113895.28</v>
      </c>
      <c r="L74" s="11">
        <v>529371.67000000004</v>
      </c>
      <c r="M74" s="11">
        <v>450644.9</v>
      </c>
      <c r="N74" s="11">
        <v>303337.63</v>
      </c>
    </row>
    <row r="75" spans="1:14">
      <c r="A75" s="2">
        <f t="shared" si="1"/>
        <v>42853</v>
      </c>
      <c r="B75" s="11">
        <v>167280.85</v>
      </c>
      <c r="C75" s="11">
        <v>15291.73</v>
      </c>
      <c r="D75" s="11">
        <v>261.83</v>
      </c>
      <c r="E75" s="11">
        <v>168099.11</v>
      </c>
      <c r="F75" s="11">
        <v>2360576.9500000002</v>
      </c>
      <c r="G75" s="11">
        <v>1648080.3</v>
      </c>
      <c r="H75" s="11">
        <v>666023.71</v>
      </c>
      <c r="I75" s="11">
        <v>74501.990000000005</v>
      </c>
      <c r="J75" s="11">
        <v>91310.56</v>
      </c>
      <c r="K75" s="11">
        <v>114129.46</v>
      </c>
      <c r="L75" s="11">
        <v>533278.28</v>
      </c>
      <c r="M75" s="11">
        <v>444824.13</v>
      </c>
      <c r="N75" s="11">
        <v>292372.96999999997</v>
      </c>
    </row>
    <row r="76" spans="1:14">
      <c r="A76" s="2">
        <f t="shared" si="1"/>
        <v>42822</v>
      </c>
      <c r="B76" s="11">
        <v>170040.99</v>
      </c>
      <c r="C76" s="11">
        <v>16495.099999999999</v>
      </c>
      <c r="D76" s="11">
        <v>102.03</v>
      </c>
      <c r="E76" s="11">
        <v>168500.66</v>
      </c>
      <c r="F76" s="11">
        <v>2341289.09</v>
      </c>
      <c r="G76" s="11">
        <v>1632290.5</v>
      </c>
      <c r="H76" s="11">
        <v>663717.09</v>
      </c>
      <c r="I76" s="11">
        <v>73833.25</v>
      </c>
      <c r="J76" s="11">
        <v>90969.15</v>
      </c>
      <c r="K76" s="11">
        <v>116663.3</v>
      </c>
      <c r="L76" s="11">
        <v>541084.61</v>
      </c>
      <c r="M76" s="11">
        <v>448085.7</v>
      </c>
      <c r="N76" s="11">
        <v>303366.93</v>
      </c>
    </row>
    <row r="77" spans="1:14">
      <c r="A77" s="2">
        <f t="shared" si="1"/>
        <v>42794</v>
      </c>
      <c r="B77" s="11">
        <v>171002.29</v>
      </c>
      <c r="C77" s="11">
        <v>16405.88</v>
      </c>
      <c r="D77" s="11">
        <v>126.26</v>
      </c>
      <c r="E77" s="11">
        <v>169727.99</v>
      </c>
      <c r="F77" s="11">
        <v>2233992.62</v>
      </c>
      <c r="G77" s="11">
        <v>1611421.5</v>
      </c>
      <c r="H77" s="11">
        <v>577568.07999999996</v>
      </c>
      <c r="I77" s="11">
        <v>72703.5</v>
      </c>
      <c r="J77" s="11">
        <v>95336.72</v>
      </c>
      <c r="K77" s="11">
        <v>116854.7</v>
      </c>
      <c r="L77" s="11">
        <v>553425.37</v>
      </c>
      <c r="M77" s="11">
        <v>449684.84</v>
      </c>
      <c r="N77" s="11">
        <v>315667.57</v>
      </c>
    </row>
    <row r="78" spans="1:14">
      <c r="A78" s="2">
        <f t="shared" si="1"/>
        <v>42763</v>
      </c>
      <c r="B78" s="11">
        <v>165175.56</v>
      </c>
      <c r="C78" s="11">
        <v>16270.5</v>
      </c>
      <c r="D78" s="11">
        <v>144.41999999999999</v>
      </c>
      <c r="E78" s="11">
        <v>162850.26</v>
      </c>
      <c r="F78" s="11">
        <v>2253797.7000000002</v>
      </c>
      <c r="G78" s="11">
        <v>1609840.7</v>
      </c>
      <c r="H78" s="11">
        <v>600725.96</v>
      </c>
      <c r="I78" s="11">
        <v>71193.31</v>
      </c>
      <c r="J78" s="11">
        <v>93476.63</v>
      </c>
      <c r="K78" s="11">
        <v>115681.85</v>
      </c>
      <c r="L78" s="11">
        <v>554090.38</v>
      </c>
      <c r="M78" s="11">
        <v>437826.18</v>
      </c>
      <c r="N78" s="11">
        <v>311716.15000000002</v>
      </c>
    </row>
    <row r="79" spans="1:14">
      <c r="A79" s="2">
        <f t="shared" si="1"/>
        <v>42732</v>
      </c>
      <c r="B79" s="11">
        <v>168255.45</v>
      </c>
      <c r="C79" s="11">
        <v>22968.84</v>
      </c>
      <c r="D79" s="11">
        <v>232.55</v>
      </c>
      <c r="E79" s="11">
        <v>157846.88</v>
      </c>
      <c r="F79" s="11">
        <v>2278668.38</v>
      </c>
      <c r="G79" s="11">
        <v>1651233.5</v>
      </c>
      <c r="H79" s="11">
        <v>587753.97</v>
      </c>
      <c r="I79" s="11">
        <v>67917.48</v>
      </c>
      <c r="J79" s="11">
        <v>101301.34</v>
      </c>
      <c r="K79" s="11">
        <v>124633.74</v>
      </c>
      <c r="L79" s="11">
        <v>558045.03</v>
      </c>
      <c r="M79" s="11">
        <v>440816.4</v>
      </c>
      <c r="N79" s="11">
        <v>308199</v>
      </c>
    </row>
    <row r="80" spans="1:14">
      <c r="A80" s="2">
        <f t="shared" si="1"/>
        <v>42702</v>
      </c>
      <c r="B80" s="11">
        <v>172075.86</v>
      </c>
      <c r="C80" s="11">
        <v>21945.14</v>
      </c>
      <c r="D80" s="11">
        <v>116.06</v>
      </c>
      <c r="E80" s="11">
        <v>163040.46</v>
      </c>
      <c r="F80" s="11">
        <v>2221173.17</v>
      </c>
      <c r="G80" s="11">
        <v>1606587</v>
      </c>
      <c r="H80" s="11">
        <v>573611.91</v>
      </c>
      <c r="I80" s="11">
        <v>71624.649999999994</v>
      </c>
      <c r="J80" s="11">
        <v>97316.25</v>
      </c>
      <c r="K80" s="11">
        <v>120696.62</v>
      </c>
      <c r="L80" s="11">
        <v>564544.68000000005</v>
      </c>
      <c r="M80" s="11">
        <v>442866.76</v>
      </c>
      <c r="N80" s="11">
        <v>354211</v>
      </c>
    </row>
    <row r="81" spans="1:14">
      <c r="A81" s="2">
        <f t="shared" si="1"/>
        <v>42671</v>
      </c>
      <c r="B81" s="11">
        <v>176816.6</v>
      </c>
      <c r="C81" s="11">
        <v>23396.92</v>
      </c>
      <c r="D81" s="11">
        <v>172.62</v>
      </c>
      <c r="E81" s="11">
        <v>166260.87</v>
      </c>
      <c r="F81" s="11">
        <v>2229305.46</v>
      </c>
      <c r="G81" s="11">
        <v>1608993.9</v>
      </c>
      <c r="H81" s="11">
        <v>579436.12</v>
      </c>
      <c r="I81" s="11">
        <v>72939.429999999993</v>
      </c>
      <c r="J81" s="11">
        <v>95978.74</v>
      </c>
      <c r="K81" s="11">
        <v>120292.08</v>
      </c>
      <c r="L81" s="11">
        <v>567269.19999999995</v>
      </c>
      <c r="M81" s="11">
        <v>444068.15</v>
      </c>
      <c r="N81" s="11">
        <v>336710</v>
      </c>
    </row>
    <row r="82" spans="1:14">
      <c r="A82" s="2">
        <f t="shared" si="1"/>
        <v>42641</v>
      </c>
      <c r="B82" s="11">
        <v>169681.75</v>
      </c>
      <c r="C82" s="11">
        <v>23247.22</v>
      </c>
      <c r="D82" s="11">
        <v>239.83</v>
      </c>
      <c r="E82" s="11">
        <v>157375.87</v>
      </c>
      <c r="F82" s="11">
        <v>2232350.34</v>
      </c>
      <c r="G82" s="11">
        <v>1600396.6</v>
      </c>
      <c r="H82" s="11">
        <v>597042.56000000006</v>
      </c>
      <c r="I82" s="11">
        <v>69022.559999999998</v>
      </c>
      <c r="J82" s="11">
        <v>95223</v>
      </c>
      <c r="K82" s="11">
        <v>115482.06</v>
      </c>
      <c r="L82" s="11">
        <v>569615.85</v>
      </c>
      <c r="M82" s="11">
        <v>441495.48</v>
      </c>
      <c r="N82" s="11">
        <v>356114</v>
      </c>
    </row>
    <row r="83" spans="1:14">
      <c r="A83" s="2">
        <f t="shared" si="1"/>
        <v>42610</v>
      </c>
      <c r="B83" s="11">
        <v>177654.36</v>
      </c>
      <c r="C83" s="11">
        <v>22795.09</v>
      </c>
      <c r="D83" s="11">
        <v>166.66</v>
      </c>
      <c r="E83" s="11">
        <v>168476.56</v>
      </c>
      <c r="F83" s="11">
        <v>2224472.2599999998</v>
      </c>
      <c r="G83" s="11">
        <v>1597726.1</v>
      </c>
      <c r="H83" s="11">
        <v>573527.39</v>
      </c>
      <c r="I83" s="11">
        <v>83509.91</v>
      </c>
      <c r="J83" s="11">
        <v>95713</v>
      </c>
      <c r="K83" s="11">
        <v>114341.99</v>
      </c>
      <c r="L83" s="11">
        <v>574665.69999999995</v>
      </c>
      <c r="M83" s="11">
        <v>441923.52</v>
      </c>
      <c r="N83" s="11">
        <v>343895</v>
      </c>
    </row>
    <row r="84" spans="1:14">
      <c r="A84" s="2">
        <f t="shared" si="1"/>
        <v>42579</v>
      </c>
      <c r="B84" s="11">
        <v>183252.13</v>
      </c>
      <c r="C84" s="11">
        <v>25020.7</v>
      </c>
      <c r="D84" s="11">
        <v>212.69</v>
      </c>
      <c r="E84" s="11">
        <v>170901.66</v>
      </c>
      <c r="F84" s="11">
        <v>2234557.2400000002</v>
      </c>
      <c r="G84" s="11">
        <v>1604381.5</v>
      </c>
      <c r="H84" s="11">
        <v>577415.46</v>
      </c>
      <c r="I84" s="11">
        <v>83000.05</v>
      </c>
      <c r="J84" s="11">
        <v>94757</v>
      </c>
      <c r="K84" s="11">
        <v>114706.28</v>
      </c>
      <c r="L84" s="11">
        <v>580803.06000000006</v>
      </c>
      <c r="M84" s="11">
        <v>441461.74</v>
      </c>
      <c r="N84" s="11">
        <v>345481.5</v>
      </c>
    </row>
    <row r="85" spans="1:14">
      <c r="A85" s="2">
        <f t="shared" si="1"/>
        <v>42549</v>
      </c>
      <c r="B85" s="11">
        <v>183157.03</v>
      </c>
      <c r="C85" s="11">
        <v>25515.48</v>
      </c>
      <c r="D85" s="11">
        <v>279.31</v>
      </c>
      <c r="E85" s="11">
        <v>167545.64000000001</v>
      </c>
      <c r="F85" s="11">
        <v>2243617.66</v>
      </c>
      <c r="G85" s="11">
        <v>1604969</v>
      </c>
      <c r="H85" s="11">
        <v>579094.71</v>
      </c>
      <c r="I85" s="11">
        <v>90643.97</v>
      </c>
      <c r="J85" s="11">
        <v>103725</v>
      </c>
      <c r="K85" s="11">
        <v>126232.39</v>
      </c>
      <c r="L85" s="11">
        <v>582565.25</v>
      </c>
      <c r="M85" s="11">
        <v>440536.54</v>
      </c>
      <c r="N85" s="11">
        <v>361096</v>
      </c>
    </row>
    <row r="86" spans="1:14">
      <c r="A86" s="2">
        <f t="shared" si="1"/>
        <v>42518</v>
      </c>
      <c r="B86" s="11">
        <v>189417.42</v>
      </c>
      <c r="C86" s="11">
        <v>22819.05</v>
      </c>
      <c r="D86" s="11">
        <v>203.91</v>
      </c>
      <c r="E86" s="11">
        <v>179804.42</v>
      </c>
      <c r="F86" s="11">
        <v>2207614.4500000002</v>
      </c>
      <c r="G86" s="11">
        <v>1611435.2</v>
      </c>
      <c r="H86" s="11">
        <v>546742.87</v>
      </c>
      <c r="I86" s="11">
        <v>82078.429999999993</v>
      </c>
      <c r="J86" s="11">
        <v>103904</v>
      </c>
      <c r="K86" s="11">
        <v>125116.91</v>
      </c>
      <c r="L86" s="11">
        <v>573289.56000000006</v>
      </c>
      <c r="M86" s="11">
        <v>442000.8</v>
      </c>
      <c r="N86" s="11">
        <v>347833</v>
      </c>
    </row>
    <row r="87" spans="1:14">
      <c r="A87" s="2">
        <f t="shared" si="1"/>
        <v>42488</v>
      </c>
      <c r="B87" s="11">
        <v>187290.15</v>
      </c>
      <c r="C87" s="11">
        <v>21900.7</v>
      </c>
      <c r="D87" s="11">
        <v>220.9</v>
      </c>
      <c r="E87" s="11">
        <v>177082.28</v>
      </c>
      <c r="F87" s="11">
        <v>2239546.19</v>
      </c>
      <c r="G87" s="11">
        <v>1630101.1</v>
      </c>
      <c r="H87" s="11">
        <v>557641.89</v>
      </c>
      <c r="I87" s="11">
        <v>84980.42</v>
      </c>
      <c r="J87" s="11">
        <v>100652</v>
      </c>
      <c r="K87" s="11">
        <v>119974.86</v>
      </c>
      <c r="L87" s="11">
        <v>578865.80000000005</v>
      </c>
      <c r="M87" s="11">
        <v>438922.05</v>
      </c>
      <c r="N87" s="11">
        <v>329625</v>
      </c>
    </row>
    <row r="88" spans="1:14">
      <c r="A88" s="2">
        <f t="shared" si="1"/>
        <v>42457</v>
      </c>
      <c r="B88" s="11">
        <v>184804.47</v>
      </c>
      <c r="C88" s="11">
        <v>22224.25</v>
      </c>
      <c r="D88" s="11">
        <v>132.68</v>
      </c>
      <c r="E88" s="11">
        <v>172602.15</v>
      </c>
      <c r="F88" s="11">
        <v>2223523.36</v>
      </c>
      <c r="G88" s="11">
        <v>1609131.5</v>
      </c>
      <c r="H88" s="11">
        <v>558539.01</v>
      </c>
      <c r="I88" s="11">
        <v>88382.24</v>
      </c>
      <c r="J88" s="11">
        <v>103626</v>
      </c>
      <c r="K88" s="11">
        <v>125102.25</v>
      </c>
      <c r="L88" s="11">
        <v>585658.03</v>
      </c>
      <c r="M88" s="11">
        <v>443110.74</v>
      </c>
      <c r="N88" s="11">
        <v>348358</v>
      </c>
    </row>
    <row r="89" spans="1:14">
      <c r="A89" s="2">
        <f t="shared" si="1"/>
        <v>42428</v>
      </c>
      <c r="B89" s="11">
        <v>184713.44</v>
      </c>
      <c r="C89" s="11">
        <v>20949.169999999998</v>
      </c>
      <c r="D89" s="11">
        <v>133.29</v>
      </c>
      <c r="E89" s="11">
        <v>175505.12</v>
      </c>
      <c r="F89" s="11">
        <v>2216503.9300000002</v>
      </c>
      <c r="G89" s="11">
        <v>1597102.9</v>
      </c>
      <c r="H89" s="11">
        <v>570425.23</v>
      </c>
      <c r="I89" s="11">
        <v>84578.22</v>
      </c>
      <c r="J89" s="11">
        <v>103210</v>
      </c>
      <c r="K89" s="11">
        <v>125286.43</v>
      </c>
      <c r="L89" s="11">
        <v>595429.73</v>
      </c>
      <c r="M89" s="11">
        <v>447799.25</v>
      </c>
      <c r="N89" s="11">
        <v>360426</v>
      </c>
    </row>
    <row r="90" spans="1:14">
      <c r="A90" s="2">
        <f t="shared" si="1"/>
        <v>42397</v>
      </c>
      <c r="B90" s="11">
        <v>186924.87</v>
      </c>
      <c r="C90" s="11">
        <v>23009.31</v>
      </c>
      <c r="D90" s="11">
        <v>139.57</v>
      </c>
      <c r="E90" s="11">
        <v>174809.33</v>
      </c>
      <c r="F90" s="11">
        <v>2188941.6800000002</v>
      </c>
      <c r="G90" s="11">
        <v>1577594.6</v>
      </c>
      <c r="H90" s="11">
        <v>559759.30000000005</v>
      </c>
      <c r="I90" s="11">
        <v>84993.88</v>
      </c>
      <c r="J90" s="11">
        <v>107377</v>
      </c>
      <c r="K90" s="11">
        <v>128089.77</v>
      </c>
      <c r="L90" s="11">
        <v>604017.73</v>
      </c>
      <c r="M90" s="11">
        <v>451283.3</v>
      </c>
      <c r="N90" s="11">
        <v>334216</v>
      </c>
    </row>
    <row r="91" spans="1:14">
      <c r="A91" s="2">
        <f t="shared" si="1"/>
        <v>42366</v>
      </c>
      <c r="B91" s="11">
        <v>186506.12</v>
      </c>
      <c r="C91" s="11">
        <v>20945.310000000001</v>
      </c>
      <c r="D91" s="11">
        <v>153.5</v>
      </c>
      <c r="E91" s="11">
        <v>175418.06</v>
      </c>
      <c r="F91" s="11">
        <v>2168667.23</v>
      </c>
      <c r="G91" s="11">
        <v>1581934.4</v>
      </c>
      <c r="H91" s="11">
        <v>554873.31999999995</v>
      </c>
      <c r="I91" s="11">
        <v>62827.17</v>
      </c>
      <c r="J91" s="11">
        <v>105159</v>
      </c>
      <c r="K91" s="11">
        <v>126394.68</v>
      </c>
      <c r="L91" s="11">
        <v>621823.38</v>
      </c>
      <c r="M91" s="11">
        <v>448232.39</v>
      </c>
      <c r="N91" s="11">
        <v>320868</v>
      </c>
    </row>
    <row r="92" spans="1:14">
      <c r="A92" s="2">
        <f t="shared" si="1"/>
        <v>42336</v>
      </c>
      <c r="B92" s="11">
        <v>177916.36</v>
      </c>
      <c r="C92" s="11">
        <v>20251.62</v>
      </c>
      <c r="D92" s="11">
        <v>155.82</v>
      </c>
      <c r="E92" s="11">
        <v>169028.6</v>
      </c>
      <c r="F92" s="11">
        <v>2153085.6800000002</v>
      </c>
      <c r="G92" s="11">
        <v>1550933.1</v>
      </c>
      <c r="H92" s="11">
        <v>544217.4</v>
      </c>
      <c r="I92" s="11">
        <v>86734.75</v>
      </c>
      <c r="J92" s="11">
        <v>106911</v>
      </c>
      <c r="K92" s="11">
        <v>129535.44</v>
      </c>
      <c r="L92" s="11">
        <v>622949.51</v>
      </c>
      <c r="M92" s="11">
        <v>449757.51</v>
      </c>
      <c r="N92" s="11">
        <v>388939</v>
      </c>
    </row>
    <row r="93" spans="1:14">
      <c r="A93" s="2">
        <f t="shared" si="1"/>
        <v>42305</v>
      </c>
      <c r="B93" s="11">
        <v>183518.67</v>
      </c>
      <c r="C93" s="11">
        <v>21406.46</v>
      </c>
      <c r="D93" s="11">
        <v>166.43</v>
      </c>
      <c r="E93" s="11">
        <v>174656.04</v>
      </c>
      <c r="F93" s="11">
        <v>2175838.4500000002</v>
      </c>
      <c r="G93" s="11">
        <v>1560648.3</v>
      </c>
      <c r="H93" s="11">
        <v>552759.35</v>
      </c>
      <c r="I93" s="11">
        <v>91525.51</v>
      </c>
      <c r="J93" s="11">
        <v>107893</v>
      </c>
      <c r="K93" s="11">
        <v>130172.51</v>
      </c>
      <c r="L93" s="11">
        <v>620188.41</v>
      </c>
      <c r="M93" s="11">
        <v>447020.26</v>
      </c>
      <c r="N93" s="11">
        <v>336726</v>
      </c>
    </row>
    <row r="94" spans="1:14">
      <c r="A94" s="2">
        <f t="shared" si="1"/>
        <v>42275</v>
      </c>
      <c r="B94" s="11">
        <v>176553.37</v>
      </c>
      <c r="C94" s="11">
        <v>20545.490000000002</v>
      </c>
      <c r="D94" s="11">
        <v>241.35</v>
      </c>
      <c r="E94" s="11">
        <v>165706.34</v>
      </c>
      <c r="F94" s="11">
        <v>2173977.56</v>
      </c>
      <c r="G94" s="11">
        <v>1556101.5</v>
      </c>
      <c r="H94" s="11">
        <v>558136.94999999995</v>
      </c>
      <c r="I94" s="11">
        <v>89287.13</v>
      </c>
      <c r="J94" s="11">
        <v>101974</v>
      </c>
      <c r="K94" s="11">
        <v>123997.99</v>
      </c>
      <c r="L94" s="11">
        <v>630536.97</v>
      </c>
      <c r="M94" s="11">
        <v>446001.52</v>
      </c>
      <c r="N94" s="11">
        <v>348572</v>
      </c>
    </row>
    <row r="95" spans="1:14">
      <c r="A95" s="2">
        <f t="shared" si="1"/>
        <v>42244</v>
      </c>
      <c r="B95" s="11">
        <v>184923.01</v>
      </c>
      <c r="C95" s="11">
        <v>20864.95</v>
      </c>
      <c r="D95" s="11">
        <v>189.89</v>
      </c>
      <c r="E95" s="11">
        <v>174888.79</v>
      </c>
      <c r="F95" s="11">
        <v>2165629.9</v>
      </c>
      <c r="G95" s="11">
        <v>1556074</v>
      </c>
      <c r="H95" s="11">
        <v>547745.16</v>
      </c>
      <c r="I95" s="11">
        <v>91495.42</v>
      </c>
      <c r="J95" s="11">
        <v>111302</v>
      </c>
      <c r="K95" s="11">
        <v>131170.25</v>
      </c>
      <c r="L95" s="11">
        <v>638967.68000000005</v>
      </c>
      <c r="M95" s="11">
        <v>443074.69</v>
      </c>
      <c r="N95" s="11">
        <v>340559</v>
      </c>
    </row>
    <row r="96" spans="1:14">
      <c r="A96" s="2">
        <f t="shared" si="1"/>
        <v>42213</v>
      </c>
      <c r="B96" s="11">
        <v>177208.84</v>
      </c>
      <c r="C96" s="11">
        <v>21316.45</v>
      </c>
      <c r="D96" s="11">
        <v>204.68</v>
      </c>
      <c r="E96" s="11">
        <v>165829.75</v>
      </c>
      <c r="F96" s="11">
        <v>2158857.34</v>
      </c>
      <c r="G96" s="11">
        <v>1544901.4</v>
      </c>
      <c r="H96" s="11">
        <v>552639.06000000006</v>
      </c>
      <c r="I96" s="11">
        <v>91189.32</v>
      </c>
      <c r="J96" s="11">
        <v>119071</v>
      </c>
      <c r="K96" s="11">
        <v>141755.79</v>
      </c>
      <c r="L96" s="11">
        <v>646322.13</v>
      </c>
      <c r="M96" s="11">
        <v>443048.87</v>
      </c>
      <c r="N96" s="11">
        <v>359533</v>
      </c>
    </row>
    <row r="97" spans="1:14">
      <c r="A97" s="2">
        <f t="shared" si="1"/>
        <v>42183</v>
      </c>
      <c r="B97" s="11">
        <v>179979.01</v>
      </c>
      <c r="C97" s="11">
        <v>18897.189999999999</v>
      </c>
      <c r="D97" s="11">
        <v>203.72</v>
      </c>
      <c r="E97" s="11">
        <v>169648.53</v>
      </c>
      <c r="F97" s="11">
        <v>2176338.2599999998</v>
      </c>
      <c r="G97" s="11">
        <v>1559427.1</v>
      </c>
      <c r="H97" s="11">
        <v>555033.61</v>
      </c>
      <c r="I97" s="11">
        <v>90972.1</v>
      </c>
      <c r="J97" s="11">
        <v>112025</v>
      </c>
      <c r="K97" s="11">
        <v>132860.69</v>
      </c>
      <c r="L97" s="11">
        <v>656979.14</v>
      </c>
      <c r="M97" s="11">
        <v>441842.47</v>
      </c>
      <c r="N97" s="11">
        <v>351817</v>
      </c>
    </row>
    <row r="98" spans="1:14">
      <c r="A98" s="2">
        <f t="shared" si="1"/>
        <v>42152</v>
      </c>
      <c r="B98" s="11">
        <v>183287.69</v>
      </c>
      <c r="C98" s="11">
        <v>20245.509999999998</v>
      </c>
      <c r="D98" s="11">
        <v>273.32</v>
      </c>
      <c r="E98" s="11">
        <v>174143.57</v>
      </c>
      <c r="F98" s="11">
        <v>2172413.3199999998</v>
      </c>
      <c r="G98" s="11">
        <v>1564680.7</v>
      </c>
      <c r="H98" s="11">
        <v>542865.41</v>
      </c>
      <c r="I98" s="11">
        <v>90168.81</v>
      </c>
      <c r="J98" s="11">
        <v>119848</v>
      </c>
      <c r="K98" s="11">
        <v>141063.87</v>
      </c>
      <c r="L98" s="11">
        <v>668742.14</v>
      </c>
      <c r="M98" s="11">
        <v>426402.15</v>
      </c>
      <c r="N98" s="11">
        <v>387101</v>
      </c>
    </row>
    <row r="99" spans="1:14">
      <c r="A99" s="2">
        <f t="shared" si="1"/>
        <v>42122</v>
      </c>
      <c r="B99" s="11">
        <v>176536.77</v>
      </c>
      <c r="C99" s="11">
        <v>19957.400000000001</v>
      </c>
      <c r="D99" s="11">
        <v>329.9</v>
      </c>
      <c r="E99" s="11">
        <v>165585.03</v>
      </c>
      <c r="F99" s="11">
        <v>2159792.5299999998</v>
      </c>
      <c r="G99" s="11">
        <v>1545834.4</v>
      </c>
      <c r="H99" s="11">
        <v>552783.24</v>
      </c>
      <c r="I99" s="11">
        <v>86334.82</v>
      </c>
      <c r="J99" s="11">
        <v>122924</v>
      </c>
      <c r="K99" s="11">
        <v>144475.64000000001</v>
      </c>
      <c r="L99" s="11">
        <v>677489.44</v>
      </c>
      <c r="M99" s="11">
        <v>424250.57</v>
      </c>
      <c r="N99" s="11">
        <v>414610</v>
      </c>
    </row>
    <row r="100" spans="1:14">
      <c r="A100" s="2">
        <f t="shared" si="1"/>
        <v>42091</v>
      </c>
      <c r="B100" s="11">
        <v>177422.01</v>
      </c>
      <c r="C100" s="11">
        <v>19209.02</v>
      </c>
      <c r="D100" s="11">
        <v>95.35</v>
      </c>
      <c r="E100" s="11">
        <v>167198.42000000001</v>
      </c>
      <c r="F100" s="11">
        <v>2175396.7200000002</v>
      </c>
      <c r="G100" s="11">
        <v>1552029.3</v>
      </c>
      <c r="H100" s="11">
        <v>556787.79</v>
      </c>
      <c r="I100" s="11">
        <v>93209.13</v>
      </c>
      <c r="J100" s="11">
        <v>109805</v>
      </c>
      <c r="K100" s="11">
        <v>133082.76999999999</v>
      </c>
      <c r="L100" s="11">
        <v>687426.96</v>
      </c>
      <c r="M100" s="11">
        <v>438045.59</v>
      </c>
      <c r="N100" s="11">
        <v>427714</v>
      </c>
    </row>
    <row r="101" spans="1:14">
      <c r="A101" s="2">
        <f t="shared" si="1"/>
        <v>42063</v>
      </c>
      <c r="B101" s="11">
        <v>185037.43</v>
      </c>
      <c r="C101" s="11">
        <v>19805.39</v>
      </c>
      <c r="D101" s="11">
        <v>151</v>
      </c>
      <c r="E101" s="11">
        <v>172965.56</v>
      </c>
      <c r="F101" s="11">
        <v>2152334.79</v>
      </c>
      <c r="G101" s="11">
        <v>1556738.6</v>
      </c>
      <c r="H101" s="11">
        <v>533039.24</v>
      </c>
      <c r="I101" s="11">
        <v>87479.76</v>
      </c>
      <c r="J101" s="11">
        <v>114107</v>
      </c>
      <c r="K101" s="11">
        <v>136774.18</v>
      </c>
      <c r="L101" s="11">
        <v>698641.11</v>
      </c>
      <c r="M101" s="11">
        <v>438270.12</v>
      </c>
      <c r="N101" s="11">
        <v>404440</v>
      </c>
    </row>
    <row r="102" spans="1:14">
      <c r="A102" s="2">
        <f t="shared" si="1"/>
        <v>42032</v>
      </c>
      <c r="B102" s="11">
        <v>181538.72</v>
      </c>
      <c r="C102" s="11">
        <v>19341.86</v>
      </c>
      <c r="D102" s="11">
        <v>181.59</v>
      </c>
      <c r="E102" s="11">
        <v>170408.36</v>
      </c>
      <c r="F102" s="11">
        <v>2151179.89</v>
      </c>
      <c r="G102" s="11">
        <v>1536485.6</v>
      </c>
      <c r="H102" s="11">
        <v>559782.54</v>
      </c>
      <c r="I102" s="11">
        <v>81443.37</v>
      </c>
      <c r="J102" s="11">
        <v>108385</v>
      </c>
      <c r="K102" s="11">
        <v>130189.33</v>
      </c>
      <c r="L102" s="11">
        <v>718589.57</v>
      </c>
      <c r="M102" s="11">
        <v>436371.77</v>
      </c>
      <c r="N102" s="11">
        <v>415957</v>
      </c>
    </row>
    <row r="103" spans="1:14">
      <c r="A103" s="2">
        <f t="shared" si="1"/>
        <v>42001</v>
      </c>
      <c r="B103" s="11">
        <v>173013.54</v>
      </c>
      <c r="C103" s="11">
        <v>15503.92</v>
      </c>
      <c r="D103" s="11">
        <v>252.26</v>
      </c>
      <c r="E103" s="11">
        <v>163605.66</v>
      </c>
      <c r="F103" s="11">
        <v>2136720.77</v>
      </c>
      <c r="G103" s="11">
        <v>1510995</v>
      </c>
      <c r="H103" s="11">
        <v>579319.28</v>
      </c>
      <c r="I103" s="11">
        <v>69636.41</v>
      </c>
      <c r="J103" s="11">
        <v>108598</v>
      </c>
      <c r="K103" s="11">
        <v>128341.18</v>
      </c>
      <c r="L103" s="11">
        <v>727136.55</v>
      </c>
      <c r="M103" s="11">
        <v>424235.15</v>
      </c>
      <c r="N103" s="11">
        <v>395323.94</v>
      </c>
    </row>
    <row r="104" spans="1:14">
      <c r="A104" s="2">
        <f t="shared" si="1"/>
        <v>41971</v>
      </c>
      <c r="B104" s="11">
        <v>171616.8</v>
      </c>
      <c r="C104" s="11">
        <v>15588.32</v>
      </c>
      <c r="D104" s="11">
        <v>440.53</v>
      </c>
      <c r="E104" s="11">
        <v>161906.98000000001</v>
      </c>
      <c r="F104" s="11">
        <v>2132743.71</v>
      </c>
      <c r="G104" s="11">
        <v>1515633.6</v>
      </c>
      <c r="H104" s="11">
        <v>563861.63</v>
      </c>
      <c r="I104" s="11">
        <v>78142.850000000006</v>
      </c>
      <c r="J104" s="11">
        <v>113297</v>
      </c>
      <c r="K104" s="11">
        <v>131393.94</v>
      </c>
      <c r="L104" s="11">
        <v>734064.04</v>
      </c>
      <c r="M104" s="11">
        <v>418102.47</v>
      </c>
      <c r="N104" s="11">
        <v>396786.36</v>
      </c>
    </row>
    <row r="105" spans="1:14">
      <c r="A105" s="2">
        <f t="shared" si="1"/>
        <v>41940</v>
      </c>
      <c r="B105" s="11">
        <v>174749.96</v>
      </c>
      <c r="C105" s="11">
        <v>15066.28</v>
      </c>
      <c r="D105" s="11">
        <v>387.67</v>
      </c>
      <c r="E105" s="11">
        <v>166079.51999999999</v>
      </c>
      <c r="F105" s="11">
        <v>2104132.46</v>
      </c>
      <c r="G105" s="11">
        <v>1495021.6</v>
      </c>
      <c r="H105" s="11">
        <v>556149.56999999995</v>
      </c>
      <c r="I105" s="11">
        <v>76505.64</v>
      </c>
      <c r="J105" s="11">
        <v>110900</v>
      </c>
      <c r="K105" s="11">
        <v>129735.13</v>
      </c>
      <c r="L105" s="11">
        <v>738614.67</v>
      </c>
      <c r="M105" s="11">
        <v>419492.1</v>
      </c>
      <c r="N105" s="11">
        <v>388087.99</v>
      </c>
    </row>
    <row r="106" spans="1:14">
      <c r="A106" s="2">
        <f t="shared" si="1"/>
        <v>41910</v>
      </c>
      <c r="B106" s="11">
        <v>168164.6</v>
      </c>
      <c r="C106" s="11">
        <v>15961.74</v>
      </c>
      <c r="D106" s="11">
        <v>589.35</v>
      </c>
      <c r="E106" s="11">
        <v>158317.6</v>
      </c>
      <c r="F106" s="11">
        <v>2096992.23</v>
      </c>
      <c r="G106" s="11">
        <v>1484275.9</v>
      </c>
      <c r="H106" s="11">
        <v>563229.69999999995</v>
      </c>
      <c r="I106" s="11">
        <v>74481.22</v>
      </c>
      <c r="J106" s="11">
        <v>113737</v>
      </c>
      <c r="K106" s="11">
        <v>133346.19</v>
      </c>
      <c r="L106" s="11">
        <v>765817.05</v>
      </c>
      <c r="M106" s="11">
        <v>419845.83</v>
      </c>
      <c r="N106" s="11">
        <v>392689.54</v>
      </c>
    </row>
    <row r="107" spans="1:14">
      <c r="A107" s="2">
        <f t="shared" si="1"/>
        <v>41879</v>
      </c>
      <c r="B107" s="11">
        <v>169497.42</v>
      </c>
      <c r="C107" s="11">
        <v>15294.39</v>
      </c>
      <c r="D107" s="11">
        <v>367.43</v>
      </c>
      <c r="E107" s="11">
        <v>159716.29999999999</v>
      </c>
      <c r="F107" s="11">
        <v>2097610.2200000002</v>
      </c>
      <c r="G107" s="11">
        <v>1497451.4</v>
      </c>
      <c r="H107" s="11">
        <v>550050.09</v>
      </c>
      <c r="I107" s="11">
        <v>74617.05</v>
      </c>
      <c r="J107" s="11">
        <v>109824</v>
      </c>
      <c r="K107" s="11">
        <v>129193.8</v>
      </c>
      <c r="L107" s="11">
        <v>772270</v>
      </c>
      <c r="M107" s="11">
        <v>416013.38</v>
      </c>
      <c r="N107" s="11">
        <v>377399.97</v>
      </c>
    </row>
    <row r="108" spans="1:14">
      <c r="A108" s="2">
        <f t="shared" si="1"/>
        <v>41848</v>
      </c>
      <c r="B108" s="11">
        <v>176797.16</v>
      </c>
      <c r="C108" s="11">
        <v>15286.57</v>
      </c>
      <c r="D108" s="11">
        <v>385.78</v>
      </c>
      <c r="E108" s="11">
        <v>167410.25</v>
      </c>
      <c r="F108" s="11">
        <v>2085281.69</v>
      </c>
      <c r="G108" s="11">
        <v>1482129.6</v>
      </c>
      <c r="H108" s="11">
        <v>553188.91</v>
      </c>
      <c r="I108" s="11">
        <v>74461.83</v>
      </c>
      <c r="J108" s="11">
        <v>111133</v>
      </c>
      <c r="K108" s="11">
        <v>130429.29</v>
      </c>
      <c r="L108" s="11">
        <v>783566.23</v>
      </c>
      <c r="M108" s="11">
        <v>414959.55</v>
      </c>
      <c r="N108" s="11">
        <v>378077.04</v>
      </c>
    </row>
    <row r="109" spans="1:14">
      <c r="A109" s="2">
        <f t="shared" si="1"/>
        <v>41818</v>
      </c>
      <c r="B109" s="11">
        <v>182339.65</v>
      </c>
      <c r="C109" s="11">
        <v>16601.23</v>
      </c>
      <c r="D109" s="11">
        <v>461.42</v>
      </c>
      <c r="E109" s="11">
        <v>171287.39</v>
      </c>
      <c r="F109" s="11">
        <v>2087310.8</v>
      </c>
      <c r="G109" s="11">
        <v>1477774.9</v>
      </c>
      <c r="H109" s="11">
        <v>564344.68999999994</v>
      </c>
      <c r="I109" s="11">
        <v>68786.78</v>
      </c>
      <c r="J109" s="11">
        <v>108923</v>
      </c>
      <c r="K109" s="11">
        <v>127711.66</v>
      </c>
      <c r="L109" s="11">
        <v>802135.14</v>
      </c>
      <c r="M109" s="11">
        <v>411000.46</v>
      </c>
      <c r="N109" s="11">
        <v>380826.32</v>
      </c>
    </row>
    <row r="110" spans="1:14">
      <c r="A110" s="2">
        <f t="shared" si="1"/>
        <v>41787</v>
      </c>
      <c r="B110" s="11">
        <v>177443.04</v>
      </c>
      <c r="C110" s="11">
        <v>17906.78</v>
      </c>
      <c r="D110" s="11">
        <v>260.83999999999997</v>
      </c>
      <c r="E110" s="11">
        <v>165545.34</v>
      </c>
      <c r="F110" s="11">
        <v>2081311.88</v>
      </c>
      <c r="G110" s="11">
        <v>1465889.8</v>
      </c>
      <c r="H110" s="11">
        <v>594838.81000000006</v>
      </c>
      <c r="I110" s="11">
        <v>43600.02</v>
      </c>
      <c r="J110" s="11">
        <v>107098</v>
      </c>
      <c r="K110" s="11">
        <v>125362.84</v>
      </c>
      <c r="L110" s="11">
        <v>813616.35</v>
      </c>
      <c r="M110" s="11">
        <v>404628.63</v>
      </c>
      <c r="N110" s="11">
        <v>363848.7</v>
      </c>
    </row>
    <row r="111" spans="1:14">
      <c r="A111" s="2">
        <f t="shared" si="1"/>
        <v>41757</v>
      </c>
      <c r="B111" s="11">
        <v>172723.58</v>
      </c>
      <c r="C111" s="11">
        <v>16525.13</v>
      </c>
      <c r="D111" s="11">
        <v>378.02</v>
      </c>
      <c r="E111" s="11">
        <v>162171.91</v>
      </c>
      <c r="F111" s="11">
        <v>2085246.16</v>
      </c>
      <c r="G111" s="11">
        <v>1471174</v>
      </c>
      <c r="H111" s="11">
        <v>593574.69999999995</v>
      </c>
      <c r="I111" s="11">
        <v>42910.01</v>
      </c>
      <c r="J111" s="11">
        <v>108438</v>
      </c>
      <c r="K111" s="11">
        <v>125055.36</v>
      </c>
      <c r="L111" s="11">
        <v>825388.35</v>
      </c>
      <c r="M111" s="11">
        <v>423070.64</v>
      </c>
      <c r="N111" s="11">
        <v>367562.45</v>
      </c>
    </row>
    <row r="112" spans="1:14">
      <c r="A112" s="2">
        <f t="shared" si="1"/>
        <v>41726</v>
      </c>
      <c r="B112" s="11">
        <v>173170.18</v>
      </c>
      <c r="C112" s="11">
        <v>17675.419999999998</v>
      </c>
      <c r="D112" s="11">
        <v>262.02999999999997</v>
      </c>
      <c r="E112" s="11">
        <v>162068.22</v>
      </c>
      <c r="F112" s="11">
        <v>2108667.04</v>
      </c>
      <c r="G112" s="11">
        <v>1482526.9</v>
      </c>
      <c r="H112" s="11">
        <v>605766.16</v>
      </c>
      <c r="I112" s="11">
        <v>43443.81</v>
      </c>
      <c r="J112" s="11">
        <v>110938</v>
      </c>
      <c r="K112" s="11">
        <v>127774.29</v>
      </c>
      <c r="L112" s="11">
        <v>830006.13</v>
      </c>
      <c r="M112" s="11">
        <v>420996.57</v>
      </c>
      <c r="N112" s="11">
        <v>364994.47</v>
      </c>
    </row>
    <row r="113" spans="1:14">
      <c r="A113" s="2">
        <f t="shared" si="1"/>
        <v>41698</v>
      </c>
      <c r="B113" s="11">
        <v>171071.61</v>
      </c>
      <c r="C113" s="11">
        <v>16403.560000000001</v>
      </c>
      <c r="D113" s="11">
        <v>320.52999999999997</v>
      </c>
      <c r="E113" s="11">
        <v>161242.31</v>
      </c>
      <c r="F113" s="11">
        <v>2091500.04</v>
      </c>
      <c r="G113" s="11">
        <v>1469891.2</v>
      </c>
      <c r="H113" s="11">
        <v>601505.23</v>
      </c>
      <c r="I113" s="11">
        <v>42150.42</v>
      </c>
      <c r="J113" s="11">
        <v>109318</v>
      </c>
      <c r="K113" s="11">
        <v>125782.02</v>
      </c>
      <c r="L113" s="11">
        <v>861623.1</v>
      </c>
      <c r="M113" s="11">
        <v>405353.65</v>
      </c>
      <c r="N113" s="11">
        <v>369925.59</v>
      </c>
    </row>
    <row r="114" spans="1:14">
      <c r="A114" s="2">
        <f t="shared" si="1"/>
        <v>41667</v>
      </c>
      <c r="B114" s="11">
        <v>184497.25</v>
      </c>
      <c r="C114" s="11">
        <v>26501.45</v>
      </c>
      <c r="D114" s="11">
        <v>369.29</v>
      </c>
      <c r="E114" s="11">
        <v>165083.24</v>
      </c>
      <c r="F114" s="11">
        <v>2075458.77</v>
      </c>
      <c r="G114" s="11">
        <v>1457740.1</v>
      </c>
      <c r="H114" s="11">
        <v>596560.32999999996</v>
      </c>
      <c r="I114" s="11">
        <v>43571.15</v>
      </c>
      <c r="J114" s="11">
        <v>111957</v>
      </c>
      <c r="K114" s="11">
        <v>129603.21</v>
      </c>
      <c r="L114" s="11">
        <v>871451.36</v>
      </c>
      <c r="M114" s="11">
        <v>399693.61</v>
      </c>
      <c r="N114" s="11">
        <v>373934.08000000002</v>
      </c>
    </row>
    <row r="115" spans="1:14">
      <c r="A115" s="2">
        <f t="shared" si="1"/>
        <v>41636</v>
      </c>
      <c r="B115" s="11">
        <v>190982.06</v>
      </c>
      <c r="C115" s="11">
        <v>26516.23</v>
      </c>
      <c r="D115" s="11">
        <v>412.61</v>
      </c>
      <c r="E115" s="11">
        <v>170079.51</v>
      </c>
      <c r="F115" s="11">
        <v>2082486.58</v>
      </c>
      <c r="G115" s="11">
        <v>1479867.4</v>
      </c>
      <c r="H115" s="11">
        <v>583189.27</v>
      </c>
      <c r="I115" s="11">
        <v>41282.85</v>
      </c>
      <c r="J115" s="11">
        <v>104374</v>
      </c>
      <c r="K115" s="11">
        <v>122820.46</v>
      </c>
      <c r="L115" s="11">
        <v>878351.73</v>
      </c>
      <c r="M115" s="11">
        <v>390651.54</v>
      </c>
      <c r="N115" s="11">
        <v>345135.08</v>
      </c>
    </row>
    <row r="116" spans="1:14">
      <c r="A116" s="2">
        <f t="shared" si="1"/>
        <v>41606</v>
      </c>
      <c r="B116" s="11">
        <v>196722.89</v>
      </c>
      <c r="C116" s="11">
        <v>27045.72</v>
      </c>
      <c r="D116" s="11">
        <v>630.34</v>
      </c>
      <c r="E116" s="11">
        <v>176318.63</v>
      </c>
      <c r="F116" s="11">
        <v>2106620.81</v>
      </c>
      <c r="G116" s="11">
        <v>1496473</v>
      </c>
      <c r="H116" s="11">
        <v>588006.09</v>
      </c>
      <c r="I116" s="11">
        <v>43621.21</v>
      </c>
      <c r="J116" s="11">
        <v>109128</v>
      </c>
      <c r="K116" s="11">
        <v>130155</v>
      </c>
      <c r="L116" s="11">
        <v>886884.06</v>
      </c>
      <c r="M116" s="11">
        <v>387528.22</v>
      </c>
      <c r="N116" s="11">
        <v>361702.83</v>
      </c>
    </row>
    <row r="117" spans="1:14">
      <c r="A117" s="2">
        <f t="shared" si="1"/>
        <v>41575</v>
      </c>
      <c r="B117" s="11">
        <v>195548.1</v>
      </c>
      <c r="C117" s="11">
        <v>24678.71</v>
      </c>
      <c r="D117" s="11">
        <v>359.36</v>
      </c>
      <c r="E117" s="11">
        <v>177427.7</v>
      </c>
      <c r="F117" s="11">
        <v>2093913.25</v>
      </c>
      <c r="G117" s="11">
        <v>1488747.5</v>
      </c>
      <c r="H117" s="11">
        <v>590477.93000000005</v>
      </c>
      <c r="I117" s="11">
        <v>36005.68</v>
      </c>
      <c r="J117" s="11">
        <v>118614</v>
      </c>
      <c r="K117" s="11">
        <v>140829.70000000001</v>
      </c>
      <c r="L117" s="11">
        <v>893560.07</v>
      </c>
      <c r="M117" s="11">
        <v>386560.26</v>
      </c>
      <c r="N117" s="11">
        <v>376348.56</v>
      </c>
    </row>
    <row r="118" spans="1:14">
      <c r="A118" s="2">
        <f t="shared" si="1"/>
        <v>41545</v>
      </c>
      <c r="B118" s="11">
        <v>192624.12</v>
      </c>
      <c r="C118" s="11">
        <v>23834.43</v>
      </c>
      <c r="D118" s="11">
        <v>427.56</v>
      </c>
      <c r="E118" s="11">
        <v>175238.44</v>
      </c>
      <c r="F118" s="11">
        <v>2105413.9300000002</v>
      </c>
      <c r="G118" s="11">
        <v>1489643.5</v>
      </c>
      <c r="H118" s="11">
        <v>592633.4</v>
      </c>
      <c r="I118" s="11">
        <v>44547.29</v>
      </c>
      <c r="J118" s="11">
        <v>120734</v>
      </c>
      <c r="K118" s="11">
        <v>141899.85999999999</v>
      </c>
      <c r="L118" s="11">
        <v>892078.06</v>
      </c>
      <c r="M118" s="11">
        <v>386084.33</v>
      </c>
      <c r="N118" s="11">
        <v>370122.14</v>
      </c>
    </row>
    <row r="119" spans="1:14">
      <c r="A119" s="2">
        <f t="shared" si="1"/>
        <v>41514</v>
      </c>
      <c r="B119" s="11">
        <v>195025.02</v>
      </c>
      <c r="C119" s="11">
        <v>23313.06</v>
      </c>
      <c r="D119" s="11">
        <v>414.01</v>
      </c>
      <c r="E119" s="11">
        <v>178983.36</v>
      </c>
      <c r="F119" s="11">
        <v>2111587.86</v>
      </c>
      <c r="G119" s="11">
        <v>1496860.7</v>
      </c>
      <c r="H119" s="11">
        <v>589691.16</v>
      </c>
      <c r="I119" s="11">
        <v>46466.47</v>
      </c>
      <c r="J119" s="11">
        <v>118953</v>
      </c>
      <c r="K119" s="11">
        <v>139088.64000000001</v>
      </c>
      <c r="L119" s="11">
        <v>899813.68</v>
      </c>
      <c r="M119" s="11">
        <v>383615.45</v>
      </c>
      <c r="N119" s="11">
        <v>348252.66</v>
      </c>
    </row>
    <row r="120" spans="1:14">
      <c r="A120" s="2">
        <f t="shared" si="1"/>
        <v>41483</v>
      </c>
      <c r="B120" s="11">
        <v>195143.06</v>
      </c>
      <c r="C120" s="11">
        <v>24854.15</v>
      </c>
      <c r="D120" s="11">
        <v>323.25</v>
      </c>
      <c r="E120" s="11">
        <v>177265.34</v>
      </c>
      <c r="F120" s="11">
        <v>2094837.43</v>
      </c>
      <c r="G120" s="11">
        <v>1478842.5</v>
      </c>
      <c r="H120" s="11">
        <v>594869.68999999994</v>
      </c>
      <c r="I120" s="11">
        <v>41810.9</v>
      </c>
      <c r="J120" s="11">
        <v>125880</v>
      </c>
      <c r="K120" s="11">
        <v>146701.42000000001</v>
      </c>
      <c r="L120" s="11">
        <v>905003.65</v>
      </c>
      <c r="M120" s="11">
        <v>382690.55</v>
      </c>
      <c r="N120" s="11">
        <v>377907.35</v>
      </c>
    </row>
    <row r="121" spans="1:14">
      <c r="A121" s="2">
        <f t="shared" si="1"/>
        <v>41453</v>
      </c>
      <c r="B121" s="11">
        <v>195068.2</v>
      </c>
      <c r="C121" s="11">
        <v>24723.49</v>
      </c>
      <c r="D121" s="11">
        <v>264.47000000000003</v>
      </c>
      <c r="E121" s="11">
        <v>176967.97</v>
      </c>
      <c r="F121" s="11">
        <v>2131020.91</v>
      </c>
      <c r="G121" s="11">
        <v>1496272.3</v>
      </c>
      <c r="H121" s="11">
        <v>606479.19999999995</v>
      </c>
      <c r="I121" s="11">
        <v>49457.38</v>
      </c>
      <c r="J121" s="11">
        <v>126677</v>
      </c>
      <c r="K121" s="11">
        <v>147283.07</v>
      </c>
      <c r="L121" s="11">
        <v>913512.6</v>
      </c>
      <c r="M121" s="11">
        <v>381892.94</v>
      </c>
      <c r="N121" s="11">
        <v>364222.68</v>
      </c>
    </row>
    <row r="122" spans="1:14">
      <c r="A122" s="2">
        <f t="shared" si="1"/>
        <v>41422</v>
      </c>
      <c r="B122" s="11">
        <v>187851.89</v>
      </c>
      <c r="C122" s="11">
        <v>25112.32</v>
      </c>
      <c r="D122" s="11">
        <v>299.08</v>
      </c>
      <c r="E122" s="11">
        <v>170682.15</v>
      </c>
      <c r="F122" s="11">
        <v>2129811.54</v>
      </c>
      <c r="G122" s="11">
        <v>1498812.1</v>
      </c>
      <c r="H122" s="11">
        <v>608842.73</v>
      </c>
      <c r="I122" s="11">
        <v>43236.54</v>
      </c>
      <c r="J122" s="11">
        <v>124446</v>
      </c>
      <c r="K122" s="11">
        <v>143336.59</v>
      </c>
      <c r="L122" s="11">
        <v>912740.89</v>
      </c>
      <c r="M122" s="11">
        <v>382319.05</v>
      </c>
      <c r="N122" s="11">
        <v>410901.24</v>
      </c>
    </row>
    <row r="123" spans="1:14">
      <c r="A123" s="2">
        <f t="shared" si="1"/>
        <v>41392</v>
      </c>
      <c r="B123" s="11">
        <v>187721.17</v>
      </c>
      <c r="C123" s="11">
        <v>24646.19</v>
      </c>
      <c r="D123" s="11">
        <v>258.22000000000003</v>
      </c>
      <c r="E123" s="11">
        <v>169378.07</v>
      </c>
      <c r="F123" s="11">
        <v>2139580.88</v>
      </c>
      <c r="G123" s="11">
        <v>1489066.6</v>
      </c>
      <c r="H123" s="11">
        <v>626472.02</v>
      </c>
      <c r="I123" s="11">
        <v>45365.72</v>
      </c>
      <c r="J123" s="11">
        <v>125298</v>
      </c>
      <c r="K123" s="11">
        <v>144446.92000000001</v>
      </c>
      <c r="L123" s="11">
        <v>913736.96</v>
      </c>
      <c r="M123" s="11">
        <v>382179.36</v>
      </c>
      <c r="N123" s="11">
        <v>430203.12</v>
      </c>
    </row>
    <row r="124" spans="1:14">
      <c r="A124" s="2">
        <f t="shared" si="1"/>
        <v>41361</v>
      </c>
      <c r="B124" s="11">
        <v>184826.3</v>
      </c>
      <c r="C124" s="11">
        <v>25763.200000000001</v>
      </c>
      <c r="D124" s="11">
        <v>350.67</v>
      </c>
      <c r="E124" s="11">
        <v>165604.32999999999</v>
      </c>
      <c r="F124" s="11">
        <v>2130196.7200000002</v>
      </c>
      <c r="G124" s="11">
        <v>1488670.8</v>
      </c>
      <c r="H124" s="11">
        <v>619856.98</v>
      </c>
      <c r="I124" s="11">
        <v>43260.2</v>
      </c>
      <c r="J124" s="11">
        <v>125449</v>
      </c>
      <c r="K124" s="11">
        <v>144585.32</v>
      </c>
      <c r="L124" s="11">
        <v>928879.09</v>
      </c>
      <c r="M124" s="11">
        <v>388025.3</v>
      </c>
      <c r="N124" s="11">
        <v>407966.85</v>
      </c>
    </row>
    <row r="125" spans="1:14">
      <c r="A125" s="2">
        <f t="shared" si="1"/>
        <v>41333</v>
      </c>
      <c r="B125" s="11">
        <v>182227.9</v>
      </c>
      <c r="C125" s="11">
        <v>24051.65</v>
      </c>
      <c r="D125" s="11">
        <v>319.76</v>
      </c>
      <c r="E125" s="11">
        <v>164681.54999999999</v>
      </c>
      <c r="F125" s="11">
        <v>2107194.0099999998</v>
      </c>
      <c r="G125" s="11">
        <v>1445624.3</v>
      </c>
      <c r="H125" s="11">
        <v>636053.22</v>
      </c>
      <c r="I125" s="11">
        <v>46944.23</v>
      </c>
      <c r="J125" s="11">
        <v>123480</v>
      </c>
      <c r="K125" s="11">
        <v>142476.74</v>
      </c>
      <c r="L125" s="11">
        <v>948596.48</v>
      </c>
      <c r="M125" s="11">
        <v>385537.13</v>
      </c>
      <c r="N125" s="11">
        <v>419431.78</v>
      </c>
    </row>
    <row r="126" spans="1:14">
      <c r="A126" s="2">
        <f t="shared" si="1"/>
        <v>41302</v>
      </c>
      <c r="B126" s="11">
        <v>190394.82</v>
      </c>
      <c r="C126" s="11">
        <v>24166.59</v>
      </c>
      <c r="D126" s="11">
        <v>441.76</v>
      </c>
      <c r="E126" s="11">
        <v>172612.22</v>
      </c>
      <c r="F126" s="11">
        <v>2065186.26</v>
      </c>
      <c r="G126" s="11">
        <v>1427837.8</v>
      </c>
      <c r="H126" s="11">
        <v>610879.74</v>
      </c>
      <c r="I126" s="11">
        <v>47523.13</v>
      </c>
      <c r="J126" s="11">
        <v>127748</v>
      </c>
      <c r="K126" s="11">
        <v>145070.57999999999</v>
      </c>
      <c r="L126" s="11">
        <v>960055.34</v>
      </c>
      <c r="M126" s="11">
        <v>380003.47</v>
      </c>
      <c r="N126" s="11">
        <v>414474.45</v>
      </c>
    </row>
    <row r="127" spans="1:14">
      <c r="A127" s="2">
        <f t="shared" si="1"/>
        <v>41271</v>
      </c>
      <c r="B127" s="11">
        <v>188879.34</v>
      </c>
      <c r="C127" s="11">
        <v>24357.42</v>
      </c>
      <c r="D127" s="11">
        <v>447.71</v>
      </c>
      <c r="E127" s="11">
        <v>170196.7</v>
      </c>
      <c r="F127" s="11">
        <v>2079347.3</v>
      </c>
      <c r="G127" s="11">
        <v>1455782</v>
      </c>
      <c r="H127" s="11">
        <v>612228.85</v>
      </c>
      <c r="I127" s="11">
        <v>34585.410000000003</v>
      </c>
      <c r="J127" s="11">
        <v>132024</v>
      </c>
      <c r="K127" s="11">
        <v>149856.07999999999</v>
      </c>
      <c r="L127" s="11">
        <v>958332.49</v>
      </c>
      <c r="M127" s="11">
        <v>372907.01</v>
      </c>
      <c r="N127" s="11">
        <v>432321.09</v>
      </c>
    </row>
    <row r="128" spans="1:14">
      <c r="A128" s="2">
        <f t="shared" si="1"/>
        <v>41241</v>
      </c>
      <c r="B128" s="11">
        <v>193557.48</v>
      </c>
      <c r="C128" s="11">
        <v>24268</v>
      </c>
      <c r="D128" s="11">
        <v>461.06</v>
      </c>
      <c r="E128" s="11">
        <v>174622.94</v>
      </c>
      <c r="F128" s="11">
        <v>2074580.52</v>
      </c>
      <c r="G128" s="11">
        <v>1405372.1</v>
      </c>
      <c r="H128" s="11">
        <v>639552.34</v>
      </c>
      <c r="I128" s="11">
        <v>53022.28</v>
      </c>
      <c r="J128" s="11">
        <v>129372</v>
      </c>
      <c r="K128" s="11">
        <v>150549.78</v>
      </c>
      <c r="L128" s="11">
        <v>957594.38</v>
      </c>
      <c r="M128" s="11">
        <v>371054.84</v>
      </c>
      <c r="N128" s="11">
        <v>470546.78</v>
      </c>
    </row>
    <row r="129" spans="1:14">
      <c r="A129" s="2">
        <f t="shared" si="1"/>
        <v>41210</v>
      </c>
      <c r="B129" s="11">
        <v>199501.9</v>
      </c>
      <c r="C129" s="11">
        <v>24107.88</v>
      </c>
      <c r="D129" s="11">
        <v>422.86</v>
      </c>
      <c r="E129" s="11">
        <v>180951.63</v>
      </c>
      <c r="F129" s="11">
        <v>2075503.35</v>
      </c>
      <c r="G129" s="11">
        <v>1405083.7</v>
      </c>
      <c r="H129" s="11">
        <v>635811.65</v>
      </c>
      <c r="I129" s="11">
        <v>58393.56</v>
      </c>
      <c r="J129" s="11">
        <v>131476</v>
      </c>
      <c r="K129" s="11">
        <v>150685.64000000001</v>
      </c>
      <c r="L129" s="11">
        <v>961643.54</v>
      </c>
      <c r="M129" s="11">
        <v>371523.09</v>
      </c>
      <c r="N129" s="11">
        <v>435760.65</v>
      </c>
    </row>
    <row r="130" spans="1:14">
      <c r="A130" s="2">
        <f t="shared" si="1"/>
        <v>41180</v>
      </c>
      <c r="B130" s="11">
        <v>194068.52</v>
      </c>
      <c r="C130" s="11">
        <v>26467.97</v>
      </c>
      <c r="D130" s="11">
        <v>491.3</v>
      </c>
      <c r="E130" s="11">
        <v>173830.9</v>
      </c>
      <c r="F130" s="11">
        <v>2112032.59</v>
      </c>
      <c r="G130" s="11">
        <v>1425288.8</v>
      </c>
      <c r="H130" s="11">
        <v>650072.86</v>
      </c>
      <c r="I130" s="11">
        <v>61168.959999999999</v>
      </c>
      <c r="J130" s="11">
        <v>133626</v>
      </c>
      <c r="K130" s="11">
        <v>150380.53</v>
      </c>
      <c r="L130" s="11">
        <v>961827.17</v>
      </c>
      <c r="M130" s="11">
        <v>370794.51</v>
      </c>
      <c r="N130" s="11">
        <v>419136.86</v>
      </c>
    </row>
    <row r="131" spans="1:14">
      <c r="A131" s="2">
        <f t="shared" si="1"/>
        <v>41149</v>
      </c>
      <c r="B131" s="11">
        <v>204321.84</v>
      </c>
      <c r="C131" s="11">
        <v>25306.77</v>
      </c>
      <c r="D131" s="11">
        <v>443.03</v>
      </c>
      <c r="E131" s="11">
        <v>184690.02</v>
      </c>
      <c r="F131" s="11">
        <v>2070098.68</v>
      </c>
      <c r="G131" s="11">
        <v>1401118.4</v>
      </c>
      <c r="H131" s="11">
        <v>637746.76</v>
      </c>
      <c r="I131" s="11">
        <v>56016.5</v>
      </c>
      <c r="J131" s="11">
        <v>129860</v>
      </c>
      <c r="K131" s="11">
        <v>145642.32999999999</v>
      </c>
      <c r="L131" s="11">
        <v>962194.95</v>
      </c>
      <c r="M131" s="11">
        <v>371785.1</v>
      </c>
      <c r="N131" s="11">
        <v>439861.29</v>
      </c>
    </row>
    <row r="132" spans="1:14">
      <c r="A132" s="2">
        <f t="shared" si="1"/>
        <v>41118</v>
      </c>
      <c r="B132" s="11">
        <v>201520.79</v>
      </c>
      <c r="C132" s="11">
        <v>23835.09</v>
      </c>
      <c r="D132" s="11">
        <v>456.54</v>
      </c>
      <c r="E132" s="11">
        <v>183888.6</v>
      </c>
      <c r="F132" s="11">
        <v>2070965.56</v>
      </c>
      <c r="G132" s="11">
        <v>1399807.3</v>
      </c>
      <c r="H132" s="11">
        <v>647494.82999999996</v>
      </c>
      <c r="I132" s="11">
        <v>49379.44</v>
      </c>
      <c r="J132" s="11">
        <v>128993</v>
      </c>
      <c r="K132" s="11">
        <v>146738.93</v>
      </c>
      <c r="L132" s="11">
        <v>966302.09</v>
      </c>
      <c r="M132" s="11">
        <v>371492.72</v>
      </c>
      <c r="N132" s="11">
        <v>452034.22</v>
      </c>
    </row>
    <row r="133" spans="1:14">
      <c r="A133" s="2">
        <f t="shared" si="1"/>
        <v>41088</v>
      </c>
      <c r="B133" s="11">
        <v>202747.21</v>
      </c>
      <c r="C133" s="11">
        <v>23275.91</v>
      </c>
      <c r="D133" s="11">
        <v>561.47</v>
      </c>
      <c r="E133" s="11">
        <v>185374.74</v>
      </c>
      <c r="F133" s="11">
        <v>2076381.08</v>
      </c>
      <c r="G133" s="11">
        <v>1401293.9</v>
      </c>
      <c r="H133" s="11">
        <v>659783.14</v>
      </c>
      <c r="I133" s="11">
        <v>39779.06</v>
      </c>
      <c r="J133" s="11">
        <v>135101</v>
      </c>
      <c r="K133" s="11">
        <v>156035.39000000001</v>
      </c>
      <c r="L133" s="11">
        <v>953322.52</v>
      </c>
      <c r="M133" s="11">
        <v>372321.11</v>
      </c>
      <c r="N133" s="11">
        <v>403668.44</v>
      </c>
    </row>
    <row r="134" spans="1:14">
      <c r="A134" s="2">
        <f t="shared" ref="A134:A197" si="2">EDATE(A133,-1)</f>
        <v>41057</v>
      </c>
      <c r="B134" s="11">
        <v>201629.63</v>
      </c>
      <c r="C134" s="11">
        <v>23521.18</v>
      </c>
      <c r="D134" s="11">
        <v>544.48</v>
      </c>
      <c r="E134" s="11">
        <v>184779.4</v>
      </c>
      <c r="F134" s="11">
        <v>2034126.45</v>
      </c>
      <c r="G134" s="11">
        <v>1378939.2</v>
      </c>
      <c r="H134" s="11">
        <v>642098</v>
      </c>
      <c r="I134" s="11">
        <v>38168.699999999997</v>
      </c>
      <c r="J134" s="11">
        <v>134508</v>
      </c>
      <c r="K134" s="11">
        <v>153851.29</v>
      </c>
      <c r="L134" s="11">
        <v>945494.46</v>
      </c>
      <c r="M134" s="11">
        <v>370287</v>
      </c>
      <c r="N134" s="11">
        <v>464932.21</v>
      </c>
    </row>
    <row r="135" spans="1:14">
      <c r="A135" s="2">
        <f t="shared" si="2"/>
        <v>41027</v>
      </c>
      <c r="B135" s="11">
        <v>207096.35</v>
      </c>
      <c r="C135" s="11">
        <v>23580.44</v>
      </c>
      <c r="D135" s="11">
        <v>606.37</v>
      </c>
      <c r="E135" s="11">
        <v>190202.03</v>
      </c>
      <c r="F135" s="11">
        <v>2035433.98</v>
      </c>
      <c r="G135" s="11">
        <v>1377257.9</v>
      </c>
      <c r="H135" s="11">
        <v>641440</v>
      </c>
      <c r="I135" s="11">
        <v>41690.11</v>
      </c>
      <c r="J135" s="11">
        <v>126259</v>
      </c>
      <c r="K135" s="11">
        <v>144865.07999999999</v>
      </c>
      <c r="L135" s="11">
        <v>942940.18</v>
      </c>
      <c r="M135" s="11">
        <v>383247</v>
      </c>
      <c r="N135" s="11">
        <v>424191.04</v>
      </c>
    </row>
    <row r="136" spans="1:14">
      <c r="A136" s="2">
        <f t="shared" si="2"/>
        <v>40996</v>
      </c>
      <c r="B136" s="11">
        <v>206956.53</v>
      </c>
      <c r="C136" s="11">
        <v>23600.49</v>
      </c>
      <c r="D136" s="11">
        <v>654.36</v>
      </c>
      <c r="E136" s="11">
        <v>190360.04</v>
      </c>
      <c r="F136" s="11">
        <v>2026315.77</v>
      </c>
      <c r="G136" s="11">
        <v>1366874.1</v>
      </c>
      <c r="H136" s="11">
        <v>640327</v>
      </c>
      <c r="I136" s="11">
        <v>43422.75</v>
      </c>
      <c r="J136" s="11">
        <v>126291</v>
      </c>
      <c r="K136" s="11">
        <v>146534.6</v>
      </c>
      <c r="L136" s="11">
        <v>959936.21</v>
      </c>
      <c r="M136" s="11">
        <v>394564</v>
      </c>
      <c r="N136" s="11">
        <v>372990.61</v>
      </c>
    </row>
    <row r="137" spans="1:14">
      <c r="A137" s="2">
        <f t="shared" si="2"/>
        <v>40967</v>
      </c>
      <c r="B137" s="11">
        <v>215990.02</v>
      </c>
      <c r="C137" s="11">
        <v>22673.89</v>
      </c>
      <c r="D137" s="11">
        <v>616.34</v>
      </c>
      <c r="E137" s="11">
        <v>200836.92</v>
      </c>
      <c r="F137" s="11">
        <v>1961870.94</v>
      </c>
      <c r="G137" s="11">
        <v>1371235.8</v>
      </c>
      <c r="H137" s="11">
        <v>575514</v>
      </c>
      <c r="I137" s="11">
        <v>41976.78</v>
      </c>
      <c r="J137" s="11">
        <v>128496</v>
      </c>
      <c r="K137" s="11">
        <v>150381.48000000001</v>
      </c>
      <c r="L137" s="11">
        <v>956029</v>
      </c>
      <c r="M137" s="11">
        <v>392568</v>
      </c>
      <c r="N137" s="11">
        <v>402234</v>
      </c>
    </row>
    <row r="138" spans="1:14">
      <c r="A138" s="2">
        <f t="shared" si="2"/>
        <v>40936</v>
      </c>
      <c r="B138" s="11">
        <v>219048.49</v>
      </c>
      <c r="C138" s="11">
        <v>22320.98</v>
      </c>
      <c r="D138" s="11">
        <v>630.33000000000004</v>
      </c>
      <c r="E138" s="11">
        <v>204991.75</v>
      </c>
      <c r="F138" s="11">
        <v>1941846.61</v>
      </c>
      <c r="G138" s="11">
        <v>1345072.4</v>
      </c>
      <c r="H138" s="11">
        <v>578513</v>
      </c>
      <c r="I138" s="11">
        <v>46124.25</v>
      </c>
      <c r="J138" s="11">
        <v>127119</v>
      </c>
      <c r="K138" s="11">
        <v>149166.39999999999</v>
      </c>
      <c r="L138" s="11">
        <v>940089.17</v>
      </c>
      <c r="M138" s="11">
        <v>390666</v>
      </c>
      <c r="N138" s="11">
        <v>408261</v>
      </c>
    </row>
    <row r="139" spans="1:14">
      <c r="A139" s="2">
        <f t="shared" si="2"/>
        <v>40905</v>
      </c>
      <c r="B139" s="11">
        <v>229359.49</v>
      </c>
      <c r="C139" s="11">
        <v>22468.22</v>
      </c>
      <c r="D139" s="11">
        <v>698.99</v>
      </c>
      <c r="E139" s="11">
        <v>214322.27</v>
      </c>
      <c r="F139" s="11">
        <v>1945688.63</v>
      </c>
      <c r="G139" s="11">
        <v>1341652.3999999999</v>
      </c>
      <c r="H139" s="11">
        <v>585829</v>
      </c>
      <c r="I139" s="11">
        <v>43791.8</v>
      </c>
      <c r="J139" s="11">
        <v>130438</v>
      </c>
      <c r="K139" s="11">
        <v>150127.04000000001</v>
      </c>
      <c r="L139" s="11">
        <v>914227.14</v>
      </c>
      <c r="M139" s="11">
        <v>379559</v>
      </c>
      <c r="N139" s="11">
        <v>382071.63</v>
      </c>
    </row>
    <row r="140" spans="1:14">
      <c r="A140" s="2">
        <f t="shared" si="2"/>
        <v>40875</v>
      </c>
      <c r="B140" s="11">
        <v>244346.36</v>
      </c>
      <c r="C140" s="11">
        <v>20965.86</v>
      </c>
      <c r="D140" s="11">
        <v>1015.1</v>
      </c>
      <c r="E140" s="11">
        <v>230982.31</v>
      </c>
      <c r="F140" s="11">
        <v>1890155.75</v>
      </c>
      <c r="G140" s="11">
        <v>1324014.7</v>
      </c>
      <c r="H140" s="11">
        <v>543625.96</v>
      </c>
      <c r="I140" s="11">
        <v>46927.09</v>
      </c>
      <c r="J140" s="11">
        <v>133109</v>
      </c>
      <c r="K140" s="11">
        <v>154538.32</v>
      </c>
      <c r="L140" s="11">
        <v>865085.97</v>
      </c>
      <c r="M140" s="11">
        <v>385525.67</v>
      </c>
      <c r="N140" s="11">
        <v>412235.81</v>
      </c>
    </row>
    <row r="141" spans="1:14">
      <c r="A141" s="2">
        <f t="shared" si="2"/>
        <v>40844</v>
      </c>
      <c r="B141" s="11">
        <v>249717.36</v>
      </c>
      <c r="C141" s="11">
        <v>21435.45</v>
      </c>
      <c r="D141" s="11">
        <v>468.42</v>
      </c>
      <c r="E141" s="11">
        <v>237320.31</v>
      </c>
      <c r="F141" s="11">
        <v>1882824.07</v>
      </c>
      <c r="G141" s="11">
        <v>1362539</v>
      </c>
      <c r="H141" s="11">
        <v>499079.35</v>
      </c>
      <c r="I141" s="11">
        <v>46070.73</v>
      </c>
      <c r="J141" s="11">
        <v>138207</v>
      </c>
      <c r="K141" s="11">
        <v>161386.6</v>
      </c>
      <c r="L141" s="11">
        <v>858156.62</v>
      </c>
      <c r="M141" s="11">
        <v>383241.31</v>
      </c>
      <c r="N141" s="11">
        <v>377024.43</v>
      </c>
    </row>
    <row r="142" spans="1:14">
      <c r="A142" s="2">
        <f t="shared" si="2"/>
        <v>40814</v>
      </c>
      <c r="B142" s="11">
        <v>248638.93</v>
      </c>
      <c r="C142" s="11">
        <v>22018.52</v>
      </c>
      <c r="D142" s="11">
        <v>678.25</v>
      </c>
      <c r="E142" s="11">
        <v>235857.96</v>
      </c>
      <c r="F142" s="11">
        <v>1869141.34</v>
      </c>
      <c r="G142" s="11">
        <v>1355457.3</v>
      </c>
      <c r="H142" s="11">
        <v>494206.75</v>
      </c>
      <c r="I142" s="11">
        <v>45834.78</v>
      </c>
      <c r="J142" s="11">
        <v>139383</v>
      </c>
      <c r="K142" s="11">
        <v>164552.24</v>
      </c>
      <c r="L142" s="11">
        <v>860453</v>
      </c>
      <c r="M142" s="11">
        <v>383297.58</v>
      </c>
      <c r="N142" s="11">
        <v>389090.9</v>
      </c>
    </row>
    <row r="143" spans="1:14">
      <c r="A143" s="2">
        <f t="shared" si="2"/>
        <v>40783</v>
      </c>
      <c r="B143" s="11">
        <v>243993.12</v>
      </c>
      <c r="C143" s="11">
        <v>20934.22</v>
      </c>
      <c r="D143" s="11">
        <v>590.98</v>
      </c>
      <c r="E143" s="11">
        <v>233704.34</v>
      </c>
      <c r="F143" s="11">
        <v>1824092.33</v>
      </c>
      <c r="G143" s="11">
        <v>1351197.5</v>
      </c>
      <c r="H143" s="11">
        <v>454005.54</v>
      </c>
      <c r="I143" s="11">
        <v>46485.67</v>
      </c>
      <c r="J143" s="11">
        <v>139455</v>
      </c>
      <c r="K143" s="11">
        <v>165778.82</v>
      </c>
      <c r="L143" s="11">
        <v>850394.21</v>
      </c>
      <c r="M143" s="11">
        <v>382362.15</v>
      </c>
      <c r="N143" s="11">
        <v>340174.21</v>
      </c>
    </row>
    <row r="144" spans="1:14">
      <c r="A144" s="2">
        <f t="shared" si="2"/>
        <v>40752</v>
      </c>
      <c r="B144" s="11">
        <v>248582.2</v>
      </c>
      <c r="C144" s="11">
        <v>21323.98</v>
      </c>
      <c r="D144" s="11">
        <v>417.42</v>
      </c>
      <c r="E144" s="11">
        <v>238460.18</v>
      </c>
      <c r="F144" s="11">
        <v>1813173.19</v>
      </c>
      <c r="G144" s="11">
        <v>1351067.1</v>
      </c>
      <c r="H144" s="11">
        <v>443421.55</v>
      </c>
      <c r="I144" s="11">
        <v>46051.63</v>
      </c>
      <c r="J144" s="11">
        <v>139155</v>
      </c>
      <c r="K144" s="11">
        <v>169391.23</v>
      </c>
      <c r="L144" s="11">
        <v>847356.1</v>
      </c>
      <c r="M144" s="11">
        <v>382171.9</v>
      </c>
      <c r="N144" s="11">
        <v>314252.53999999998</v>
      </c>
    </row>
    <row r="145" spans="1:14">
      <c r="A145" s="2">
        <f t="shared" si="2"/>
        <v>40722</v>
      </c>
      <c r="B145" s="11">
        <v>251933.02</v>
      </c>
      <c r="C145" s="11">
        <v>22534.19</v>
      </c>
      <c r="D145" s="11">
        <v>544.27</v>
      </c>
      <c r="E145" s="11">
        <v>239840.99</v>
      </c>
      <c r="F145" s="11">
        <v>1769473.27</v>
      </c>
      <c r="G145" s="11">
        <v>1346607.4</v>
      </c>
      <c r="H145" s="11">
        <v>403728.5</v>
      </c>
      <c r="I145" s="11">
        <v>46191.34</v>
      </c>
      <c r="J145" s="11">
        <v>143020</v>
      </c>
      <c r="K145" s="11">
        <v>185018.66</v>
      </c>
      <c r="L145" s="11">
        <v>844134.19</v>
      </c>
      <c r="M145" s="11">
        <v>379937.19</v>
      </c>
      <c r="N145" s="11">
        <v>310904.31</v>
      </c>
    </row>
    <row r="146" spans="1:14">
      <c r="A146" s="2">
        <f t="shared" si="2"/>
        <v>40691</v>
      </c>
      <c r="B146" s="11">
        <v>252361.38</v>
      </c>
      <c r="C146" s="11">
        <v>25511.43</v>
      </c>
      <c r="D146" s="11">
        <v>395.42</v>
      </c>
      <c r="E146" s="11">
        <v>239532.86</v>
      </c>
      <c r="F146" s="11">
        <v>1764765.59</v>
      </c>
      <c r="G146" s="11">
        <v>1345934.1</v>
      </c>
      <c r="H146" s="11">
        <v>401218.88</v>
      </c>
      <c r="I146" s="11">
        <v>46002.96</v>
      </c>
      <c r="J146" s="11">
        <v>145982</v>
      </c>
      <c r="K146" s="11">
        <v>187009.47</v>
      </c>
      <c r="L146" s="11">
        <v>846070.99</v>
      </c>
      <c r="M146" s="11">
        <v>373876.87</v>
      </c>
      <c r="N146" s="11">
        <v>326180.07</v>
      </c>
    </row>
    <row r="147" spans="1:14">
      <c r="A147" s="2">
        <f t="shared" si="2"/>
        <v>40661</v>
      </c>
      <c r="B147" s="11">
        <v>259184.41</v>
      </c>
      <c r="C147" s="11">
        <v>25068.04</v>
      </c>
      <c r="D147" s="11">
        <v>425.26</v>
      </c>
      <c r="E147" s="11">
        <v>244637.85</v>
      </c>
      <c r="F147" s="11">
        <v>1779760.77</v>
      </c>
      <c r="G147" s="11">
        <v>1357731.6</v>
      </c>
      <c r="H147" s="11">
        <v>403221.37</v>
      </c>
      <c r="I147" s="11">
        <v>46357.8</v>
      </c>
      <c r="J147" s="11">
        <v>141210</v>
      </c>
      <c r="K147" s="11">
        <v>177891.47</v>
      </c>
      <c r="L147" s="11">
        <v>835010.56000000006</v>
      </c>
      <c r="M147" s="11">
        <v>370058.11</v>
      </c>
      <c r="N147" s="11">
        <v>295987.92</v>
      </c>
    </row>
    <row r="148" spans="1:14">
      <c r="A148" s="2">
        <f t="shared" si="2"/>
        <v>40630</v>
      </c>
      <c r="B148" s="11">
        <v>251350.96</v>
      </c>
      <c r="C148" s="11">
        <v>26517.45</v>
      </c>
      <c r="D148" s="11">
        <v>487.31</v>
      </c>
      <c r="E148" s="11">
        <v>236321.53</v>
      </c>
      <c r="F148" s="11">
        <v>1766156.31</v>
      </c>
      <c r="G148" s="11">
        <v>1346542.1</v>
      </c>
      <c r="H148" s="11">
        <v>400654.9</v>
      </c>
      <c r="I148" s="11">
        <v>46252.52</v>
      </c>
      <c r="J148" s="11">
        <v>142942</v>
      </c>
      <c r="K148" s="11">
        <v>184518.94</v>
      </c>
      <c r="L148" s="11">
        <v>832743.8</v>
      </c>
      <c r="M148" s="11">
        <v>368296.3</v>
      </c>
      <c r="N148" s="11">
        <v>313093.81</v>
      </c>
    </row>
    <row r="149" spans="1:14">
      <c r="A149" s="2">
        <f t="shared" si="2"/>
        <v>40602</v>
      </c>
      <c r="B149" s="11">
        <v>243623.17</v>
      </c>
      <c r="C149" s="11">
        <v>24419.32</v>
      </c>
      <c r="D149" s="11">
        <v>425.29</v>
      </c>
      <c r="E149" s="11">
        <v>231049</v>
      </c>
      <c r="F149" s="11">
        <v>1803756.76</v>
      </c>
      <c r="G149" s="11">
        <v>1369248</v>
      </c>
      <c r="H149" s="11">
        <v>416037.54</v>
      </c>
      <c r="I149" s="11">
        <v>46312.45</v>
      </c>
      <c r="J149" s="11">
        <v>151026</v>
      </c>
      <c r="K149" s="11">
        <v>188994.13</v>
      </c>
      <c r="L149" s="11">
        <v>812390.26</v>
      </c>
      <c r="M149" s="11">
        <v>368463.2</v>
      </c>
      <c r="N149" s="11">
        <v>328019.37</v>
      </c>
    </row>
    <row r="150" spans="1:14">
      <c r="A150" s="2">
        <f t="shared" si="2"/>
        <v>40571</v>
      </c>
      <c r="B150" s="11">
        <v>240354.95</v>
      </c>
      <c r="C150" s="11">
        <v>23641.56</v>
      </c>
      <c r="D150" s="11">
        <v>801.41</v>
      </c>
      <c r="E150" s="11">
        <v>228086.53</v>
      </c>
      <c r="F150" s="11">
        <v>1807106.83</v>
      </c>
      <c r="G150" s="11">
        <v>1375577.6</v>
      </c>
      <c r="H150" s="11">
        <v>410229.12</v>
      </c>
      <c r="I150" s="11">
        <v>48539.9</v>
      </c>
      <c r="J150" s="11">
        <v>140549</v>
      </c>
      <c r="K150" s="11">
        <v>182722.37</v>
      </c>
      <c r="L150" s="11">
        <v>807693.58</v>
      </c>
      <c r="M150" s="11">
        <v>363068.29</v>
      </c>
      <c r="N150" s="11">
        <v>338062.01</v>
      </c>
    </row>
    <row r="151" spans="1:14">
      <c r="A151" s="2">
        <f t="shared" si="2"/>
        <v>40540</v>
      </c>
      <c r="B151" s="11">
        <v>228651.56</v>
      </c>
      <c r="C151" s="11">
        <v>23951.3</v>
      </c>
      <c r="D151" s="11">
        <v>449.92</v>
      </c>
      <c r="E151" s="11">
        <v>214904.27</v>
      </c>
      <c r="F151" s="11">
        <v>1825622.12</v>
      </c>
      <c r="G151" s="11">
        <v>1402371.2</v>
      </c>
      <c r="H151" s="11">
        <v>404890.08</v>
      </c>
      <c r="I151" s="11">
        <v>44751.66</v>
      </c>
      <c r="J151" s="11">
        <v>137379</v>
      </c>
      <c r="K151" s="11">
        <v>185281.91</v>
      </c>
      <c r="L151" s="11">
        <v>807691.36</v>
      </c>
      <c r="M151" s="11">
        <v>349447.08</v>
      </c>
      <c r="N151" s="11">
        <v>325151.95</v>
      </c>
    </row>
    <row r="152" spans="1:14">
      <c r="A152" s="2">
        <f t="shared" si="2"/>
        <v>40510</v>
      </c>
      <c r="B152" s="11">
        <v>225632.19</v>
      </c>
      <c r="C152" s="11">
        <v>25655.31</v>
      </c>
      <c r="D152" s="11">
        <v>481.71</v>
      </c>
      <c r="E152" s="11">
        <v>210627.99</v>
      </c>
      <c r="F152" s="11">
        <v>1758047.04</v>
      </c>
      <c r="G152" s="11">
        <v>1344821.5</v>
      </c>
      <c r="H152" s="11">
        <v>394565.68</v>
      </c>
      <c r="I152" s="11">
        <v>47798.29</v>
      </c>
      <c r="J152" s="11">
        <v>139466</v>
      </c>
      <c r="K152" s="11">
        <v>196316.03</v>
      </c>
      <c r="L152" s="11">
        <v>812320.08</v>
      </c>
      <c r="M152" s="11">
        <v>345781.06</v>
      </c>
      <c r="N152" s="11">
        <v>409777.64</v>
      </c>
    </row>
    <row r="153" spans="1:14">
      <c r="A153" s="2">
        <f t="shared" si="2"/>
        <v>40479</v>
      </c>
      <c r="B153" s="11">
        <v>230338.89</v>
      </c>
      <c r="C153" s="11">
        <v>25994.51</v>
      </c>
      <c r="D153" s="11">
        <v>465.87</v>
      </c>
      <c r="E153" s="11">
        <v>215081.39</v>
      </c>
      <c r="F153" s="11">
        <v>1904505.66</v>
      </c>
      <c r="G153" s="11">
        <v>1339009</v>
      </c>
      <c r="H153" s="11">
        <v>550133.23</v>
      </c>
      <c r="I153" s="11">
        <v>47872.6</v>
      </c>
      <c r="J153" s="11">
        <v>136364</v>
      </c>
      <c r="K153" s="11">
        <v>189303.28</v>
      </c>
      <c r="L153" s="11">
        <v>812907.44</v>
      </c>
      <c r="M153" s="11">
        <v>361510.63</v>
      </c>
      <c r="N153" s="11">
        <v>373193.37</v>
      </c>
    </row>
    <row r="154" spans="1:14">
      <c r="A154" s="2">
        <f t="shared" si="2"/>
        <v>40449</v>
      </c>
      <c r="B154" s="11">
        <v>237772.79999999999</v>
      </c>
      <c r="C154" s="11">
        <v>28064.53</v>
      </c>
      <c r="D154" s="11">
        <v>261.33</v>
      </c>
      <c r="E154" s="11">
        <v>221193.98</v>
      </c>
      <c r="F154" s="11">
        <v>1897778.19</v>
      </c>
      <c r="G154" s="11">
        <v>1331139.3</v>
      </c>
      <c r="H154" s="11">
        <v>552943.74</v>
      </c>
      <c r="I154" s="11">
        <v>47273.71</v>
      </c>
      <c r="J154" s="11">
        <v>132942</v>
      </c>
      <c r="K154" s="11">
        <v>191325.02</v>
      </c>
      <c r="L154" s="11">
        <v>815103.41</v>
      </c>
      <c r="M154" s="11">
        <v>361273.96</v>
      </c>
      <c r="N154" s="11">
        <v>410612.91</v>
      </c>
    </row>
    <row r="155" spans="1:14">
      <c r="A155" s="2">
        <f t="shared" si="2"/>
        <v>40418</v>
      </c>
      <c r="B155" s="11">
        <v>237312.95</v>
      </c>
      <c r="C155" s="11">
        <v>24445.97</v>
      </c>
      <c r="D155" s="11">
        <v>304.2</v>
      </c>
      <c r="E155" s="11">
        <v>225868.37</v>
      </c>
      <c r="F155" s="11">
        <v>1888922.15</v>
      </c>
      <c r="G155" s="11">
        <v>1324448.5</v>
      </c>
      <c r="H155" s="11">
        <v>549397.06000000006</v>
      </c>
      <c r="I155" s="11">
        <v>49023.58</v>
      </c>
      <c r="J155" s="11">
        <v>133620.4</v>
      </c>
      <c r="K155" s="11">
        <v>192198.14</v>
      </c>
      <c r="L155" s="11">
        <v>811148.24</v>
      </c>
      <c r="M155" s="11">
        <v>360868.84</v>
      </c>
      <c r="N155" s="11">
        <v>419077.19</v>
      </c>
    </row>
    <row r="156" spans="1:14">
      <c r="A156" s="2">
        <f t="shared" si="2"/>
        <v>40387</v>
      </c>
      <c r="B156" s="11">
        <v>231634.57</v>
      </c>
      <c r="C156" s="11">
        <v>23578.959999999999</v>
      </c>
      <c r="D156" s="11">
        <v>379.23</v>
      </c>
      <c r="E156" s="11">
        <v>220361.36</v>
      </c>
      <c r="F156" s="11">
        <v>1920330.78</v>
      </c>
      <c r="G156" s="11">
        <v>1343515.1</v>
      </c>
      <c r="H156" s="11">
        <v>561330.32999999996</v>
      </c>
      <c r="I156" s="11">
        <v>49040.82</v>
      </c>
      <c r="J156" s="11">
        <v>138042.82999999999</v>
      </c>
      <c r="K156" s="11">
        <v>185937.7</v>
      </c>
      <c r="L156" s="11">
        <v>807719.33</v>
      </c>
      <c r="M156" s="11">
        <v>360533.65</v>
      </c>
      <c r="N156" s="11">
        <v>368154.56</v>
      </c>
    </row>
    <row r="157" spans="1:14">
      <c r="A157" s="2">
        <f t="shared" si="2"/>
        <v>40357</v>
      </c>
      <c r="B157" s="11">
        <v>227247.35999999999</v>
      </c>
      <c r="C157" s="11">
        <v>23071.47</v>
      </c>
      <c r="D157" s="11">
        <v>363.06</v>
      </c>
      <c r="E157" s="11">
        <v>217250.96</v>
      </c>
      <c r="F157" s="11">
        <v>1931227.81</v>
      </c>
      <c r="G157" s="11">
        <v>1351266.9</v>
      </c>
      <c r="H157" s="11">
        <v>564680.14</v>
      </c>
      <c r="I157" s="11">
        <v>49919.62</v>
      </c>
      <c r="J157" s="11">
        <v>135401.1</v>
      </c>
      <c r="K157" s="11">
        <v>186258.94</v>
      </c>
      <c r="L157" s="11">
        <v>806870.12</v>
      </c>
      <c r="M157" s="11">
        <v>359999.16</v>
      </c>
      <c r="N157" s="11">
        <v>384297.26</v>
      </c>
    </row>
    <row r="158" spans="1:14">
      <c r="A158" s="2">
        <f t="shared" si="2"/>
        <v>40326</v>
      </c>
      <c r="B158" s="11">
        <v>237837.25</v>
      </c>
      <c r="C158" s="11">
        <v>22887.67</v>
      </c>
      <c r="D158" s="11">
        <v>821.58</v>
      </c>
      <c r="E158" s="11">
        <v>229101.95</v>
      </c>
      <c r="F158" s="11">
        <v>1770143.19</v>
      </c>
      <c r="G158" s="11">
        <v>1187112.6000000001</v>
      </c>
      <c r="H158" s="11">
        <v>571138.64</v>
      </c>
      <c r="I158" s="11">
        <v>49005.75</v>
      </c>
      <c r="J158" s="11">
        <v>143662.71</v>
      </c>
      <c r="K158" s="11">
        <v>191737.91</v>
      </c>
      <c r="L158" s="11">
        <v>812850.47</v>
      </c>
      <c r="M158" s="11">
        <v>302850.55</v>
      </c>
      <c r="N158" s="11">
        <v>452799.1</v>
      </c>
    </row>
    <row r="159" spans="1:14">
      <c r="A159" s="2">
        <f t="shared" si="2"/>
        <v>40296</v>
      </c>
      <c r="B159" s="11">
        <v>226773.28</v>
      </c>
      <c r="C159" s="11">
        <v>23597.1</v>
      </c>
      <c r="D159" s="11">
        <v>433.71</v>
      </c>
      <c r="E159" s="11">
        <v>216096.09</v>
      </c>
      <c r="F159" s="11">
        <v>1734036.98</v>
      </c>
      <c r="G159" s="11">
        <v>1171124.8</v>
      </c>
      <c r="H159" s="11">
        <v>548247.35</v>
      </c>
      <c r="I159" s="11">
        <v>49343.41</v>
      </c>
      <c r="J159" s="11">
        <v>140161.97</v>
      </c>
      <c r="K159" s="11">
        <v>196449.79</v>
      </c>
      <c r="L159" s="11">
        <v>814030.31</v>
      </c>
      <c r="M159" s="11">
        <v>302062.21000000002</v>
      </c>
      <c r="N159" s="11">
        <v>420307.53</v>
      </c>
    </row>
    <row r="160" spans="1:14">
      <c r="A160" s="2">
        <f t="shared" si="2"/>
        <v>40265</v>
      </c>
      <c r="B160" s="11">
        <v>225289.19</v>
      </c>
      <c r="C160" s="11">
        <v>23402.41</v>
      </c>
      <c r="D160" s="11">
        <v>476.73</v>
      </c>
      <c r="E160" s="11">
        <v>215274.33</v>
      </c>
      <c r="F160" s="11">
        <v>1720582.73</v>
      </c>
      <c r="G160" s="11">
        <v>1158910.2</v>
      </c>
      <c r="H160" s="11">
        <v>550368.02</v>
      </c>
      <c r="I160" s="11">
        <v>47321.97</v>
      </c>
      <c r="J160" s="11">
        <v>138917.25</v>
      </c>
      <c r="K160" s="11">
        <v>198020.78</v>
      </c>
      <c r="L160" s="11">
        <v>815560.39</v>
      </c>
      <c r="M160" s="11">
        <v>299057.40000000002</v>
      </c>
      <c r="N160" s="11">
        <v>407328.98</v>
      </c>
    </row>
    <row r="161" spans="1:14">
      <c r="A161" s="2">
        <f t="shared" si="2"/>
        <v>40237</v>
      </c>
      <c r="B161" s="11">
        <v>222377.87</v>
      </c>
      <c r="C161" s="11">
        <v>22493.21</v>
      </c>
      <c r="D161" s="11">
        <v>232.65</v>
      </c>
      <c r="E161" s="11">
        <v>212888.36</v>
      </c>
      <c r="F161" s="11">
        <v>1723596</v>
      </c>
      <c r="G161" s="11">
        <v>1145560.2</v>
      </c>
      <c r="H161" s="11">
        <v>567642.98</v>
      </c>
      <c r="I161" s="11">
        <v>48202.48</v>
      </c>
      <c r="J161" s="11">
        <v>140201.32</v>
      </c>
      <c r="K161" s="11">
        <v>200115.96</v>
      </c>
      <c r="L161" s="11">
        <v>815076.43</v>
      </c>
      <c r="M161" s="11">
        <v>298559.28000000003</v>
      </c>
      <c r="N161" s="11">
        <v>407722.49</v>
      </c>
    </row>
    <row r="162" spans="1:14">
      <c r="A162" s="2">
        <f t="shared" si="2"/>
        <v>40206</v>
      </c>
      <c r="B162" s="11">
        <v>222593.04</v>
      </c>
      <c r="C162" s="11">
        <v>23266.45</v>
      </c>
      <c r="D162" s="11">
        <v>227.17</v>
      </c>
      <c r="E162" s="11">
        <v>211861.5</v>
      </c>
      <c r="F162" s="11">
        <v>1728180.49</v>
      </c>
      <c r="G162" s="11">
        <v>1152581.6000000001</v>
      </c>
      <c r="H162" s="11">
        <v>565101.93000000005</v>
      </c>
      <c r="I162" s="11">
        <v>49338.46</v>
      </c>
      <c r="J162" s="11">
        <v>137765.09</v>
      </c>
      <c r="K162" s="11">
        <v>192620.25</v>
      </c>
      <c r="L162" s="11">
        <v>820718.58</v>
      </c>
      <c r="M162" s="11">
        <v>298453.7</v>
      </c>
      <c r="N162" s="11">
        <v>394979.04</v>
      </c>
    </row>
    <row r="163" spans="1:14">
      <c r="A163" s="2">
        <f t="shared" si="2"/>
        <v>40175</v>
      </c>
      <c r="B163" s="11">
        <v>219977.28</v>
      </c>
      <c r="C163" s="11">
        <v>24105.05</v>
      </c>
      <c r="D163" s="11">
        <v>318.47000000000003</v>
      </c>
      <c r="E163" s="11">
        <v>207304.19</v>
      </c>
      <c r="F163" s="11">
        <v>1732498.88</v>
      </c>
      <c r="G163" s="11">
        <v>1155565.2</v>
      </c>
      <c r="H163" s="11">
        <v>569732.66</v>
      </c>
      <c r="I163" s="11">
        <v>45900.89</v>
      </c>
      <c r="J163" s="11">
        <v>142247.37</v>
      </c>
      <c r="K163" s="11">
        <v>194208.31</v>
      </c>
      <c r="L163" s="11">
        <v>819600.7</v>
      </c>
      <c r="M163" s="11">
        <v>293935.99</v>
      </c>
      <c r="N163" s="11">
        <v>380020.86</v>
      </c>
    </row>
    <row r="164" spans="1:14">
      <c r="A164" s="2">
        <f t="shared" si="2"/>
        <v>40145</v>
      </c>
      <c r="B164" s="11">
        <v>229887.62</v>
      </c>
      <c r="C164" s="11">
        <v>22859.56</v>
      </c>
      <c r="D164" s="11">
        <v>275.43</v>
      </c>
      <c r="E164" s="11">
        <v>218983.66</v>
      </c>
      <c r="F164" s="11">
        <v>1700761.71</v>
      </c>
      <c r="G164" s="11">
        <v>1118278.6000000001</v>
      </c>
      <c r="H164" s="11">
        <v>577576.48</v>
      </c>
      <c r="I164" s="11">
        <v>45410.36</v>
      </c>
      <c r="J164" s="11">
        <v>138966.57999999999</v>
      </c>
      <c r="K164" s="11">
        <v>189026.77</v>
      </c>
      <c r="L164" s="11">
        <v>815811.34</v>
      </c>
      <c r="M164" s="11">
        <v>291753.62</v>
      </c>
      <c r="N164" s="11">
        <v>441931.44</v>
      </c>
    </row>
    <row r="165" spans="1:14">
      <c r="A165" s="2">
        <f t="shared" si="2"/>
        <v>40114</v>
      </c>
      <c r="B165" s="11">
        <v>238053.47</v>
      </c>
      <c r="C165" s="11">
        <v>23746.47</v>
      </c>
      <c r="D165" s="11">
        <v>478.64</v>
      </c>
      <c r="E165" s="11">
        <v>225238.93</v>
      </c>
      <c r="F165" s="11">
        <v>1688212.92</v>
      </c>
      <c r="G165" s="11">
        <v>1113835.5</v>
      </c>
      <c r="H165" s="11">
        <v>569019.27</v>
      </c>
      <c r="I165" s="11">
        <v>45591.66</v>
      </c>
      <c r="J165" s="11">
        <v>146577.21</v>
      </c>
      <c r="K165" s="11">
        <v>195187.5</v>
      </c>
      <c r="L165" s="11">
        <v>811687.85</v>
      </c>
      <c r="M165" s="11">
        <v>290656.48</v>
      </c>
      <c r="N165" s="11">
        <v>395268.05</v>
      </c>
    </row>
    <row r="166" spans="1:14">
      <c r="A166" s="2">
        <f t="shared" si="2"/>
        <v>40084</v>
      </c>
      <c r="B166" s="11">
        <v>235747.46</v>
      </c>
      <c r="C166" s="11">
        <v>25022.25</v>
      </c>
      <c r="D166" s="11">
        <v>294.29000000000002</v>
      </c>
      <c r="E166" s="11">
        <v>223264.35</v>
      </c>
      <c r="F166" s="11">
        <v>1669509.75</v>
      </c>
      <c r="G166" s="11">
        <v>1104621</v>
      </c>
      <c r="H166" s="11">
        <v>558050.5</v>
      </c>
      <c r="I166" s="11">
        <v>45343.17</v>
      </c>
      <c r="J166" s="11">
        <v>151724.82</v>
      </c>
      <c r="K166" s="11">
        <v>204397.4</v>
      </c>
      <c r="L166" s="11">
        <v>815744.4</v>
      </c>
      <c r="M166" s="11">
        <v>292094.18</v>
      </c>
      <c r="N166" s="11">
        <v>401850.15</v>
      </c>
    </row>
    <row r="167" spans="1:14">
      <c r="A167" s="2">
        <f t="shared" si="2"/>
        <v>40053</v>
      </c>
      <c r="B167" s="11">
        <v>248126.74</v>
      </c>
      <c r="C167" s="11">
        <v>24011.68</v>
      </c>
      <c r="D167" s="11">
        <v>383.88</v>
      </c>
      <c r="E167" s="11">
        <v>236000.12</v>
      </c>
      <c r="F167" s="11">
        <v>1650616.75</v>
      </c>
      <c r="G167" s="11">
        <v>1085869.8999999999</v>
      </c>
      <c r="H167" s="11">
        <v>557574.61</v>
      </c>
      <c r="I167" s="11">
        <v>47024</v>
      </c>
      <c r="J167" s="11">
        <v>155714.95000000001</v>
      </c>
      <c r="K167" s="11">
        <v>201117.03</v>
      </c>
      <c r="L167" s="11">
        <v>814406.71</v>
      </c>
      <c r="M167" s="11">
        <v>291029.45</v>
      </c>
      <c r="N167" s="11">
        <v>395302.81</v>
      </c>
    </row>
    <row r="168" spans="1:14">
      <c r="A168" s="2">
        <f t="shared" si="2"/>
        <v>40022</v>
      </c>
      <c r="B168" s="11">
        <v>254670.38</v>
      </c>
      <c r="C168" s="11">
        <v>22412.76</v>
      </c>
      <c r="D168" s="11">
        <v>441.99</v>
      </c>
      <c r="E168" s="11">
        <v>244957.99</v>
      </c>
      <c r="F168" s="11">
        <v>1659704.29</v>
      </c>
      <c r="G168" s="11">
        <v>1090223.8</v>
      </c>
      <c r="H168" s="11">
        <v>561816.91</v>
      </c>
      <c r="I168" s="11">
        <v>46557.81</v>
      </c>
      <c r="J168" s="11">
        <v>160469.70000000001</v>
      </c>
      <c r="K168" s="11">
        <v>205862.05</v>
      </c>
      <c r="L168" s="11">
        <v>812123.98</v>
      </c>
      <c r="M168" s="11">
        <v>290970.52</v>
      </c>
      <c r="N168" s="11">
        <v>406753.86</v>
      </c>
    </row>
    <row r="169" spans="1:14">
      <c r="A169" s="2">
        <f t="shared" si="2"/>
        <v>39992</v>
      </c>
      <c r="B169" s="11">
        <v>253759.97</v>
      </c>
      <c r="C169" s="11">
        <v>23096.73</v>
      </c>
      <c r="D169" s="11">
        <v>306.22000000000003</v>
      </c>
      <c r="E169" s="11">
        <v>244955.51</v>
      </c>
      <c r="F169" s="11">
        <v>1671512.52</v>
      </c>
      <c r="G169" s="11">
        <v>1099136.8999999999</v>
      </c>
      <c r="H169" s="11">
        <v>565331.89</v>
      </c>
      <c r="I169" s="11">
        <v>46907.360000000001</v>
      </c>
      <c r="J169" s="11">
        <v>160754.79999999999</v>
      </c>
      <c r="K169" s="11">
        <v>215079.66</v>
      </c>
      <c r="L169" s="11">
        <v>808490.05</v>
      </c>
      <c r="M169" s="11">
        <v>289417.83</v>
      </c>
      <c r="N169" s="11">
        <v>401118.77</v>
      </c>
    </row>
    <row r="170" spans="1:14">
      <c r="A170" s="2">
        <f t="shared" si="2"/>
        <v>39961</v>
      </c>
      <c r="B170" s="11">
        <v>253593.4</v>
      </c>
      <c r="C170" s="11">
        <v>23991.58</v>
      </c>
      <c r="D170" s="11">
        <v>221.62</v>
      </c>
      <c r="E170" s="11">
        <v>244056.25</v>
      </c>
      <c r="F170" s="11">
        <v>1660736.34</v>
      </c>
      <c r="G170" s="11">
        <v>1090104.3999999999</v>
      </c>
      <c r="H170" s="11">
        <v>568300.72</v>
      </c>
      <c r="I170" s="11">
        <v>45232.69</v>
      </c>
      <c r="J170" s="11">
        <v>156554.79</v>
      </c>
      <c r="K170" s="11">
        <v>205160.35</v>
      </c>
      <c r="L170" s="11">
        <v>804493.56</v>
      </c>
      <c r="M170" s="11">
        <v>288318.62</v>
      </c>
      <c r="N170" s="11">
        <v>415254.81</v>
      </c>
    </row>
    <row r="171" spans="1:14">
      <c r="A171" s="2">
        <f t="shared" si="2"/>
        <v>39931</v>
      </c>
      <c r="B171" s="11">
        <v>255396.07</v>
      </c>
      <c r="C171" s="11">
        <v>23723.919999999998</v>
      </c>
      <c r="D171" s="11">
        <v>251.51</v>
      </c>
      <c r="E171" s="11">
        <v>246985.49</v>
      </c>
      <c r="F171" s="11">
        <v>1657275.92</v>
      </c>
      <c r="G171" s="11">
        <v>1086491.8999999999</v>
      </c>
      <c r="H171" s="11">
        <v>572022.77</v>
      </c>
      <c r="I171" s="11">
        <v>45331.14</v>
      </c>
      <c r="J171" s="11">
        <v>149898.76999999999</v>
      </c>
      <c r="K171" s="11">
        <v>207315.82</v>
      </c>
      <c r="L171" s="11">
        <v>799401.63</v>
      </c>
      <c r="M171" s="11">
        <v>287670.88</v>
      </c>
      <c r="N171" s="11">
        <v>422153.72</v>
      </c>
    </row>
    <row r="172" spans="1:14">
      <c r="A172" s="2">
        <f t="shared" si="2"/>
        <v>39900</v>
      </c>
      <c r="B172" s="11">
        <v>260396</v>
      </c>
      <c r="C172" s="11">
        <v>24039.95</v>
      </c>
      <c r="D172" s="11">
        <v>257.5</v>
      </c>
      <c r="E172" s="11">
        <v>251718.62</v>
      </c>
      <c r="F172" s="11">
        <v>1664123.86</v>
      </c>
      <c r="G172" s="11">
        <v>1067281.1000000001</v>
      </c>
      <c r="H172" s="11">
        <v>600644.17000000004</v>
      </c>
      <c r="I172" s="11">
        <v>45232.4</v>
      </c>
      <c r="J172" s="11">
        <v>148785.47</v>
      </c>
      <c r="K172" s="11">
        <v>204387.66</v>
      </c>
      <c r="L172" s="11">
        <v>788018.54</v>
      </c>
      <c r="M172" s="11">
        <v>279611.55</v>
      </c>
      <c r="N172" s="11">
        <v>447617.75</v>
      </c>
    </row>
    <row r="173" spans="1:14">
      <c r="A173" s="2">
        <f t="shared" si="2"/>
        <v>39872</v>
      </c>
      <c r="B173" s="11">
        <v>263866.73</v>
      </c>
      <c r="C173" s="11">
        <v>24601.119999999999</v>
      </c>
      <c r="D173" s="11">
        <v>282.56</v>
      </c>
      <c r="E173" s="11">
        <v>255377.04</v>
      </c>
      <c r="F173" s="11">
        <v>1646327.12</v>
      </c>
      <c r="G173" s="11">
        <v>1064686.3999999999</v>
      </c>
      <c r="H173" s="11">
        <v>591311.80000000005</v>
      </c>
      <c r="I173" s="11">
        <v>45135.11</v>
      </c>
      <c r="J173" s="11">
        <v>151714.39000000001</v>
      </c>
      <c r="K173" s="11">
        <v>210574.01</v>
      </c>
      <c r="L173" s="11">
        <v>767629.56</v>
      </c>
      <c r="M173" s="11">
        <v>279750.58</v>
      </c>
      <c r="N173" s="11">
        <v>415175</v>
      </c>
    </row>
    <row r="174" spans="1:14">
      <c r="A174" s="2">
        <f t="shared" si="2"/>
        <v>39841</v>
      </c>
      <c r="B174" s="11">
        <v>263088.40999999997</v>
      </c>
      <c r="C174" s="11">
        <v>24671.32</v>
      </c>
      <c r="D174" s="11">
        <v>331.4</v>
      </c>
      <c r="E174" s="11">
        <v>254115.51</v>
      </c>
      <c r="F174" s="11">
        <v>1649875.08</v>
      </c>
      <c r="G174" s="11">
        <v>1074152.7</v>
      </c>
      <c r="H174" s="11">
        <v>591645.43000000005</v>
      </c>
      <c r="I174" s="11">
        <v>47170.54</v>
      </c>
      <c r="J174" s="11">
        <v>149581.48000000001</v>
      </c>
      <c r="K174" s="11">
        <v>208593.62</v>
      </c>
      <c r="L174" s="11">
        <v>745532.44</v>
      </c>
      <c r="M174" s="11">
        <v>276296.21999999997</v>
      </c>
      <c r="N174" s="11">
        <v>412966</v>
      </c>
    </row>
    <row r="175" spans="1:14">
      <c r="A175" s="2">
        <f t="shared" si="2"/>
        <v>39810</v>
      </c>
      <c r="B175" s="11">
        <v>259109.23</v>
      </c>
      <c r="C175" s="11">
        <v>26412.77</v>
      </c>
      <c r="D175" s="11">
        <v>458.42</v>
      </c>
      <c r="E175" s="11">
        <v>247933</v>
      </c>
      <c r="F175" s="11">
        <v>1656857.9</v>
      </c>
      <c r="G175" s="11">
        <v>1083842.3</v>
      </c>
      <c r="H175" s="11">
        <v>584017.74</v>
      </c>
      <c r="I175" s="11">
        <v>44004.83</v>
      </c>
      <c r="J175" s="11">
        <v>142336.13</v>
      </c>
      <c r="K175" s="11">
        <v>195736</v>
      </c>
      <c r="L175" s="11">
        <v>740520.55</v>
      </c>
      <c r="M175" s="11">
        <v>276426.86</v>
      </c>
      <c r="N175" s="11">
        <v>435211.84</v>
      </c>
    </row>
    <row r="176" spans="1:14">
      <c r="A176" s="2">
        <f t="shared" si="2"/>
        <v>39780</v>
      </c>
      <c r="B176" s="11">
        <v>265495.07</v>
      </c>
      <c r="C176" s="11">
        <v>23415.34</v>
      </c>
      <c r="D176" s="11">
        <v>433.01</v>
      </c>
      <c r="E176" s="11">
        <v>258603.53</v>
      </c>
      <c r="F176" s="11">
        <v>1669103.8</v>
      </c>
      <c r="G176" s="11">
        <v>1053717.8999999999</v>
      </c>
      <c r="H176" s="11">
        <v>634601.29</v>
      </c>
      <c r="I176" s="11">
        <v>44955.17</v>
      </c>
      <c r="J176" s="11">
        <v>150145</v>
      </c>
      <c r="K176" s="11">
        <v>212661.96</v>
      </c>
      <c r="L176" s="11">
        <v>740191.9</v>
      </c>
      <c r="M176" s="11">
        <v>275868.44</v>
      </c>
      <c r="N176" s="11">
        <v>470775.76</v>
      </c>
    </row>
    <row r="177" spans="1:14">
      <c r="A177" s="2">
        <f t="shared" si="2"/>
        <v>39749</v>
      </c>
      <c r="B177" s="11">
        <v>271819.65000000002</v>
      </c>
      <c r="C177" s="11">
        <v>23158.5</v>
      </c>
      <c r="D177" s="11">
        <v>331.77</v>
      </c>
      <c r="E177" s="11">
        <v>267577.59000000003</v>
      </c>
      <c r="F177" s="11">
        <v>1806405.59</v>
      </c>
      <c r="G177" s="11">
        <v>1050567.1000000001</v>
      </c>
      <c r="H177" s="11">
        <v>776108.07</v>
      </c>
      <c r="I177" s="11">
        <v>45591.13</v>
      </c>
      <c r="J177" s="11">
        <v>153233</v>
      </c>
      <c r="K177" s="11">
        <v>214793.67</v>
      </c>
      <c r="L177" s="11">
        <v>733444.56</v>
      </c>
      <c r="M177" s="11">
        <v>278021.73</v>
      </c>
      <c r="N177" s="11">
        <v>429061.4</v>
      </c>
    </row>
    <row r="178" spans="1:14">
      <c r="A178" s="2">
        <f t="shared" si="2"/>
        <v>39719</v>
      </c>
      <c r="B178" s="11">
        <v>286894.33</v>
      </c>
      <c r="C178" s="11">
        <v>24027.35</v>
      </c>
      <c r="D178" s="11">
        <v>347.46</v>
      </c>
      <c r="E178" s="11">
        <v>282872.55</v>
      </c>
      <c r="F178" s="11">
        <v>1550425.16</v>
      </c>
      <c r="G178" s="11">
        <v>1037706</v>
      </c>
      <c r="H178" s="11">
        <v>529265.52</v>
      </c>
      <c r="I178" s="11">
        <v>46237.04</v>
      </c>
      <c r="J178" s="11">
        <v>156579</v>
      </c>
      <c r="K178" s="11">
        <v>229645.18</v>
      </c>
      <c r="L178" s="11">
        <v>717944.48</v>
      </c>
      <c r="M178" s="11">
        <v>277765.17</v>
      </c>
      <c r="N178" s="11">
        <v>418483.82</v>
      </c>
    </row>
    <row r="179" spans="1:14">
      <c r="A179" s="2">
        <f t="shared" si="2"/>
        <v>39688</v>
      </c>
      <c r="B179" s="11">
        <v>284842.48</v>
      </c>
      <c r="C179" s="11">
        <v>25076.83</v>
      </c>
      <c r="D179" s="11">
        <v>353.15</v>
      </c>
      <c r="E179" s="11">
        <v>280424.24</v>
      </c>
      <c r="F179" s="11">
        <v>1519187.44</v>
      </c>
      <c r="G179" s="11">
        <v>1014644.3</v>
      </c>
      <c r="H179" s="11">
        <v>519023.94</v>
      </c>
      <c r="I179" s="11">
        <v>45782.8</v>
      </c>
      <c r="J179" s="11">
        <v>158943</v>
      </c>
      <c r="K179" s="11">
        <v>233598.37</v>
      </c>
      <c r="L179" s="11">
        <v>709892.41</v>
      </c>
      <c r="M179" s="11">
        <v>278813.21999999997</v>
      </c>
      <c r="N179" s="11">
        <v>397608.91</v>
      </c>
    </row>
    <row r="180" spans="1:14">
      <c r="A180" s="2">
        <f t="shared" si="2"/>
        <v>39657</v>
      </c>
      <c r="B180" s="11">
        <v>280445.90999999997</v>
      </c>
      <c r="C180" s="11">
        <v>25477.61</v>
      </c>
      <c r="D180" s="11">
        <v>454.49</v>
      </c>
      <c r="E180" s="11">
        <v>276369.65999999997</v>
      </c>
      <c r="F180" s="11">
        <v>1514367.58</v>
      </c>
      <c r="G180" s="11">
        <v>1023464.2</v>
      </c>
      <c r="H180" s="11">
        <v>500921.98</v>
      </c>
      <c r="I180" s="11">
        <v>47076.06</v>
      </c>
      <c r="J180" s="11">
        <v>155149</v>
      </c>
      <c r="K180" s="11">
        <v>224663.61</v>
      </c>
      <c r="L180" s="11">
        <v>707212.65</v>
      </c>
      <c r="M180" s="11">
        <v>278315.28999999998</v>
      </c>
      <c r="N180" s="11">
        <v>415609.63</v>
      </c>
    </row>
    <row r="181" spans="1:14">
      <c r="A181" s="2">
        <f t="shared" si="2"/>
        <v>39627</v>
      </c>
      <c r="B181" s="11">
        <v>287573.63</v>
      </c>
      <c r="C181" s="11">
        <v>23917.040000000001</v>
      </c>
      <c r="D181" s="11">
        <v>333.63</v>
      </c>
      <c r="E181" s="11">
        <v>285673.81</v>
      </c>
      <c r="F181" s="11">
        <v>1520282.66</v>
      </c>
      <c r="G181" s="11">
        <v>1024853.1</v>
      </c>
      <c r="H181" s="11">
        <v>502529.14</v>
      </c>
      <c r="I181" s="11">
        <v>47319.519999999997</v>
      </c>
      <c r="J181" s="11">
        <v>155001</v>
      </c>
      <c r="K181" s="11">
        <v>221528.06</v>
      </c>
      <c r="L181" s="11">
        <v>702953.4</v>
      </c>
      <c r="M181" s="11">
        <v>278436.84000000003</v>
      </c>
      <c r="N181" s="11">
        <v>429871.24</v>
      </c>
    </row>
    <row r="182" spans="1:14">
      <c r="A182" s="2">
        <f t="shared" si="2"/>
        <v>39596</v>
      </c>
      <c r="B182" s="11">
        <v>282759.59000000003</v>
      </c>
      <c r="C182" s="11">
        <v>22149.26</v>
      </c>
      <c r="D182" s="11">
        <v>212.73</v>
      </c>
      <c r="E182" s="11">
        <v>281926.94</v>
      </c>
      <c r="F182" s="11">
        <v>1548993.96</v>
      </c>
      <c r="G182" s="11">
        <v>1035508.4</v>
      </c>
      <c r="H182" s="11">
        <v>524248.32000000001</v>
      </c>
      <c r="I182" s="11">
        <v>47367.58</v>
      </c>
      <c r="J182" s="11">
        <v>157393</v>
      </c>
      <c r="K182" s="11">
        <v>228305.22</v>
      </c>
      <c r="L182" s="11">
        <v>687709.62</v>
      </c>
      <c r="M182" s="11">
        <v>278429.15999999997</v>
      </c>
      <c r="N182" s="11">
        <v>422785.57</v>
      </c>
    </row>
    <row r="183" spans="1:14">
      <c r="A183" s="2">
        <f t="shared" si="2"/>
        <v>39566</v>
      </c>
      <c r="B183" s="11">
        <v>273302.62</v>
      </c>
      <c r="C183" s="11">
        <v>19492.59</v>
      </c>
      <c r="D183" s="11">
        <v>201.88</v>
      </c>
      <c r="E183" s="11">
        <v>271279.53999999998</v>
      </c>
      <c r="F183" s="11">
        <v>1491208.88</v>
      </c>
      <c r="G183" s="11">
        <v>1026145.3</v>
      </c>
      <c r="H183" s="11">
        <v>474331.93</v>
      </c>
      <c r="I183" s="11">
        <v>46985.05</v>
      </c>
      <c r="J183" s="11">
        <v>152367</v>
      </c>
      <c r="K183" s="11">
        <v>218820.34</v>
      </c>
      <c r="L183" s="11">
        <v>669372.03</v>
      </c>
      <c r="M183" s="11">
        <v>272414.61</v>
      </c>
      <c r="N183" s="11">
        <v>424620.9</v>
      </c>
    </row>
    <row r="184" spans="1:14">
      <c r="A184" s="2">
        <f t="shared" si="2"/>
        <v>39535</v>
      </c>
      <c r="B184" s="11">
        <v>268902.7</v>
      </c>
      <c r="C184" s="11">
        <v>18930.55</v>
      </c>
      <c r="D184" s="11">
        <v>738.67</v>
      </c>
      <c r="E184" s="11">
        <v>270280.19</v>
      </c>
      <c r="F184" s="11">
        <v>1469242.93</v>
      </c>
      <c r="G184" s="11">
        <v>1002628</v>
      </c>
      <c r="H184" s="11">
        <v>471244.61</v>
      </c>
      <c r="I184" s="11">
        <v>48356.1</v>
      </c>
      <c r="J184" s="11">
        <v>154541</v>
      </c>
      <c r="K184" s="11">
        <v>215084.68</v>
      </c>
      <c r="L184" s="11">
        <v>657984.06000000006</v>
      </c>
      <c r="M184" s="11">
        <v>272810.06</v>
      </c>
      <c r="N184" s="11">
        <v>429592.58</v>
      </c>
    </row>
    <row r="185" spans="1:14">
      <c r="A185" s="2">
        <f t="shared" si="2"/>
        <v>39506</v>
      </c>
      <c r="B185" s="11">
        <v>274804.84000000003</v>
      </c>
      <c r="C185" s="11">
        <v>18334.79</v>
      </c>
      <c r="D185" s="11">
        <v>240.55</v>
      </c>
      <c r="E185" s="11">
        <v>280967.95</v>
      </c>
      <c r="F185" s="11">
        <v>1465972.19</v>
      </c>
      <c r="G185" s="11">
        <v>991102.5</v>
      </c>
      <c r="H185" s="11">
        <v>477598.25</v>
      </c>
      <c r="I185" s="11">
        <v>48133.17</v>
      </c>
      <c r="J185" s="11">
        <v>154089</v>
      </c>
      <c r="K185" s="11">
        <v>212905.41</v>
      </c>
      <c r="L185" s="11">
        <v>649368.72</v>
      </c>
      <c r="M185" s="11">
        <v>266457.01</v>
      </c>
      <c r="N185" s="11">
        <v>422944.96</v>
      </c>
    </row>
    <row r="186" spans="1:14">
      <c r="A186" s="2">
        <f t="shared" si="2"/>
        <v>39475</v>
      </c>
      <c r="B186" s="11">
        <v>277056.98</v>
      </c>
      <c r="C186" s="11">
        <v>16514.810000000001</v>
      </c>
      <c r="D186" s="11">
        <v>268.39</v>
      </c>
      <c r="E186" s="11">
        <v>284348.26</v>
      </c>
      <c r="F186" s="11">
        <v>1447580.36</v>
      </c>
      <c r="G186" s="11">
        <v>993709.9</v>
      </c>
      <c r="H186" s="11">
        <v>455802.51</v>
      </c>
      <c r="I186" s="11">
        <v>48377.54</v>
      </c>
      <c r="J186" s="11">
        <v>150998</v>
      </c>
      <c r="K186" s="11">
        <v>212154.13</v>
      </c>
      <c r="L186" s="11">
        <v>628340.07999999996</v>
      </c>
      <c r="M186" s="11">
        <v>265927.12</v>
      </c>
      <c r="N186" s="11">
        <v>433697.87</v>
      </c>
    </row>
    <row r="187" spans="1:14">
      <c r="A187" s="2">
        <f t="shared" si="2"/>
        <v>39444</v>
      </c>
      <c r="B187" s="11">
        <v>277629.21999999997</v>
      </c>
      <c r="C187" s="11">
        <v>16497.97</v>
      </c>
      <c r="D187" s="11">
        <v>246.43</v>
      </c>
      <c r="E187" s="11">
        <v>279206.86</v>
      </c>
      <c r="F187" s="11">
        <v>1470847.02</v>
      </c>
      <c r="G187" s="11">
        <v>1000234.4</v>
      </c>
      <c r="H187" s="11">
        <v>470254.53</v>
      </c>
      <c r="I187" s="11">
        <v>44983.87</v>
      </c>
      <c r="J187" s="11">
        <v>149629</v>
      </c>
      <c r="K187" s="11">
        <v>210538.67</v>
      </c>
      <c r="L187" s="11">
        <v>618054.15</v>
      </c>
      <c r="M187" s="11">
        <v>264678.90999999997</v>
      </c>
      <c r="N187" s="11">
        <v>427132.47</v>
      </c>
    </row>
    <row r="188" spans="1:14">
      <c r="A188" s="2">
        <f t="shared" si="2"/>
        <v>39414</v>
      </c>
      <c r="B188" s="11">
        <v>288936.33</v>
      </c>
      <c r="C188" s="11">
        <v>17048.7</v>
      </c>
      <c r="D188" s="11">
        <v>1016.69</v>
      </c>
      <c r="E188" s="11">
        <v>293182.07</v>
      </c>
      <c r="F188" s="11">
        <v>1414266.26</v>
      </c>
      <c r="G188" s="11">
        <v>950145.4</v>
      </c>
      <c r="H188" s="11">
        <v>466670.66</v>
      </c>
      <c r="I188" s="11">
        <v>45166.22</v>
      </c>
      <c r="J188" s="11">
        <v>157078</v>
      </c>
      <c r="K188" s="11">
        <v>219778.27</v>
      </c>
      <c r="L188" s="11">
        <v>608516.98</v>
      </c>
      <c r="M188" s="11">
        <v>259077.46</v>
      </c>
      <c r="N188" s="11">
        <v>464577.03</v>
      </c>
    </row>
    <row r="189" spans="1:14">
      <c r="A189" s="2">
        <f t="shared" si="2"/>
        <v>39383</v>
      </c>
      <c r="B189" s="11">
        <v>284834.71000000002</v>
      </c>
      <c r="C189" s="11">
        <v>15813.67</v>
      </c>
      <c r="D189" s="11">
        <v>419.61</v>
      </c>
      <c r="E189" s="11">
        <v>295069.14</v>
      </c>
      <c r="F189" s="11">
        <v>1419915.04</v>
      </c>
      <c r="G189" s="11">
        <v>960548.1</v>
      </c>
      <c r="H189" s="11">
        <v>461285.08</v>
      </c>
      <c r="I189" s="11">
        <v>45667.14</v>
      </c>
      <c r="J189" s="11">
        <v>155708</v>
      </c>
      <c r="K189" s="11">
        <v>226760</v>
      </c>
      <c r="L189" s="11">
        <v>604025.61</v>
      </c>
      <c r="M189" s="11">
        <v>258435.13</v>
      </c>
      <c r="N189" s="11">
        <v>434197.79</v>
      </c>
    </row>
    <row r="190" spans="1:14">
      <c r="A190" s="2">
        <f t="shared" si="2"/>
        <v>39353</v>
      </c>
      <c r="B190" s="11">
        <v>267250.09999999998</v>
      </c>
      <c r="C190" s="11">
        <v>15814.82</v>
      </c>
      <c r="D190" s="11">
        <v>1196.3499999999999</v>
      </c>
      <c r="E190" s="11">
        <v>277616.07</v>
      </c>
      <c r="F190" s="11">
        <v>1259262.67</v>
      </c>
      <c r="G190" s="11">
        <v>805809.4</v>
      </c>
      <c r="H190" s="11">
        <v>467593.32</v>
      </c>
      <c r="I190" s="11">
        <v>34366.400000000001</v>
      </c>
      <c r="J190" s="11">
        <v>135395</v>
      </c>
      <c r="K190" s="11">
        <v>206021.68</v>
      </c>
      <c r="L190" s="11">
        <v>583724.97</v>
      </c>
      <c r="M190" s="11">
        <v>242245.15</v>
      </c>
      <c r="N190" s="11">
        <v>399122</v>
      </c>
    </row>
    <row r="191" spans="1:14">
      <c r="A191" s="2">
        <f t="shared" si="2"/>
        <v>39322</v>
      </c>
      <c r="B191" s="11">
        <v>263004.65000000002</v>
      </c>
      <c r="C191" s="11">
        <v>14549.78</v>
      </c>
      <c r="D191" s="11">
        <v>962.25</v>
      </c>
      <c r="E191" s="11">
        <v>283308.01</v>
      </c>
      <c r="F191" s="11">
        <v>1241848.3500000001</v>
      </c>
      <c r="G191" s="11">
        <v>790780</v>
      </c>
      <c r="H191" s="11">
        <v>465367.01</v>
      </c>
      <c r="I191" s="11">
        <v>34527.61</v>
      </c>
      <c r="J191" s="11">
        <v>139569</v>
      </c>
      <c r="K191" s="11">
        <v>210030.41</v>
      </c>
      <c r="L191" s="11">
        <v>585466.85</v>
      </c>
      <c r="M191" s="11">
        <v>241562.68</v>
      </c>
      <c r="N191" s="11">
        <v>380519.18</v>
      </c>
    </row>
    <row r="192" spans="1:14">
      <c r="A192" s="2">
        <f t="shared" si="2"/>
        <v>39291</v>
      </c>
      <c r="B192" s="11">
        <v>274868.59999999998</v>
      </c>
      <c r="C192" s="11">
        <v>17751.46</v>
      </c>
      <c r="D192" s="11">
        <v>2813.34</v>
      </c>
      <c r="E192" s="11">
        <v>287310.83</v>
      </c>
      <c r="F192" s="11">
        <v>1257294.95</v>
      </c>
      <c r="G192" s="11">
        <v>812282.2</v>
      </c>
      <c r="H192" s="11">
        <v>458202.38</v>
      </c>
      <c r="I192" s="11">
        <v>33528.870000000003</v>
      </c>
      <c r="J192" s="11">
        <v>134347</v>
      </c>
      <c r="K192" s="11">
        <v>204914.04</v>
      </c>
      <c r="L192" s="11">
        <v>582697.4</v>
      </c>
      <c r="M192" s="11">
        <v>241633.78</v>
      </c>
      <c r="N192" s="11">
        <v>392972.1</v>
      </c>
    </row>
    <row r="193" spans="1:14">
      <c r="A193" s="2">
        <f t="shared" si="2"/>
        <v>39261</v>
      </c>
      <c r="B193" s="11">
        <v>261589.32</v>
      </c>
      <c r="C193" s="11">
        <v>16922.72</v>
      </c>
      <c r="D193" s="11">
        <v>499.82</v>
      </c>
      <c r="E193" s="11">
        <v>283520.77</v>
      </c>
      <c r="F193" s="11">
        <v>1257932.81</v>
      </c>
      <c r="G193" s="11">
        <v>818528.3</v>
      </c>
      <c r="H193" s="11">
        <v>448866.74</v>
      </c>
      <c r="I193" s="11">
        <v>35363.96</v>
      </c>
      <c r="J193" s="11">
        <v>137699</v>
      </c>
      <c r="K193" s="11">
        <v>207551.35999999999</v>
      </c>
      <c r="L193" s="11">
        <v>581731.62</v>
      </c>
      <c r="M193" s="11">
        <v>235859.48</v>
      </c>
      <c r="N193" s="11">
        <v>388964.27</v>
      </c>
    </row>
    <row r="194" spans="1:14">
      <c r="A194" s="2">
        <f t="shared" si="2"/>
        <v>39230</v>
      </c>
      <c r="B194" s="11">
        <v>253245.18</v>
      </c>
      <c r="C194" s="11">
        <v>15837.7</v>
      </c>
      <c r="D194" s="11">
        <v>1288.71</v>
      </c>
      <c r="E194" s="11">
        <v>279256.71000000002</v>
      </c>
      <c r="F194" s="11">
        <v>1254219.6599999999</v>
      </c>
      <c r="G194" s="11">
        <v>816705.9</v>
      </c>
      <c r="H194" s="11">
        <v>447095.58</v>
      </c>
      <c r="I194" s="11">
        <v>33501.129999999997</v>
      </c>
      <c r="J194" s="11">
        <v>133316</v>
      </c>
      <c r="K194" s="11">
        <v>202294.23</v>
      </c>
      <c r="L194" s="11">
        <v>578823.94999999995</v>
      </c>
      <c r="M194" s="11">
        <v>235398.44</v>
      </c>
      <c r="N194" s="11">
        <v>385104.3</v>
      </c>
    </row>
    <row r="195" spans="1:14">
      <c r="A195" s="2">
        <f t="shared" si="2"/>
        <v>39200</v>
      </c>
      <c r="B195" s="11">
        <v>237509.9</v>
      </c>
      <c r="C195" s="11">
        <v>16126.61</v>
      </c>
      <c r="D195" s="11">
        <v>446.49</v>
      </c>
      <c r="E195" s="11">
        <v>258152.15</v>
      </c>
      <c r="F195" s="11">
        <v>1230190.22</v>
      </c>
      <c r="G195" s="11">
        <v>814864.9</v>
      </c>
      <c r="H195" s="11">
        <v>425570.48</v>
      </c>
      <c r="I195" s="11">
        <v>32713.73</v>
      </c>
      <c r="J195" s="11">
        <v>128513</v>
      </c>
      <c r="K195" s="11">
        <v>197306.54</v>
      </c>
      <c r="L195" s="11">
        <v>570832.18999999994</v>
      </c>
      <c r="M195" s="11">
        <v>238387.39</v>
      </c>
      <c r="N195" s="11">
        <v>384269.2</v>
      </c>
    </row>
    <row r="196" spans="1:14">
      <c r="A196" s="2">
        <f t="shared" si="2"/>
        <v>39169</v>
      </c>
      <c r="B196" s="11">
        <v>219751.08</v>
      </c>
      <c r="C196" s="11">
        <v>17033.310000000001</v>
      </c>
      <c r="D196" s="11">
        <v>257.33</v>
      </c>
      <c r="E196" s="11">
        <v>237157.18</v>
      </c>
      <c r="F196" s="11">
        <v>1235851.3600000001</v>
      </c>
      <c r="G196" s="11">
        <v>807899.3</v>
      </c>
      <c r="H196" s="11">
        <v>436785.09</v>
      </c>
      <c r="I196" s="11">
        <v>32316.42</v>
      </c>
      <c r="J196" s="11">
        <v>130560</v>
      </c>
      <c r="K196" s="11">
        <v>201512.22</v>
      </c>
      <c r="L196" s="11">
        <v>566362.31999999995</v>
      </c>
      <c r="M196" s="11">
        <v>230085.74</v>
      </c>
      <c r="N196" s="11">
        <v>363335.46</v>
      </c>
    </row>
    <row r="197" spans="1:14">
      <c r="A197" s="2">
        <f t="shared" si="2"/>
        <v>39141</v>
      </c>
      <c r="B197" s="11">
        <v>219489.59</v>
      </c>
      <c r="C197" s="11">
        <v>16321.21</v>
      </c>
      <c r="D197" s="11">
        <v>1265.4100000000001</v>
      </c>
      <c r="E197" s="11">
        <v>235620.17</v>
      </c>
      <c r="F197" s="11">
        <v>1205506.8500000001</v>
      </c>
      <c r="G197" s="11">
        <v>792887.5</v>
      </c>
      <c r="H197" s="11">
        <v>422193.72</v>
      </c>
      <c r="I197" s="11">
        <v>32367.98</v>
      </c>
      <c r="J197" s="11">
        <v>125445</v>
      </c>
      <c r="K197" s="11">
        <v>193589.64</v>
      </c>
      <c r="L197" s="11">
        <v>560366.91</v>
      </c>
      <c r="M197" s="11">
        <v>197959.88</v>
      </c>
      <c r="N197" s="11">
        <v>365078.79</v>
      </c>
    </row>
    <row r="198" spans="1:14">
      <c r="A198" s="2">
        <f t="shared" ref="A198:A261" si="3">EDATE(A197,-1)</f>
        <v>39110</v>
      </c>
      <c r="B198" s="11">
        <v>208779.13</v>
      </c>
      <c r="C198" s="11">
        <v>15964.2</v>
      </c>
      <c r="D198" s="11">
        <v>1449.44</v>
      </c>
      <c r="E198" s="11">
        <v>226437.07</v>
      </c>
      <c r="F198" s="11">
        <v>1204948.29</v>
      </c>
      <c r="G198" s="11">
        <v>793238.8</v>
      </c>
      <c r="H198" s="11">
        <v>424735.76</v>
      </c>
      <c r="I198" s="11">
        <v>32286.81</v>
      </c>
      <c r="J198" s="11">
        <v>125885</v>
      </c>
      <c r="K198" s="11">
        <v>195320.39</v>
      </c>
      <c r="L198" s="11">
        <v>547169.35</v>
      </c>
      <c r="M198" s="11">
        <v>196864.88</v>
      </c>
      <c r="N198" s="11">
        <v>365878.49</v>
      </c>
    </row>
    <row r="199" spans="1:14">
      <c r="A199" s="2">
        <f t="shared" si="3"/>
        <v>39079</v>
      </c>
      <c r="B199" s="11">
        <v>195884.98</v>
      </c>
      <c r="C199" s="11">
        <v>16489.71</v>
      </c>
      <c r="D199" s="11">
        <v>3070.83</v>
      </c>
      <c r="E199" s="11">
        <v>208403.05</v>
      </c>
      <c r="F199" s="11">
        <v>1233660.04</v>
      </c>
      <c r="G199" s="11">
        <v>814172.6</v>
      </c>
      <c r="H199" s="11">
        <v>429811.34</v>
      </c>
      <c r="I199" s="11">
        <v>31958.799999999999</v>
      </c>
      <c r="J199" s="11">
        <v>119661</v>
      </c>
      <c r="K199" s="11">
        <v>192103.36</v>
      </c>
      <c r="L199" s="11">
        <v>544743.72</v>
      </c>
      <c r="M199" s="11">
        <v>195371.78</v>
      </c>
      <c r="N199" s="11">
        <v>357119.46</v>
      </c>
    </row>
    <row r="200" spans="1:14">
      <c r="A200" s="2">
        <f t="shared" si="3"/>
        <v>39049</v>
      </c>
      <c r="B200" s="11">
        <v>191064.22</v>
      </c>
      <c r="C200" s="11">
        <v>15455.2</v>
      </c>
      <c r="D200" s="11">
        <v>1714.64</v>
      </c>
      <c r="E200" s="11">
        <v>207067.1</v>
      </c>
      <c r="F200" s="11">
        <v>1187355.3700000001</v>
      </c>
      <c r="G200" s="11">
        <v>771812</v>
      </c>
      <c r="H200" s="11">
        <v>427963.2</v>
      </c>
      <c r="I200" s="11">
        <v>31535.99</v>
      </c>
      <c r="J200" s="11">
        <v>133123</v>
      </c>
      <c r="K200" s="11">
        <v>204702.62</v>
      </c>
      <c r="L200" s="11">
        <v>538570.62</v>
      </c>
      <c r="M200" s="11">
        <v>197173.76000000001</v>
      </c>
      <c r="N200" s="11">
        <v>383820.5</v>
      </c>
    </row>
    <row r="201" spans="1:14">
      <c r="A201" s="2">
        <f t="shared" si="3"/>
        <v>39018</v>
      </c>
      <c r="B201" s="11">
        <v>190319.35</v>
      </c>
      <c r="C201" s="11">
        <v>15354.27</v>
      </c>
      <c r="D201" s="11">
        <v>1720.46</v>
      </c>
      <c r="E201" s="11">
        <v>206536.04</v>
      </c>
      <c r="F201" s="11">
        <v>1173596.95</v>
      </c>
      <c r="G201" s="11">
        <v>779175.4</v>
      </c>
      <c r="H201" s="11">
        <v>407782.26</v>
      </c>
      <c r="I201" s="11">
        <v>28638.39</v>
      </c>
      <c r="J201" s="11">
        <v>125793</v>
      </c>
      <c r="K201" s="11">
        <v>194475.17</v>
      </c>
      <c r="L201" s="11">
        <v>531930.21</v>
      </c>
      <c r="M201" s="11">
        <v>197030.98</v>
      </c>
      <c r="N201" s="11">
        <v>331967.63</v>
      </c>
    </row>
    <row r="202" spans="1:14">
      <c r="A202" s="2">
        <f t="shared" si="3"/>
        <v>38988</v>
      </c>
      <c r="B202" s="11">
        <v>185098.82</v>
      </c>
      <c r="C202" s="11">
        <v>16511.98</v>
      </c>
      <c r="D202" s="11">
        <v>1940.8</v>
      </c>
      <c r="E202" s="11">
        <v>196711.87</v>
      </c>
      <c r="F202" s="11">
        <v>1178244.3999999999</v>
      </c>
      <c r="G202" s="11">
        <v>780893.1</v>
      </c>
      <c r="H202" s="11">
        <v>409033.15</v>
      </c>
      <c r="I202" s="11">
        <v>28772.86</v>
      </c>
      <c r="J202" s="11">
        <v>124076</v>
      </c>
      <c r="K202" s="11">
        <v>192230.39</v>
      </c>
      <c r="L202" s="11">
        <v>523922.27</v>
      </c>
      <c r="M202" s="11">
        <v>196911.22</v>
      </c>
      <c r="N202" s="11">
        <v>324967.69</v>
      </c>
    </row>
    <row r="203" spans="1:14">
      <c r="A203" s="2">
        <f t="shared" si="3"/>
        <v>38957</v>
      </c>
      <c r="B203" s="11">
        <v>180766.81</v>
      </c>
      <c r="C203" s="11">
        <v>15361.63</v>
      </c>
      <c r="D203" s="11">
        <v>2017.95</v>
      </c>
      <c r="E203" s="11">
        <v>191985.79</v>
      </c>
      <c r="F203" s="11">
        <v>1145273.6200000001</v>
      </c>
      <c r="G203" s="11">
        <v>761060.2</v>
      </c>
      <c r="H203" s="11">
        <v>396174.49</v>
      </c>
      <c r="I203" s="11">
        <v>27741.32</v>
      </c>
      <c r="J203" s="11">
        <v>122888</v>
      </c>
      <c r="K203" s="11">
        <v>187949.95</v>
      </c>
      <c r="L203" s="11">
        <v>521446.16</v>
      </c>
      <c r="M203" s="11">
        <v>198580.31</v>
      </c>
      <c r="N203" s="11">
        <v>317660.89</v>
      </c>
    </row>
    <row r="204" spans="1:14">
      <c r="A204" s="2">
        <f t="shared" si="3"/>
        <v>38926</v>
      </c>
      <c r="B204" s="11">
        <v>181359.47</v>
      </c>
      <c r="C204" s="11">
        <v>15394.59</v>
      </c>
      <c r="D204" s="11">
        <v>1294.19</v>
      </c>
      <c r="E204" s="11">
        <v>190817.36</v>
      </c>
      <c r="F204" s="11">
        <v>1157603.8700000001</v>
      </c>
      <c r="G204" s="11">
        <v>774568.1</v>
      </c>
      <c r="H204" s="11">
        <v>391991.06</v>
      </c>
      <c r="I204" s="11">
        <v>28920.6</v>
      </c>
      <c r="J204" s="11">
        <v>122701</v>
      </c>
      <c r="K204" s="11">
        <v>182591.93</v>
      </c>
      <c r="L204" s="11">
        <v>519239.12</v>
      </c>
      <c r="M204" s="11">
        <v>198521.76</v>
      </c>
      <c r="N204" s="11">
        <v>321925.09999999998</v>
      </c>
    </row>
    <row r="205" spans="1:14">
      <c r="A205" s="2">
        <f t="shared" si="3"/>
        <v>38896</v>
      </c>
      <c r="B205" s="11">
        <v>173659.07</v>
      </c>
      <c r="C205" s="11">
        <v>15022.98</v>
      </c>
      <c r="D205" s="11">
        <v>1146.92</v>
      </c>
      <c r="E205" s="11">
        <v>179967.69</v>
      </c>
      <c r="F205" s="11">
        <v>1143599.01</v>
      </c>
      <c r="G205" s="11">
        <v>776665</v>
      </c>
      <c r="H205" s="11">
        <v>374832.76</v>
      </c>
      <c r="I205" s="11">
        <v>30415.37</v>
      </c>
      <c r="J205" s="11">
        <v>115833</v>
      </c>
      <c r="K205" s="11">
        <v>179917.87</v>
      </c>
      <c r="L205" s="11">
        <v>516788.75</v>
      </c>
      <c r="M205" s="11">
        <v>196966.25</v>
      </c>
      <c r="N205" s="11">
        <v>322922.23999999999</v>
      </c>
    </row>
    <row r="206" spans="1:14">
      <c r="A206" s="2">
        <f t="shared" si="3"/>
        <v>38865</v>
      </c>
      <c r="B206" s="11">
        <v>175115.12</v>
      </c>
      <c r="C206" s="11">
        <v>14172.87</v>
      </c>
      <c r="D206" s="11">
        <v>1559.95</v>
      </c>
      <c r="E206" s="11">
        <v>179179.92</v>
      </c>
      <c r="F206" s="11">
        <v>1152785.32</v>
      </c>
      <c r="G206" s="11">
        <v>775794.6</v>
      </c>
      <c r="H206" s="11">
        <v>387859.85</v>
      </c>
      <c r="I206" s="11">
        <v>29596.37</v>
      </c>
      <c r="J206" s="11">
        <v>124174</v>
      </c>
      <c r="K206" s="11">
        <v>181867.13</v>
      </c>
      <c r="L206" s="11">
        <v>512154.39</v>
      </c>
      <c r="M206" s="11">
        <v>198368.06</v>
      </c>
      <c r="N206" s="11">
        <v>329260.57</v>
      </c>
    </row>
    <row r="207" spans="1:14">
      <c r="A207" s="2">
        <f t="shared" si="3"/>
        <v>38835</v>
      </c>
      <c r="B207" s="11">
        <v>171187.41</v>
      </c>
      <c r="C207" s="11">
        <v>13734.87</v>
      </c>
      <c r="D207" s="11">
        <v>2128.1</v>
      </c>
      <c r="E207" s="11">
        <v>172978.38</v>
      </c>
      <c r="F207" s="11">
        <v>1136131.55</v>
      </c>
      <c r="G207" s="11">
        <v>767737.8</v>
      </c>
      <c r="H207" s="11">
        <v>377977.75</v>
      </c>
      <c r="I207" s="11">
        <v>28712.95</v>
      </c>
      <c r="J207" s="11">
        <v>120269</v>
      </c>
      <c r="K207" s="11">
        <v>181566.57</v>
      </c>
      <c r="L207" s="11">
        <v>507952.2</v>
      </c>
      <c r="M207" s="11">
        <v>197129.5</v>
      </c>
      <c r="N207" s="11">
        <v>327164.57</v>
      </c>
    </row>
    <row r="208" spans="1:14">
      <c r="A208" s="2">
        <f t="shared" si="3"/>
        <v>38804</v>
      </c>
      <c r="B208" s="11">
        <v>168451.8</v>
      </c>
      <c r="C208" s="11">
        <v>14360.09</v>
      </c>
      <c r="D208" s="11">
        <v>1462.28</v>
      </c>
      <c r="E208" s="11">
        <v>169975.56</v>
      </c>
      <c r="F208" s="11">
        <v>1110297.56</v>
      </c>
      <c r="G208" s="11">
        <v>750729.2</v>
      </c>
      <c r="H208" s="11">
        <v>367853.97</v>
      </c>
      <c r="I208" s="11">
        <v>29315.66</v>
      </c>
      <c r="J208" s="11">
        <v>121449</v>
      </c>
      <c r="K208" s="11">
        <v>184167.91</v>
      </c>
      <c r="L208" s="11">
        <v>504488.72</v>
      </c>
      <c r="M208" s="11">
        <v>195905.96</v>
      </c>
      <c r="N208" s="11">
        <v>330300.28000000003</v>
      </c>
    </row>
    <row r="209" spans="1:14">
      <c r="A209" s="2">
        <f t="shared" si="3"/>
        <v>38776</v>
      </c>
      <c r="B209" s="11">
        <v>159771.57</v>
      </c>
      <c r="C209" s="11">
        <v>13789.47</v>
      </c>
      <c r="D209" s="11">
        <v>770.1</v>
      </c>
      <c r="E209" s="11">
        <v>163771.56</v>
      </c>
      <c r="F209" s="11">
        <v>1092914.17</v>
      </c>
      <c r="G209" s="11">
        <v>741983.8</v>
      </c>
      <c r="H209" s="11">
        <v>361268.2</v>
      </c>
      <c r="I209" s="11">
        <v>29353.01</v>
      </c>
      <c r="J209" s="11">
        <v>119215</v>
      </c>
      <c r="K209" s="11">
        <v>181783.45</v>
      </c>
      <c r="L209" s="11">
        <v>495697.21</v>
      </c>
      <c r="M209" s="11">
        <v>193850.8</v>
      </c>
      <c r="N209" s="11">
        <v>332927.01</v>
      </c>
    </row>
    <row r="210" spans="1:14">
      <c r="A210" s="2">
        <f t="shared" si="3"/>
        <v>38745</v>
      </c>
      <c r="B210" s="11">
        <v>164877.16</v>
      </c>
      <c r="C210" s="11">
        <v>13840.67</v>
      </c>
      <c r="D210" s="11">
        <v>3183.26</v>
      </c>
      <c r="E210" s="11">
        <v>165081.09</v>
      </c>
      <c r="F210" s="11">
        <v>1114472.72</v>
      </c>
      <c r="G210" s="11">
        <v>742719.6</v>
      </c>
      <c r="H210" s="11">
        <v>378907.33</v>
      </c>
      <c r="I210" s="11">
        <v>30922.55</v>
      </c>
      <c r="J210" s="11">
        <v>124388</v>
      </c>
      <c r="K210" s="11">
        <v>185809.67</v>
      </c>
      <c r="L210" s="11">
        <v>483651.72</v>
      </c>
      <c r="M210" s="11">
        <v>193785.07</v>
      </c>
      <c r="N210" s="11">
        <v>340262.44</v>
      </c>
    </row>
    <row r="211" spans="1:14">
      <c r="A211" s="2">
        <f t="shared" si="3"/>
        <v>38714</v>
      </c>
      <c r="B211" s="11">
        <v>144527.57</v>
      </c>
      <c r="C211" s="11">
        <v>13620.06</v>
      </c>
      <c r="D211" s="11">
        <v>1579.72</v>
      </c>
      <c r="E211" s="11">
        <v>146229.07999999999</v>
      </c>
      <c r="F211" s="11">
        <v>1125257.77</v>
      </c>
      <c r="G211" s="11">
        <v>754873.1</v>
      </c>
      <c r="H211" s="11">
        <v>378766.6</v>
      </c>
      <c r="I211" s="11">
        <v>29325.78</v>
      </c>
      <c r="J211" s="11">
        <v>116630</v>
      </c>
      <c r="K211" s="11">
        <v>179570.93</v>
      </c>
      <c r="L211" s="11">
        <v>484416.31</v>
      </c>
      <c r="M211" s="11">
        <v>191406.54</v>
      </c>
      <c r="N211" s="11">
        <v>329647</v>
      </c>
    </row>
    <row r="212" spans="1:14">
      <c r="A212" s="2">
        <f t="shared" si="3"/>
        <v>38684</v>
      </c>
      <c r="B212" s="11">
        <v>151645.76000000001</v>
      </c>
      <c r="C212" s="11">
        <v>12875.29</v>
      </c>
      <c r="D212" s="11">
        <v>1375.63</v>
      </c>
      <c r="E212" s="11">
        <v>156307.01</v>
      </c>
      <c r="F212" s="11">
        <v>1087054.1399999999</v>
      </c>
      <c r="G212" s="11">
        <v>723661.3</v>
      </c>
      <c r="H212" s="11">
        <v>373511.56</v>
      </c>
      <c r="I212" s="11">
        <v>27802.54</v>
      </c>
      <c r="J212" s="11">
        <v>124108</v>
      </c>
      <c r="K212" s="11">
        <v>185113.21</v>
      </c>
      <c r="L212" s="11">
        <v>476526.19</v>
      </c>
      <c r="M212" s="11">
        <v>190920.57</v>
      </c>
      <c r="N212" s="11">
        <v>373726.22</v>
      </c>
    </row>
    <row r="213" spans="1:14">
      <c r="A213" s="2">
        <f t="shared" si="3"/>
        <v>38653</v>
      </c>
      <c r="B213" s="11">
        <v>158114.81</v>
      </c>
      <c r="C213" s="11">
        <v>15245.26</v>
      </c>
      <c r="D213" s="11">
        <v>1446.38</v>
      </c>
      <c r="E213" s="11">
        <v>161489.66</v>
      </c>
      <c r="F213" s="11">
        <v>1096817.31</v>
      </c>
      <c r="G213" s="11">
        <v>734526.4</v>
      </c>
      <c r="H213" s="11">
        <v>374032.47</v>
      </c>
      <c r="I213" s="11">
        <v>26242.29</v>
      </c>
      <c r="J213" s="11">
        <v>123207</v>
      </c>
      <c r="K213" s="11">
        <v>182720.56</v>
      </c>
      <c r="L213" s="11">
        <v>474024.94</v>
      </c>
      <c r="M213" s="11">
        <v>175699.19</v>
      </c>
      <c r="N213" s="11">
        <v>334090</v>
      </c>
    </row>
    <row r="214" spans="1:14">
      <c r="A214" s="2">
        <f t="shared" si="3"/>
        <v>38623</v>
      </c>
      <c r="B214" s="11">
        <v>148463.03</v>
      </c>
      <c r="C214" s="11">
        <v>13388.61</v>
      </c>
      <c r="D214" s="11">
        <v>1029.6600000000001</v>
      </c>
      <c r="E214" s="11">
        <v>153152.9</v>
      </c>
      <c r="F214" s="11">
        <v>1079934.8400000001</v>
      </c>
      <c r="G214" s="11">
        <v>722578.2</v>
      </c>
      <c r="H214" s="11">
        <v>370207.52</v>
      </c>
      <c r="I214" s="11">
        <v>26325.73</v>
      </c>
      <c r="J214" s="11">
        <v>123110</v>
      </c>
      <c r="K214" s="11">
        <v>178353.59</v>
      </c>
      <c r="L214" s="11">
        <v>470643.76</v>
      </c>
      <c r="M214" s="11">
        <v>175071.25</v>
      </c>
      <c r="N214" s="11">
        <v>338937.81</v>
      </c>
    </row>
    <row r="215" spans="1:14">
      <c r="A215" s="2">
        <f t="shared" si="3"/>
        <v>38592</v>
      </c>
      <c r="B215" s="11">
        <v>150518.89000000001</v>
      </c>
      <c r="C215" s="11">
        <v>12927.6</v>
      </c>
      <c r="D215" s="11">
        <v>545.30999999999995</v>
      </c>
      <c r="E215" s="11">
        <v>154609.82</v>
      </c>
      <c r="F215" s="11">
        <v>1065282.78</v>
      </c>
      <c r="G215" s="11">
        <v>715381.9</v>
      </c>
      <c r="H215" s="11">
        <v>362094.44</v>
      </c>
      <c r="I215" s="11">
        <v>25976.7</v>
      </c>
      <c r="J215" s="11">
        <v>120313</v>
      </c>
      <c r="K215" s="11">
        <v>172627.98</v>
      </c>
      <c r="L215" s="11">
        <v>467899</v>
      </c>
      <c r="M215" s="11">
        <v>174943</v>
      </c>
      <c r="N215" s="11">
        <v>324852</v>
      </c>
    </row>
    <row r="216" spans="1:14">
      <c r="A216" s="2">
        <f t="shared" si="3"/>
        <v>38561</v>
      </c>
      <c r="B216" s="11">
        <v>148380.67000000001</v>
      </c>
      <c r="C216" s="11">
        <v>12937.84</v>
      </c>
      <c r="D216" s="11">
        <v>563.32000000000005</v>
      </c>
      <c r="E216" s="11">
        <v>154344.53</v>
      </c>
      <c r="F216" s="11">
        <v>1074468.6499999999</v>
      </c>
      <c r="G216" s="11">
        <v>732220.3</v>
      </c>
      <c r="H216" s="11">
        <v>354838.65</v>
      </c>
      <c r="I216" s="11">
        <v>25831.8</v>
      </c>
      <c r="J216" s="11">
        <v>113758</v>
      </c>
      <c r="K216" s="11">
        <v>163576.72</v>
      </c>
      <c r="L216" s="11">
        <v>470169.02</v>
      </c>
      <c r="M216" s="11">
        <v>175412</v>
      </c>
      <c r="N216" s="11">
        <v>329582</v>
      </c>
    </row>
    <row r="217" spans="1:14">
      <c r="A217" s="2">
        <f t="shared" si="3"/>
        <v>38531</v>
      </c>
      <c r="B217" s="11">
        <v>148647.60999999999</v>
      </c>
      <c r="C217" s="11">
        <v>13503.94</v>
      </c>
      <c r="D217" s="11">
        <v>1291.1300000000001</v>
      </c>
      <c r="E217" s="11">
        <v>153907.56</v>
      </c>
      <c r="F217" s="11">
        <v>1083225.52</v>
      </c>
      <c r="G217" s="11">
        <v>725613.3</v>
      </c>
      <c r="H217" s="11">
        <v>367547.78</v>
      </c>
      <c r="I217" s="11">
        <v>27727.22</v>
      </c>
      <c r="J217" s="11">
        <v>116344</v>
      </c>
      <c r="K217" s="11">
        <v>169950.79</v>
      </c>
      <c r="L217" s="11">
        <v>471047.41</v>
      </c>
      <c r="M217" s="11">
        <v>171244.05</v>
      </c>
      <c r="N217" s="11">
        <v>343097</v>
      </c>
    </row>
    <row r="218" spans="1:14">
      <c r="A218" s="2">
        <f t="shared" si="3"/>
        <v>38500</v>
      </c>
      <c r="B218" s="11">
        <v>149161.65</v>
      </c>
      <c r="C218" s="11">
        <v>11612.16</v>
      </c>
      <c r="D218" s="11">
        <v>966.28</v>
      </c>
      <c r="E218" s="11">
        <v>153119.99</v>
      </c>
      <c r="F218" s="11">
        <v>1072967.8899999999</v>
      </c>
      <c r="G218" s="11">
        <v>718030.5</v>
      </c>
      <c r="H218" s="11">
        <v>368005.92</v>
      </c>
      <c r="I218" s="11">
        <v>26059.74</v>
      </c>
      <c r="J218" s="11">
        <v>119135</v>
      </c>
      <c r="K218" s="11">
        <v>171619.25</v>
      </c>
      <c r="L218" s="11">
        <v>464568.81</v>
      </c>
      <c r="M218" s="11">
        <v>170435.89</v>
      </c>
      <c r="N218" s="11">
        <v>332932.94</v>
      </c>
    </row>
    <row r="219" spans="1:14">
      <c r="A219" s="2">
        <f t="shared" si="3"/>
        <v>38470</v>
      </c>
      <c r="B219" s="11">
        <v>141033.9</v>
      </c>
      <c r="C219" s="11">
        <v>12029.73</v>
      </c>
      <c r="D219" s="11">
        <v>340.82</v>
      </c>
      <c r="E219" s="11">
        <v>146361.18</v>
      </c>
      <c r="F219" s="11">
        <v>1043459.26</v>
      </c>
      <c r="G219" s="11">
        <v>711434.5</v>
      </c>
      <c r="H219" s="11">
        <v>344259.2</v>
      </c>
      <c r="I219" s="11">
        <v>25289.17</v>
      </c>
      <c r="J219" s="11">
        <v>117239</v>
      </c>
      <c r="K219" s="11">
        <v>170618.86</v>
      </c>
      <c r="L219" s="11">
        <v>460336.67</v>
      </c>
      <c r="M219" s="11">
        <v>168748.69</v>
      </c>
      <c r="N219" s="11">
        <v>316572</v>
      </c>
    </row>
    <row r="220" spans="1:14">
      <c r="A220" s="2">
        <f t="shared" si="3"/>
        <v>38439</v>
      </c>
      <c r="B220" s="11">
        <v>138526.6</v>
      </c>
      <c r="C220" s="11">
        <v>11268.28</v>
      </c>
      <c r="D220" s="11">
        <v>377.19</v>
      </c>
      <c r="E220" s="11">
        <v>143892.47</v>
      </c>
      <c r="F220" s="11">
        <v>1029665.55</v>
      </c>
      <c r="G220" s="11">
        <v>697861.3</v>
      </c>
      <c r="H220" s="11">
        <v>344473.07</v>
      </c>
      <c r="I220" s="11">
        <v>26016.36</v>
      </c>
      <c r="J220" s="11">
        <v>110426</v>
      </c>
      <c r="K220" s="11">
        <v>161458.01</v>
      </c>
      <c r="L220" s="11">
        <v>458198.32</v>
      </c>
      <c r="M220" s="11">
        <v>166902.94</v>
      </c>
      <c r="N220" s="11">
        <v>319119.83</v>
      </c>
    </row>
    <row r="221" spans="1:14">
      <c r="A221" s="2">
        <f t="shared" si="3"/>
        <v>38411</v>
      </c>
      <c r="B221" s="11">
        <v>140869.34</v>
      </c>
      <c r="C221" s="11">
        <v>11060.2</v>
      </c>
      <c r="D221" s="11">
        <v>403.17</v>
      </c>
      <c r="E221" s="11">
        <v>147242.57999999999</v>
      </c>
      <c r="F221" s="11">
        <v>1012558.4</v>
      </c>
      <c r="G221" s="11">
        <v>693654.6</v>
      </c>
      <c r="H221" s="11">
        <v>331838.53000000003</v>
      </c>
      <c r="I221" s="11">
        <v>25100.5</v>
      </c>
      <c r="J221" s="11">
        <v>110799</v>
      </c>
      <c r="K221" s="11">
        <v>157395.68</v>
      </c>
      <c r="L221" s="11">
        <v>451423.28</v>
      </c>
      <c r="M221" s="11">
        <v>165142.07</v>
      </c>
      <c r="N221" s="11">
        <v>308559.01</v>
      </c>
    </row>
    <row r="222" spans="1:14">
      <c r="A222" s="2">
        <f t="shared" si="3"/>
        <v>38380</v>
      </c>
      <c r="B222" s="11">
        <v>132234.13</v>
      </c>
      <c r="C222" s="11">
        <v>10686.74</v>
      </c>
      <c r="D222" s="11">
        <v>309.75</v>
      </c>
      <c r="E222" s="11">
        <v>137622.54999999999</v>
      </c>
      <c r="F222" s="11">
        <v>1021883.69</v>
      </c>
      <c r="G222" s="11">
        <v>697397.5</v>
      </c>
      <c r="H222" s="11">
        <v>334962.26</v>
      </c>
      <c r="I222" s="11">
        <v>26412.880000000001</v>
      </c>
      <c r="J222" s="11">
        <v>114665</v>
      </c>
      <c r="K222" s="11">
        <v>163626.94</v>
      </c>
      <c r="L222" s="11">
        <v>442681.83</v>
      </c>
      <c r="M222" s="11">
        <v>165153.93</v>
      </c>
      <c r="N222" s="11">
        <v>311763.12</v>
      </c>
    </row>
    <row r="223" spans="1:14">
      <c r="A223" s="2">
        <f t="shared" si="3"/>
        <v>38349</v>
      </c>
      <c r="B223" s="11">
        <v>124008.32000000001</v>
      </c>
      <c r="C223" s="11">
        <v>12639.09</v>
      </c>
      <c r="D223" s="11">
        <v>588.03</v>
      </c>
      <c r="E223" s="11">
        <v>126294.31</v>
      </c>
      <c r="F223" s="11">
        <v>1037836.07</v>
      </c>
      <c r="G223" s="11">
        <v>707002.8</v>
      </c>
      <c r="H223" s="11">
        <v>343197.52</v>
      </c>
      <c r="I223" s="11">
        <v>25063.35</v>
      </c>
      <c r="J223" s="11">
        <v>110067</v>
      </c>
      <c r="K223" s="11">
        <v>157033.4</v>
      </c>
      <c r="L223" s="11">
        <v>442994.1</v>
      </c>
      <c r="M223" s="11">
        <v>163181.10999999999</v>
      </c>
      <c r="N223" s="11">
        <v>297636.08</v>
      </c>
    </row>
    <row r="224" spans="1:14">
      <c r="A224" s="2">
        <f t="shared" si="3"/>
        <v>38319</v>
      </c>
      <c r="B224" s="11">
        <v>129748.59</v>
      </c>
      <c r="C224" s="11">
        <v>10435.280000000001</v>
      </c>
      <c r="D224" s="11">
        <v>389.02</v>
      </c>
      <c r="E224" s="11">
        <v>134442.4</v>
      </c>
      <c r="F224" s="11">
        <v>999432.84</v>
      </c>
      <c r="G224" s="11">
        <v>676338.3</v>
      </c>
      <c r="H224" s="11">
        <v>335767.47</v>
      </c>
      <c r="I224" s="11">
        <v>24231.56</v>
      </c>
      <c r="J224" s="11">
        <v>115647</v>
      </c>
      <c r="K224" s="11">
        <v>157485.78</v>
      </c>
      <c r="L224" s="11">
        <v>438181.07</v>
      </c>
      <c r="M224" s="11">
        <v>162393.97</v>
      </c>
      <c r="N224" s="11">
        <v>324162.03999999998</v>
      </c>
    </row>
    <row r="225" spans="1:14">
      <c r="A225" s="2">
        <f t="shared" si="3"/>
        <v>38288</v>
      </c>
      <c r="B225" s="11">
        <v>121016.9</v>
      </c>
      <c r="C225" s="11">
        <v>10617.96</v>
      </c>
      <c r="D225" s="11">
        <v>403.91</v>
      </c>
      <c r="E225" s="11">
        <v>125937.52</v>
      </c>
      <c r="F225" s="11">
        <v>1016241.71</v>
      </c>
      <c r="G225" s="11">
        <v>686884.2</v>
      </c>
      <c r="H225" s="11">
        <v>342305.27</v>
      </c>
      <c r="I225" s="11">
        <v>24493.08</v>
      </c>
      <c r="J225" s="11">
        <v>106038</v>
      </c>
      <c r="K225" s="11">
        <v>148736.89000000001</v>
      </c>
      <c r="L225" s="11">
        <v>437176.93</v>
      </c>
      <c r="M225" s="11">
        <v>161854.47</v>
      </c>
      <c r="N225" s="11">
        <v>284455.92</v>
      </c>
    </row>
    <row r="226" spans="1:14">
      <c r="A226" s="2">
        <f t="shared" si="3"/>
        <v>38258</v>
      </c>
      <c r="B226" s="11">
        <v>117797.45</v>
      </c>
      <c r="C226" s="11">
        <v>11692.33</v>
      </c>
      <c r="D226" s="11">
        <v>447.97</v>
      </c>
      <c r="E226" s="11">
        <v>122448.36</v>
      </c>
      <c r="F226" s="11">
        <v>998713.02</v>
      </c>
      <c r="G226" s="11">
        <v>675395</v>
      </c>
      <c r="H226" s="11">
        <v>336978.24</v>
      </c>
      <c r="I226" s="11">
        <v>23987.87</v>
      </c>
      <c r="J226" s="11">
        <v>110139</v>
      </c>
      <c r="K226" s="11">
        <v>155913.72</v>
      </c>
      <c r="L226" s="11">
        <v>431000.51</v>
      </c>
      <c r="M226" s="11">
        <v>161669.19</v>
      </c>
      <c r="N226" s="11">
        <v>284028.87</v>
      </c>
    </row>
    <row r="227" spans="1:14">
      <c r="A227" s="2">
        <f t="shared" si="3"/>
        <v>38227</v>
      </c>
      <c r="B227" s="11">
        <v>128109.69</v>
      </c>
      <c r="C227" s="11">
        <v>10573.25</v>
      </c>
      <c r="D227" s="11">
        <v>479.17</v>
      </c>
      <c r="E227" s="11">
        <v>133739.41</v>
      </c>
      <c r="F227" s="11">
        <v>988777.05</v>
      </c>
      <c r="G227" s="11">
        <v>665245</v>
      </c>
      <c r="H227" s="11">
        <v>337312.92</v>
      </c>
      <c r="I227" s="11">
        <v>24177.58</v>
      </c>
      <c r="J227" s="11">
        <v>114556</v>
      </c>
      <c r="K227" s="11">
        <v>159737.75</v>
      </c>
      <c r="L227" s="11">
        <v>423527.08</v>
      </c>
      <c r="M227" s="11">
        <v>161462.68</v>
      </c>
      <c r="N227" s="11">
        <v>267742.55</v>
      </c>
    </row>
    <row r="228" spans="1:14">
      <c r="A228" s="2">
        <f t="shared" si="3"/>
        <v>38196</v>
      </c>
      <c r="B228" s="11">
        <v>121989.66</v>
      </c>
      <c r="C228" s="11">
        <v>10412.52</v>
      </c>
      <c r="D228" s="11">
        <v>374.84</v>
      </c>
      <c r="E228" s="11">
        <v>128835.34</v>
      </c>
      <c r="F228" s="11">
        <v>1001711.54</v>
      </c>
      <c r="G228" s="11">
        <v>680541.5</v>
      </c>
      <c r="H228" s="11">
        <v>335540.32</v>
      </c>
      <c r="I228" s="11">
        <v>23676.15</v>
      </c>
      <c r="J228" s="11">
        <v>111720</v>
      </c>
      <c r="K228" s="11">
        <v>160507.06</v>
      </c>
      <c r="L228" s="11">
        <v>421826.21</v>
      </c>
      <c r="M228" s="11">
        <v>161468.62</v>
      </c>
      <c r="N228" s="11">
        <v>272625.53999999998</v>
      </c>
    </row>
    <row r="229" spans="1:14">
      <c r="A229" s="2">
        <f t="shared" si="3"/>
        <v>38166</v>
      </c>
      <c r="B229" s="11">
        <v>124082</v>
      </c>
      <c r="C229" s="11">
        <v>10261.09</v>
      </c>
      <c r="D229" s="11">
        <v>640.30999999999995</v>
      </c>
      <c r="E229" s="11">
        <v>128987.53</v>
      </c>
      <c r="F229" s="11">
        <v>983134.24</v>
      </c>
      <c r="G229" s="11">
        <v>679957.4</v>
      </c>
      <c r="H229" s="11">
        <v>317461.90000000002</v>
      </c>
      <c r="I229" s="11">
        <v>23914.55</v>
      </c>
      <c r="J229" s="11">
        <v>113381</v>
      </c>
      <c r="K229" s="11">
        <v>158388.46</v>
      </c>
      <c r="L229" s="11">
        <v>419267.09</v>
      </c>
      <c r="M229" s="11">
        <v>161630.41</v>
      </c>
      <c r="N229" s="11">
        <v>290067.88</v>
      </c>
    </row>
    <row r="230" spans="1:14">
      <c r="A230" s="2">
        <f t="shared" si="3"/>
        <v>38135</v>
      </c>
      <c r="B230" s="11">
        <v>127180.18</v>
      </c>
      <c r="C230" s="11">
        <v>10942.36</v>
      </c>
      <c r="D230" s="11">
        <v>1520.47</v>
      </c>
      <c r="E230" s="11">
        <v>130820.48</v>
      </c>
      <c r="F230" s="11">
        <v>987967.4</v>
      </c>
      <c r="G230" s="11">
        <v>671367.7</v>
      </c>
      <c r="H230" s="11">
        <v>329067.49</v>
      </c>
      <c r="I230" s="11">
        <v>24101.85</v>
      </c>
      <c r="J230" s="11">
        <v>111584</v>
      </c>
      <c r="K230" s="11">
        <v>156256.43</v>
      </c>
      <c r="L230" s="11">
        <v>419993.62</v>
      </c>
      <c r="M230" s="11">
        <v>161517.70000000001</v>
      </c>
      <c r="N230" s="11">
        <v>281575.26</v>
      </c>
    </row>
    <row r="231" spans="1:14">
      <c r="A231" s="2">
        <f t="shared" si="3"/>
        <v>38105</v>
      </c>
      <c r="B231" s="11">
        <v>120344.65</v>
      </c>
      <c r="C231" s="11">
        <v>10500.8</v>
      </c>
      <c r="D231" s="11">
        <v>484.01</v>
      </c>
      <c r="E231" s="11">
        <v>126338.19</v>
      </c>
      <c r="F231" s="11">
        <v>986945.42</v>
      </c>
      <c r="G231" s="11">
        <v>671819</v>
      </c>
      <c r="H231" s="11">
        <v>327138.55</v>
      </c>
      <c r="I231" s="11">
        <v>24409.14</v>
      </c>
      <c r="J231" s="11">
        <v>114483</v>
      </c>
      <c r="K231" s="11">
        <v>159241.13</v>
      </c>
      <c r="L231" s="11">
        <v>413977.5</v>
      </c>
      <c r="M231" s="11">
        <v>161437.81</v>
      </c>
      <c r="N231" s="11">
        <v>286210.37</v>
      </c>
    </row>
    <row r="232" spans="1:14">
      <c r="A232" s="2">
        <f t="shared" si="3"/>
        <v>38074</v>
      </c>
      <c r="B232" s="11">
        <v>126017.26</v>
      </c>
      <c r="C232" s="11">
        <v>12262.52</v>
      </c>
      <c r="D232" s="11">
        <v>1231.22</v>
      </c>
      <c r="E232" s="11">
        <v>129437.48</v>
      </c>
      <c r="F232" s="11">
        <v>981715.54</v>
      </c>
      <c r="G232" s="11">
        <v>664207.80000000005</v>
      </c>
      <c r="H232" s="11">
        <v>329024.12</v>
      </c>
      <c r="I232" s="11">
        <v>24846.3</v>
      </c>
      <c r="J232" s="11">
        <v>117433</v>
      </c>
      <c r="K232" s="11">
        <v>162021.65</v>
      </c>
      <c r="L232" s="11">
        <v>411170.93</v>
      </c>
      <c r="M232" s="11">
        <v>160934.23000000001</v>
      </c>
      <c r="N232" s="11">
        <v>296836.38</v>
      </c>
    </row>
    <row r="233" spans="1:14">
      <c r="A233" s="2">
        <f t="shared" si="3"/>
        <v>38045</v>
      </c>
      <c r="B233" s="11">
        <v>126951.97</v>
      </c>
      <c r="C233" s="11">
        <v>10690.4</v>
      </c>
      <c r="D233" s="11">
        <v>2128.27</v>
      </c>
      <c r="E233" s="11">
        <v>131607.15</v>
      </c>
      <c r="F233" s="11">
        <v>966143.85</v>
      </c>
      <c r="G233" s="11">
        <v>656352.30000000005</v>
      </c>
      <c r="H233" s="11">
        <v>321054.95</v>
      </c>
      <c r="I233" s="11">
        <v>24878.94</v>
      </c>
      <c r="J233" s="11">
        <v>113808</v>
      </c>
      <c r="K233" s="11">
        <v>153312.63</v>
      </c>
      <c r="L233" s="11">
        <v>402231.46</v>
      </c>
      <c r="M233" s="11">
        <v>158980.26</v>
      </c>
      <c r="N233" s="11">
        <v>284303.83</v>
      </c>
    </row>
    <row r="234" spans="1:14">
      <c r="A234" s="2">
        <f t="shared" si="3"/>
        <v>38014</v>
      </c>
      <c r="B234" s="11">
        <v>122356.75</v>
      </c>
      <c r="C234" s="11">
        <v>11653.76</v>
      </c>
      <c r="D234" s="11">
        <v>2345.2199999999998</v>
      </c>
      <c r="E234" s="11">
        <v>124307.7</v>
      </c>
      <c r="F234" s="11">
        <v>974258.42</v>
      </c>
      <c r="G234" s="11">
        <v>661926.1</v>
      </c>
      <c r="H234" s="11">
        <v>323449.65000000002</v>
      </c>
      <c r="I234" s="11">
        <v>24673.41</v>
      </c>
      <c r="J234" s="11">
        <v>115358</v>
      </c>
      <c r="K234" s="11">
        <v>159117.39000000001</v>
      </c>
      <c r="L234" s="11">
        <v>399519.37</v>
      </c>
      <c r="M234" s="11">
        <v>158496.28</v>
      </c>
      <c r="N234" s="11">
        <v>292234.92</v>
      </c>
    </row>
    <row r="235" spans="1:14">
      <c r="A235" s="2">
        <f t="shared" si="3"/>
        <v>37983</v>
      </c>
      <c r="B235" s="11">
        <v>113283.05</v>
      </c>
      <c r="C235" s="11">
        <v>9265.74</v>
      </c>
      <c r="D235" s="11">
        <v>19.739999999999998</v>
      </c>
      <c r="E235" s="11">
        <v>118927.89</v>
      </c>
      <c r="F235" s="11">
        <v>978692.18</v>
      </c>
      <c r="G235" s="11">
        <v>675290.7</v>
      </c>
      <c r="H235" s="11">
        <v>313558.76</v>
      </c>
      <c r="I235" s="11">
        <v>24399.4</v>
      </c>
      <c r="J235" s="11">
        <v>111424</v>
      </c>
      <c r="K235" s="11">
        <v>159227.26</v>
      </c>
      <c r="L235" s="11">
        <v>399958.48</v>
      </c>
      <c r="M235" s="11">
        <v>156725.99</v>
      </c>
      <c r="N235" s="11">
        <v>267992.88</v>
      </c>
    </row>
    <row r="236" spans="1:14">
      <c r="A236" s="2">
        <f t="shared" si="3"/>
        <v>37953</v>
      </c>
      <c r="B236" s="11">
        <v>114786.17</v>
      </c>
      <c r="C236" s="11">
        <v>9185.4599999999991</v>
      </c>
      <c r="D236" s="11">
        <v>18.850000000000001</v>
      </c>
      <c r="E236" s="11">
        <v>121584.92</v>
      </c>
      <c r="F236" s="11">
        <v>953251.53</v>
      </c>
      <c r="G236" s="11">
        <v>659901.9</v>
      </c>
      <c r="H236" s="11">
        <v>304324.5</v>
      </c>
      <c r="I236" s="11">
        <v>25366.880000000001</v>
      </c>
      <c r="J236" s="11">
        <v>113946</v>
      </c>
      <c r="K236" s="11">
        <v>160559.21</v>
      </c>
      <c r="L236" s="11">
        <v>388692.36</v>
      </c>
      <c r="M236" s="11">
        <v>153986.16</v>
      </c>
      <c r="N236" s="11">
        <v>266948.13</v>
      </c>
    </row>
    <row r="237" spans="1:14">
      <c r="A237" s="2">
        <f t="shared" si="3"/>
        <v>37922</v>
      </c>
      <c r="B237" s="11">
        <v>109038.05</v>
      </c>
      <c r="C237" s="11">
        <v>9349.65</v>
      </c>
      <c r="D237" s="11">
        <v>155.15</v>
      </c>
      <c r="E237" s="11">
        <v>115077.41</v>
      </c>
      <c r="F237" s="11">
        <v>951117.58</v>
      </c>
      <c r="G237" s="11">
        <v>661364.5</v>
      </c>
      <c r="H237" s="11">
        <v>300866.46000000002</v>
      </c>
      <c r="I237" s="11">
        <v>25309.22</v>
      </c>
      <c r="J237" s="11">
        <v>113143</v>
      </c>
      <c r="K237" s="11">
        <v>162119.29</v>
      </c>
      <c r="L237" s="11">
        <v>386890.43</v>
      </c>
      <c r="M237" s="11">
        <v>153793.99</v>
      </c>
      <c r="N237" s="11">
        <v>262314.15999999997</v>
      </c>
    </row>
    <row r="238" spans="1:14">
      <c r="A238" s="2">
        <f t="shared" si="3"/>
        <v>37892</v>
      </c>
      <c r="B238" s="11">
        <v>117819.09</v>
      </c>
      <c r="C238" s="11">
        <v>10622.5</v>
      </c>
      <c r="D238" s="11">
        <v>614.16999999999996</v>
      </c>
      <c r="E238" s="11">
        <v>122595.66</v>
      </c>
      <c r="F238" s="11">
        <v>944852.45</v>
      </c>
      <c r="G238" s="11">
        <v>655924.1</v>
      </c>
      <c r="H238" s="11">
        <v>301005.46000000002</v>
      </c>
      <c r="I238" s="11">
        <v>24610.080000000002</v>
      </c>
      <c r="J238" s="11">
        <v>108876</v>
      </c>
      <c r="K238" s="11">
        <v>153967.51999999999</v>
      </c>
      <c r="L238" s="11">
        <v>383934.41</v>
      </c>
      <c r="M238" s="11">
        <v>153926.04999999999</v>
      </c>
      <c r="N238" s="11">
        <v>271372.55</v>
      </c>
    </row>
    <row r="239" spans="1:14">
      <c r="A239" s="2">
        <f t="shared" si="3"/>
        <v>37861</v>
      </c>
      <c r="B239" s="11">
        <v>116475.18</v>
      </c>
      <c r="C239" s="11">
        <v>10230.85</v>
      </c>
      <c r="D239" s="11">
        <v>1083.6199999999999</v>
      </c>
      <c r="E239" s="11">
        <v>123751.16</v>
      </c>
      <c r="F239" s="11">
        <v>926590.93</v>
      </c>
      <c r="G239" s="11">
        <v>651806.4</v>
      </c>
      <c r="H239" s="11">
        <v>287584.05</v>
      </c>
      <c r="I239" s="11">
        <v>24394.02</v>
      </c>
      <c r="J239" s="11">
        <v>109678</v>
      </c>
      <c r="K239" s="11">
        <v>158194.28</v>
      </c>
      <c r="L239" s="11">
        <v>381445.18</v>
      </c>
      <c r="M239" s="11">
        <v>153421.01999999999</v>
      </c>
      <c r="N239" s="11">
        <v>248412.64</v>
      </c>
    </row>
    <row r="240" spans="1:14">
      <c r="A240" s="2">
        <f t="shared" si="3"/>
        <v>37830</v>
      </c>
      <c r="B240" s="11">
        <v>116972.31</v>
      </c>
      <c r="C240" s="11">
        <v>9375.7999999999993</v>
      </c>
      <c r="D240" s="11">
        <v>1462.27</v>
      </c>
      <c r="E240" s="11">
        <v>123603.99</v>
      </c>
      <c r="F240" s="11">
        <v>929853.69</v>
      </c>
      <c r="G240" s="11">
        <v>657042.30000000005</v>
      </c>
      <c r="H240" s="11">
        <v>285707.39</v>
      </c>
      <c r="I240" s="11">
        <v>23337.91</v>
      </c>
      <c r="J240" s="11">
        <v>105728</v>
      </c>
      <c r="K240" s="11">
        <v>152223.22</v>
      </c>
      <c r="L240" s="11">
        <v>380378.34</v>
      </c>
      <c r="M240" s="11">
        <v>153269.78</v>
      </c>
      <c r="N240" s="11">
        <v>271582.49</v>
      </c>
    </row>
    <row r="241" spans="1:14">
      <c r="A241" s="2">
        <f t="shared" si="3"/>
        <v>37800</v>
      </c>
      <c r="B241" s="11">
        <v>121538.81</v>
      </c>
      <c r="C241" s="11">
        <v>10587.91</v>
      </c>
      <c r="D241" s="11">
        <v>486.49</v>
      </c>
      <c r="E241" s="11">
        <v>126886.3</v>
      </c>
      <c r="F241" s="11">
        <v>928764.03</v>
      </c>
      <c r="G241" s="11">
        <v>661533.4</v>
      </c>
      <c r="H241" s="11">
        <v>278009.7</v>
      </c>
      <c r="I241" s="11">
        <v>24043.25</v>
      </c>
      <c r="J241" s="11">
        <v>105072</v>
      </c>
      <c r="K241" s="11">
        <v>152759.46</v>
      </c>
      <c r="L241" s="11">
        <v>380512.41</v>
      </c>
      <c r="M241" s="11">
        <v>149845.59</v>
      </c>
      <c r="N241" s="11">
        <v>290433.84000000003</v>
      </c>
    </row>
    <row r="242" spans="1:14">
      <c r="A242" s="2">
        <f t="shared" si="3"/>
        <v>37769</v>
      </c>
      <c r="B242" s="11">
        <v>119135.22</v>
      </c>
      <c r="C242" s="11">
        <v>11494.42</v>
      </c>
      <c r="D242" s="11">
        <v>172.52</v>
      </c>
      <c r="E242" s="11">
        <v>125209.33</v>
      </c>
      <c r="F242" s="11">
        <v>926634.81</v>
      </c>
      <c r="G242" s="11">
        <v>659112.5</v>
      </c>
      <c r="H242" s="11">
        <v>276170.77</v>
      </c>
      <c r="I242" s="11">
        <v>24133.66</v>
      </c>
      <c r="J242" s="11">
        <v>100749</v>
      </c>
      <c r="K242" s="11">
        <v>146304.98000000001</v>
      </c>
      <c r="L242" s="11">
        <v>379615.31</v>
      </c>
      <c r="M242" s="11">
        <v>149826.76999999999</v>
      </c>
      <c r="N242" s="11">
        <v>285832.96999999997</v>
      </c>
    </row>
    <row r="243" spans="1:14">
      <c r="A243" s="2">
        <f t="shared" si="3"/>
        <v>37739</v>
      </c>
      <c r="B243" s="11">
        <v>114304.17</v>
      </c>
      <c r="C243" s="11">
        <v>11963.16</v>
      </c>
      <c r="D243" s="11">
        <v>86.07</v>
      </c>
      <c r="E243" s="11">
        <v>120796.98</v>
      </c>
      <c r="F243" s="11">
        <v>916224.59</v>
      </c>
      <c r="G243" s="11">
        <v>655459.6</v>
      </c>
      <c r="H243" s="11">
        <v>270501.46000000002</v>
      </c>
      <c r="I243" s="11">
        <v>23741.52</v>
      </c>
      <c r="J243" s="11">
        <v>102149</v>
      </c>
      <c r="K243" s="11">
        <v>148652.62</v>
      </c>
      <c r="L243" s="11">
        <v>375522.75</v>
      </c>
      <c r="M243" s="11">
        <v>149092.01999999999</v>
      </c>
      <c r="N243" s="11">
        <v>277174.2</v>
      </c>
    </row>
    <row r="244" spans="1:14">
      <c r="A244" s="2">
        <f t="shared" si="3"/>
        <v>37708</v>
      </c>
      <c r="B244" s="11">
        <v>118738.06</v>
      </c>
      <c r="C244" s="11">
        <v>12746</v>
      </c>
      <c r="D244" s="11">
        <v>83.74</v>
      </c>
      <c r="E244" s="11">
        <v>126613.88</v>
      </c>
      <c r="F244" s="11">
        <v>916361.43</v>
      </c>
      <c r="G244" s="11">
        <v>645912.69999999995</v>
      </c>
      <c r="H244" s="11">
        <v>279401.21999999997</v>
      </c>
      <c r="I244" s="11">
        <v>24657.47</v>
      </c>
      <c r="J244" s="11">
        <v>105636</v>
      </c>
      <c r="K244" s="11">
        <v>152190.53</v>
      </c>
      <c r="L244" s="11">
        <v>373332.1</v>
      </c>
      <c r="M244" s="11">
        <v>147815.14000000001</v>
      </c>
      <c r="N244" s="11">
        <v>276280.65000000002</v>
      </c>
    </row>
    <row r="245" spans="1:14">
      <c r="A245" s="2">
        <f t="shared" si="3"/>
        <v>37680</v>
      </c>
      <c r="B245" s="11">
        <v>124812.14</v>
      </c>
      <c r="C245" s="11">
        <v>13361.47</v>
      </c>
      <c r="D245" s="11">
        <v>83.37</v>
      </c>
      <c r="E245" s="11">
        <v>132019.51999999999</v>
      </c>
      <c r="F245" s="11">
        <v>916151.25</v>
      </c>
      <c r="G245" s="11">
        <v>639474.6</v>
      </c>
      <c r="H245" s="11">
        <v>288340.03000000003</v>
      </c>
      <c r="I245" s="11">
        <v>23927.72</v>
      </c>
      <c r="J245" s="11">
        <v>104605</v>
      </c>
      <c r="K245" s="11">
        <v>150750.89000000001</v>
      </c>
      <c r="L245" s="11">
        <v>368647.65</v>
      </c>
      <c r="M245" s="11">
        <v>146877.76999999999</v>
      </c>
      <c r="N245" s="11">
        <v>271538.77</v>
      </c>
    </row>
    <row r="246" spans="1:14">
      <c r="A246" s="2">
        <f t="shared" si="3"/>
        <v>37649</v>
      </c>
      <c r="B246" s="11">
        <v>116820.6</v>
      </c>
      <c r="C246" s="11">
        <v>11615.57</v>
      </c>
      <c r="D246" s="11">
        <v>881.78</v>
      </c>
      <c r="E246" s="11">
        <v>122897.58</v>
      </c>
      <c r="F246" s="11">
        <v>917337.77</v>
      </c>
      <c r="G246" s="11">
        <v>636716.80000000005</v>
      </c>
      <c r="H246" s="11">
        <v>290964.71999999997</v>
      </c>
      <c r="I246" s="11">
        <v>24386.07</v>
      </c>
      <c r="J246" s="11">
        <v>101395</v>
      </c>
      <c r="K246" s="11">
        <v>147043.07</v>
      </c>
      <c r="L246" s="11">
        <v>367583.86</v>
      </c>
      <c r="M246" s="11">
        <v>147115.21</v>
      </c>
      <c r="N246" s="11">
        <v>271707.63</v>
      </c>
    </row>
    <row r="247" spans="1:14">
      <c r="A247" s="2">
        <f t="shared" si="3"/>
        <v>37618</v>
      </c>
      <c r="B247" s="11">
        <v>104335.11</v>
      </c>
      <c r="C247" s="11">
        <v>9273.61</v>
      </c>
      <c r="D247" s="11">
        <v>14.07</v>
      </c>
      <c r="E247" s="11">
        <v>111653.99</v>
      </c>
      <c r="F247" s="11">
        <v>943475.6</v>
      </c>
      <c r="G247" s="11">
        <v>672329.8</v>
      </c>
      <c r="H247" s="11">
        <v>285275.42</v>
      </c>
      <c r="I247" s="11">
        <v>23847.35</v>
      </c>
      <c r="J247" s="11">
        <v>94120</v>
      </c>
      <c r="K247" s="11">
        <v>146026.07999999999</v>
      </c>
      <c r="L247" s="11">
        <v>367969.15</v>
      </c>
      <c r="M247" s="11">
        <v>146172.38</v>
      </c>
      <c r="N247" s="11">
        <v>261594.59</v>
      </c>
    </row>
    <row r="248" spans="1:14">
      <c r="A248" s="2">
        <f t="shared" si="3"/>
        <v>37588</v>
      </c>
      <c r="B248" s="11">
        <v>106831.74</v>
      </c>
      <c r="C248" s="11">
        <v>9805.85</v>
      </c>
      <c r="D248" s="11">
        <v>60.01</v>
      </c>
      <c r="E248" s="11">
        <v>114836.73</v>
      </c>
      <c r="F248" s="11">
        <v>872073.63</v>
      </c>
      <c r="G248" s="11">
        <v>632466.6</v>
      </c>
      <c r="H248" s="11">
        <v>255832.36</v>
      </c>
      <c r="I248" s="11">
        <v>22901.08</v>
      </c>
      <c r="J248" s="11">
        <v>93049</v>
      </c>
      <c r="K248" s="11">
        <v>147219.26999999999</v>
      </c>
      <c r="L248" s="11">
        <v>364817.35</v>
      </c>
      <c r="M248" s="11">
        <v>147019.20000000001</v>
      </c>
      <c r="N248" s="11">
        <v>261700</v>
      </c>
    </row>
    <row r="249" spans="1:14">
      <c r="A249" s="2">
        <f t="shared" si="3"/>
        <v>37557</v>
      </c>
      <c r="B249" s="11">
        <v>106544.11</v>
      </c>
      <c r="C249" s="11">
        <v>11059.22</v>
      </c>
      <c r="D249" s="11">
        <v>60.01</v>
      </c>
      <c r="E249" s="11">
        <v>113167.93</v>
      </c>
      <c r="F249" s="11">
        <v>854203.13</v>
      </c>
      <c r="G249" s="11">
        <v>632110.30000000005</v>
      </c>
      <c r="H249" s="11">
        <v>239598.68</v>
      </c>
      <c r="I249" s="11">
        <v>22071.46</v>
      </c>
      <c r="J249" s="11">
        <v>93210</v>
      </c>
      <c r="K249" s="11">
        <v>145016.67000000001</v>
      </c>
      <c r="L249" s="11">
        <v>364076.96</v>
      </c>
      <c r="M249" s="11">
        <v>147720.06</v>
      </c>
      <c r="N249" s="11">
        <v>247919.5</v>
      </c>
    </row>
    <row r="250" spans="1:14">
      <c r="A250" s="2">
        <f t="shared" si="3"/>
        <v>37527</v>
      </c>
      <c r="B250" s="11">
        <v>105791.31</v>
      </c>
      <c r="C250" s="11">
        <v>9483.3700000000008</v>
      </c>
      <c r="D250" s="11">
        <v>450.5</v>
      </c>
      <c r="E250" s="11">
        <v>113342.24</v>
      </c>
      <c r="F250" s="11">
        <v>838575.45</v>
      </c>
      <c r="G250" s="11">
        <v>628330.4</v>
      </c>
      <c r="H250" s="11">
        <v>225096.25</v>
      </c>
      <c r="I250" s="11">
        <v>23066.080000000002</v>
      </c>
      <c r="J250" s="11">
        <v>90274</v>
      </c>
      <c r="K250" s="11">
        <v>141453.20000000001</v>
      </c>
      <c r="L250" s="11">
        <v>362979.95</v>
      </c>
      <c r="M250" s="11">
        <v>146215.53</v>
      </c>
      <c r="N250" s="11">
        <v>250360.03</v>
      </c>
    </row>
    <row r="251" spans="1:14">
      <c r="A251" s="2">
        <f t="shared" si="3"/>
        <v>37496</v>
      </c>
      <c r="B251" s="11">
        <v>104959.54</v>
      </c>
      <c r="C251" s="11">
        <v>9946.82</v>
      </c>
      <c r="D251" s="11">
        <v>1204.1199999999999</v>
      </c>
      <c r="E251" s="11">
        <v>113903.42</v>
      </c>
      <c r="F251" s="11">
        <v>832024.61</v>
      </c>
      <c r="G251" s="11">
        <v>621925.80000000005</v>
      </c>
      <c r="H251" s="11">
        <v>230181.7</v>
      </c>
      <c r="I251" s="11">
        <v>22517.98</v>
      </c>
      <c r="J251" s="11">
        <v>87914</v>
      </c>
      <c r="K251" s="11">
        <v>139601.31</v>
      </c>
      <c r="L251" s="11">
        <v>359830.19</v>
      </c>
      <c r="M251" s="11">
        <v>145718.98000000001</v>
      </c>
      <c r="N251" s="11">
        <v>242269.47</v>
      </c>
    </row>
    <row r="252" spans="1:14">
      <c r="A252" s="2">
        <f t="shared" si="3"/>
        <v>37465</v>
      </c>
      <c r="B252" s="11">
        <v>103645.26</v>
      </c>
      <c r="C252" s="11">
        <v>9783.26</v>
      </c>
      <c r="D252" s="11">
        <v>53.18</v>
      </c>
      <c r="E252" s="11">
        <v>114695.47</v>
      </c>
      <c r="F252" s="11">
        <v>835232.26</v>
      </c>
      <c r="G252" s="11">
        <v>630963.19999999995</v>
      </c>
      <c r="H252" s="11">
        <v>222490.94</v>
      </c>
      <c r="I252" s="11">
        <v>22427.87</v>
      </c>
      <c r="J252" s="11">
        <v>88407</v>
      </c>
      <c r="K252" s="11">
        <v>143365.43</v>
      </c>
      <c r="L252" s="11">
        <v>357820.86</v>
      </c>
      <c r="M252" s="11">
        <v>145747.20000000001</v>
      </c>
      <c r="N252" s="11">
        <v>262904.98</v>
      </c>
    </row>
    <row r="253" spans="1:14">
      <c r="A253" s="2">
        <f t="shared" si="3"/>
        <v>37435</v>
      </c>
      <c r="B253" s="11">
        <v>109066.62</v>
      </c>
      <c r="C253" s="11">
        <v>12658.93</v>
      </c>
      <c r="D253" s="11">
        <v>53.59</v>
      </c>
      <c r="E253" s="11">
        <v>118039.32</v>
      </c>
      <c r="F253" s="11">
        <v>817198.07999999996</v>
      </c>
      <c r="G253" s="11">
        <v>631640.5</v>
      </c>
      <c r="H253" s="11">
        <v>199792.36</v>
      </c>
      <c r="I253" s="11">
        <v>22834.65</v>
      </c>
      <c r="J253" s="11">
        <v>86214</v>
      </c>
      <c r="K253" s="11">
        <v>146856.48000000001</v>
      </c>
      <c r="L253" s="11">
        <v>358665.95</v>
      </c>
      <c r="M253" s="11">
        <v>138908.92000000001</v>
      </c>
      <c r="N253" s="11">
        <v>255305.74</v>
      </c>
    </row>
    <row r="254" spans="1:14">
      <c r="A254" s="2">
        <f t="shared" si="3"/>
        <v>37404</v>
      </c>
      <c r="B254" s="11">
        <v>103230.94</v>
      </c>
      <c r="C254" s="11">
        <v>10971.24</v>
      </c>
      <c r="D254" s="11">
        <v>189.82</v>
      </c>
      <c r="E254" s="11">
        <v>116572.11</v>
      </c>
      <c r="F254" s="11">
        <v>826881.1</v>
      </c>
      <c r="G254" s="11">
        <v>631383</v>
      </c>
      <c r="H254" s="11">
        <v>214662.01</v>
      </c>
      <c r="I254" s="11">
        <v>22296.11</v>
      </c>
      <c r="J254" s="11">
        <v>92763</v>
      </c>
      <c r="K254" s="11">
        <v>153328.45000000001</v>
      </c>
      <c r="L254" s="11">
        <v>352295.99</v>
      </c>
      <c r="M254" s="11">
        <v>138183.07999999999</v>
      </c>
      <c r="N254" s="11">
        <v>251156.71</v>
      </c>
    </row>
    <row r="255" spans="1:14">
      <c r="A255" s="2">
        <f t="shared" si="3"/>
        <v>37374</v>
      </c>
      <c r="B255" s="11">
        <v>99387.98</v>
      </c>
      <c r="C255" s="11">
        <v>11683.43</v>
      </c>
      <c r="D255" s="11">
        <v>100.36</v>
      </c>
      <c r="E255" s="11">
        <v>111725.3</v>
      </c>
      <c r="F255" s="11">
        <v>810242.84</v>
      </c>
      <c r="G255" s="11">
        <v>623925.4</v>
      </c>
      <c r="H255" s="11">
        <v>204908.18</v>
      </c>
      <c r="I255" s="11">
        <v>22448.66</v>
      </c>
      <c r="J255" s="11">
        <v>93094</v>
      </c>
      <c r="K255" s="11">
        <v>160028.23000000001</v>
      </c>
      <c r="L255" s="11">
        <v>347323.95</v>
      </c>
      <c r="M255" s="11">
        <v>138215.78</v>
      </c>
      <c r="N255" s="11">
        <v>257944.8</v>
      </c>
    </row>
    <row r="256" spans="1:14">
      <c r="A256" s="2">
        <f t="shared" si="3"/>
        <v>37343</v>
      </c>
      <c r="B256" s="11">
        <v>99074.3</v>
      </c>
      <c r="C256" s="11">
        <v>9848.91</v>
      </c>
      <c r="D256" s="11">
        <v>185.29</v>
      </c>
      <c r="E256" s="11">
        <v>113439.54</v>
      </c>
      <c r="F256" s="11">
        <v>799741.74</v>
      </c>
      <c r="G256" s="11">
        <v>620233.30000000005</v>
      </c>
      <c r="H256" s="11">
        <v>196210.62</v>
      </c>
      <c r="I256" s="11">
        <v>23723.94</v>
      </c>
      <c r="J256" s="11">
        <v>90994</v>
      </c>
      <c r="K256" s="11">
        <v>163337.79999999999</v>
      </c>
      <c r="L256" s="11">
        <v>344767.8</v>
      </c>
      <c r="M256" s="11">
        <v>136712.26999999999</v>
      </c>
      <c r="N256" s="11">
        <v>256820.31</v>
      </c>
    </row>
    <row r="257" spans="1:14">
      <c r="A257" s="2">
        <f t="shared" si="3"/>
        <v>37315</v>
      </c>
      <c r="B257" s="11">
        <v>95072.11</v>
      </c>
      <c r="C257" s="11">
        <v>9434.5</v>
      </c>
      <c r="D257" s="11">
        <v>131.13999999999999</v>
      </c>
      <c r="E257" s="11">
        <v>109547.73</v>
      </c>
      <c r="F257" s="11">
        <v>778303.99</v>
      </c>
      <c r="G257" s="11">
        <v>614126.6</v>
      </c>
      <c r="H257" s="11">
        <v>180685.89</v>
      </c>
      <c r="I257" s="11">
        <v>22408.35</v>
      </c>
      <c r="J257" s="11">
        <v>88949</v>
      </c>
      <c r="K257" s="11">
        <v>161776.10999999999</v>
      </c>
      <c r="L257" s="11">
        <v>340214.22</v>
      </c>
      <c r="M257" s="11">
        <v>136181.26</v>
      </c>
      <c r="N257" s="11">
        <v>260673.73</v>
      </c>
    </row>
    <row r="258" spans="1:14">
      <c r="A258" s="2">
        <f t="shared" si="3"/>
        <v>37284</v>
      </c>
      <c r="B258" s="11">
        <v>100562.78</v>
      </c>
      <c r="C258" s="11">
        <v>8965.01</v>
      </c>
      <c r="D258" s="11">
        <v>938.29</v>
      </c>
      <c r="E258" s="11">
        <v>118392.27</v>
      </c>
      <c r="F258" s="11">
        <v>771708.93</v>
      </c>
      <c r="G258" s="11">
        <v>603438.30000000005</v>
      </c>
      <c r="H258" s="11">
        <v>181823.11</v>
      </c>
      <c r="I258" s="11">
        <v>23429.599999999999</v>
      </c>
      <c r="J258" s="11">
        <v>89793</v>
      </c>
      <c r="K258" s="11">
        <v>165596.75</v>
      </c>
      <c r="L258" s="11">
        <v>336452.75</v>
      </c>
      <c r="M258" s="11">
        <v>136122.74</v>
      </c>
      <c r="N258" s="11">
        <v>280847.71999999997</v>
      </c>
    </row>
    <row r="259" spans="1:14">
      <c r="A259" s="2">
        <f t="shared" si="3"/>
        <v>37253</v>
      </c>
      <c r="B259" s="11">
        <v>90622.23</v>
      </c>
      <c r="C259" s="11">
        <v>5271.51</v>
      </c>
      <c r="D259" s="11">
        <v>544.16</v>
      </c>
      <c r="E259" s="11">
        <v>109571.53</v>
      </c>
      <c r="F259" s="11">
        <v>798483.04</v>
      </c>
      <c r="G259" s="11">
        <v>621859</v>
      </c>
      <c r="H259" s="11">
        <v>192934.09</v>
      </c>
      <c r="I259" s="11">
        <v>22011.77</v>
      </c>
      <c r="J259" s="11">
        <v>93410</v>
      </c>
      <c r="K259" s="11">
        <v>171121.25</v>
      </c>
      <c r="L259" s="11">
        <v>334672.34999999998</v>
      </c>
      <c r="M259" s="11">
        <v>133633.20000000001</v>
      </c>
      <c r="N259" s="11">
        <v>260372.21</v>
      </c>
    </row>
    <row r="260" spans="1:14">
      <c r="A260" s="2">
        <f t="shared" si="3"/>
        <v>37223</v>
      </c>
      <c r="B260" s="11">
        <v>97168.59</v>
      </c>
      <c r="C260" s="11">
        <v>5790.26</v>
      </c>
      <c r="D260" s="11">
        <v>717.89</v>
      </c>
      <c r="E260" s="11">
        <v>119566.92</v>
      </c>
      <c r="F260" s="11">
        <v>769853.79</v>
      </c>
      <c r="G260" s="11">
        <v>586054.30000000005</v>
      </c>
      <c r="H260" s="11">
        <v>200154.04</v>
      </c>
      <c r="I260" s="11">
        <v>22074.18</v>
      </c>
      <c r="J260" s="11">
        <v>94642</v>
      </c>
      <c r="K260" s="11">
        <v>167260.76</v>
      </c>
      <c r="L260" s="11">
        <v>331111.03999999998</v>
      </c>
      <c r="M260" s="11">
        <v>133071.53</v>
      </c>
      <c r="N260" s="11">
        <v>281119.3</v>
      </c>
    </row>
    <row r="261" spans="1:14">
      <c r="A261" s="2">
        <f t="shared" si="3"/>
        <v>37192</v>
      </c>
      <c r="B261" s="11">
        <v>98595.48</v>
      </c>
      <c r="C261" s="11">
        <v>7299.63</v>
      </c>
      <c r="D261" s="11">
        <v>962.9</v>
      </c>
      <c r="E261" s="11">
        <v>118334.14</v>
      </c>
      <c r="F261" s="11">
        <v>769170.75</v>
      </c>
      <c r="G261" s="11">
        <v>592583</v>
      </c>
      <c r="H261" s="11">
        <v>191962.51</v>
      </c>
      <c r="I261" s="11">
        <v>22476.52</v>
      </c>
      <c r="J261" s="11">
        <v>91256</v>
      </c>
      <c r="K261" s="11">
        <v>165644.23000000001</v>
      </c>
      <c r="L261" s="11">
        <v>327829.15000000002</v>
      </c>
      <c r="M261" s="11">
        <v>133015.44</v>
      </c>
      <c r="N261" s="11">
        <v>254579.19</v>
      </c>
    </row>
    <row r="262" spans="1:14">
      <c r="A262" s="2">
        <f t="shared" ref="A262:A294" si="4">EDATE(A261,-1)</f>
        <v>37162</v>
      </c>
      <c r="B262" s="11">
        <v>105640.2</v>
      </c>
      <c r="C262" s="11">
        <v>8666.6</v>
      </c>
      <c r="D262" s="11">
        <v>1655.92</v>
      </c>
      <c r="E262" s="11">
        <v>120673.01</v>
      </c>
      <c r="F262" s="11">
        <v>762320.46</v>
      </c>
      <c r="G262" s="11">
        <v>586365.5</v>
      </c>
      <c r="H262" s="11">
        <v>190579.57</v>
      </c>
      <c r="I262" s="11">
        <v>22538.46</v>
      </c>
      <c r="J262" s="11">
        <v>94398</v>
      </c>
      <c r="K262" s="11">
        <v>168638.2</v>
      </c>
      <c r="L262" s="11">
        <v>327487.94</v>
      </c>
      <c r="M262" s="11">
        <v>132584.35</v>
      </c>
      <c r="N262" s="11">
        <v>247298.2</v>
      </c>
    </row>
    <row r="263" spans="1:14">
      <c r="A263" s="2">
        <f t="shared" si="4"/>
        <v>37131</v>
      </c>
      <c r="B263" s="11">
        <v>102371.63</v>
      </c>
      <c r="C263" s="11">
        <v>6698.19</v>
      </c>
      <c r="D263" s="11">
        <v>840.14</v>
      </c>
      <c r="E263" s="11">
        <v>121302.18</v>
      </c>
      <c r="F263" s="11">
        <v>753462.81</v>
      </c>
      <c r="G263" s="11">
        <v>575888.1</v>
      </c>
      <c r="H263" s="11">
        <v>193140.5</v>
      </c>
      <c r="I263" s="11">
        <v>22460.57</v>
      </c>
      <c r="J263" s="11">
        <v>92916</v>
      </c>
      <c r="K263" s="11">
        <v>167260.28</v>
      </c>
      <c r="L263" s="11">
        <v>325303.31</v>
      </c>
      <c r="M263" s="11">
        <v>132553.53</v>
      </c>
      <c r="N263" s="11">
        <v>228722.39</v>
      </c>
    </row>
    <row r="264" spans="1:14">
      <c r="A264" s="2">
        <f t="shared" si="4"/>
        <v>37100</v>
      </c>
      <c r="B264" s="11">
        <v>100675.98</v>
      </c>
      <c r="C264" s="11">
        <v>6898.96</v>
      </c>
      <c r="D264" s="11">
        <v>333.77</v>
      </c>
      <c r="E264" s="11">
        <v>120681.32</v>
      </c>
      <c r="F264" s="11">
        <v>756888.4</v>
      </c>
      <c r="G264" s="11">
        <v>580854.4</v>
      </c>
      <c r="H264" s="11">
        <v>194850.92</v>
      </c>
      <c r="I264" s="11">
        <v>21817.77</v>
      </c>
      <c r="J264" s="11">
        <v>94202</v>
      </c>
      <c r="K264" s="11">
        <v>172738.81</v>
      </c>
      <c r="L264" s="11">
        <v>322814.57</v>
      </c>
      <c r="M264" s="11">
        <v>131991.9</v>
      </c>
      <c r="N264" s="11">
        <v>249204.82</v>
      </c>
    </row>
    <row r="265" spans="1:14">
      <c r="A265" s="2">
        <f t="shared" si="4"/>
        <v>37070</v>
      </c>
      <c r="B265" s="11">
        <v>101253.26</v>
      </c>
      <c r="C265" s="11">
        <v>7492.61</v>
      </c>
      <c r="D265" s="11">
        <v>878.54</v>
      </c>
      <c r="E265" s="11">
        <v>119418.24000000001</v>
      </c>
      <c r="F265" s="11">
        <v>763072.32</v>
      </c>
      <c r="G265" s="11">
        <v>584237.1</v>
      </c>
      <c r="H265" s="11">
        <v>198951.3</v>
      </c>
      <c r="I265" s="11">
        <v>21373.75</v>
      </c>
      <c r="J265" s="11">
        <v>99716</v>
      </c>
      <c r="K265" s="11">
        <v>184805.39</v>
      </c>
      <c r="L265" s="11">
        <v>319911.21999999997</v>
      </c>
      <c r="M265" s="11">
        <v>131744.81</v>
      </c>
      <c r="N265" s="11">
        <v>251531.71</v>
      </c>
    </row>
    <row r="266" spans="1:14">
      <c r="A266" s="2">
        <f t="shared" si="4"/>
        <v>37039</v>
      </c>
      <c r="B266" s="11">
        <v>96586.05</v>
      </c>
      <c r="C266" s="11">
        <v>6734.62</v>
      </c>
      <c r="D266" s="11">
        <v>192.52</v>
      </c>
      <c r="E266" s="11">
        <v>116813.91</v>
      </c>
      <c r="F266" s="11">
        <v>760528.4</v>
      </c>
      <c r="G266" s="11">
        <v>586096.9</v>
      </c>
      <c r="H266" s="11">
        <v>194392.47</v>
      </c>
      <c r="I266" s="11">
        <v>22022.71</v>
      </c>
      <c r="J266" s="11">
        <v>96694</v>
      </c>
      <c r="K266" s="11">
        <v>180036.32</v>
      </c>
      <c r="L266" s="11">
        <v>316901.26</v>
      </c>
      <c r="M266" s="11">
        <v>130071.38</v>
      </c>
      <c r="N266" s="11">
        <v>246289</v>
      </c>
    </row>
    <row r="267" spans="1:14">
      <c r="A267" s="2">
        <f t="shared" si="4"/>
        <v>37009</v>
      </c>
      <c r="B267" s="11">
        <v>102798.58</v>
      </c>
      <c r="C267" s="11">
        <v>5889.28</v>
      </c>
      <c r="D267" s="11">
        <v>103.35</v>
      </c>
      <c r="E267" s="11">
        <v>124712.16</v>
      </c>
      <c r="F267" s="11">
        <v>733509.65</v>
      </c>
      <c r="G267" s="11">
        <v>571662.9</v>
      </c>
      <c r="H267" s="11">
        <v>177681.31</v>
      </c>
      <c r="I267" s="11">
        <v>23341.87</v>
      </c>
      <c r="J267" s="11">
        <v>101195</v>
      </c>
      <c r="K267" s="11">
        <v>180004.3</v>
      </c>
      <c r="L267" s="11">
        <v>314992.2</v>
      </c>
      <c r="M267" s="11">
        <v>131997.39000000001</v>
      </c>
      <c r="N267" s="11">
        <v>261232</v>
      </c>
    </row>
    <row r="268" spans="1:14">
      <c r="A268" s="2">
        <f t="shared" si="4"/>
        <v>36978</v>
      </c>
      <c r="B268" s="11">
        <v>99879.79</v>
      </c>
      <c r="C268" s="11">
        <v>8995.23</v>
      </c>
      <c r="D268" s="11">
        <v>64.27</v>
      </c>
      <c r="E268" s="11">
        <v>119300.19</v>
      </c>
      <c r="F268" s="11">
        <v>742904.12</v>
      </c>
      <c r="G268" s="11">
        <v>568566.5</v>
      </c>
      <c r="H268" s="11">
        <v>191287.7</v>
      </c>
      <c r="I268" s="11">
        <v>22305.83</v>
      </c>
      <c r="J268" s="11">
        <v>94488</v>
      </c>
      <c r="K268" s="11">
        <v>176374.82</v>
      </c>
      <c r="L268" s="11">
        <v>312612.47999999998</v>
      </c>
      <c r="M268" s="11">
        <v>128430.41</v>
      </c>
      <c r="N268" s="11">
        <v>268156</v>
      </c>
    </row>
    <row r="269" spans="1:14">
      <c r="A269" s="2">
        <f t="shared" si="4"/>
        <v>36950</v>
      </c>
      <c r="B269" s="11">
        <v>95488.3</v>
      </c>
      <c r="C269" s="11">
        <v>6764.63</v>
      </c>
      <c r="D269" s="11">
        <v>63.56</v>
      </c>
      <c r="E269" s="11">
        <v>117849.53</v>
      </c>
      <c r="F269" s="11">
        <v>718855.93</v>
      </c>
      <c r="G269" s="11">
        <v>560072.6</v>
      </c>
      <c r="H269" s="11">
        <v>173194</v>
      </c>
      <c r="I269" s="11">
        <v>22825.41</v>
      </c>
      <c r="J269" s="11">
        <v>86173</v>
      </c>
      <c r="K269" s="11">
        <v>162439.45000000001</v>
      </c>
      <c r="L269" s="11">
        <v>306752.77</v>
      </c>
      <c r="M269" s="11">
        <v>126790.39</v>
      </c>
      <c r="N269" s="11">
        <v>252786.04</v>
      </c>
    </row>
    <row r="270" spans="1:14">
      <c r="A270" s="2">
        <f t="shared" si="4"/>
        <v>36919</v>
      </c>
      <c r="B270" s="11">
        <v>96165.96</v>
      </c>
      <c r="C270" s="11">
        <v>7012.71</v>
      </c>
      <c r="D270" s="11">
        <v>1475.17</v>
      </c>
      <c r="E270" s="11">
        <v>113407.17</v>
      </c>
      <c r="F270" s="11">
        <v>729791.45</v>
      </c>
      <c r="G270" s="11">
        <v>562913.30000000005</v>
      </c>
      <c r="H270" s="11">
        <v>178496</v>
      </c>
      <c r="I270" s="11">
        <v>23108.38</v>
      </c>
      <c r="J270" s="11">
        <v>85240</v>
      </c>
      <c r="K270" s="11">
        <v>160565.74</v>
      </c>
      <c r="L270" s="11">
        <v>302741.78000000003</v>
      </c>
      <c r="M270" s="11">
        <v>125840.78</v>
      </c>
      <c r="N270" s="11">
        <v>261224.8</v>
      </c>
    </row>
    <row r="271" spans="1:14">
      <c r="A271" s="2">
        <f t="shared" si="4"/>
        <v>36888</v>
      </c>
      <c r="B271" s="11">
        <v>90534.28</v>
      </c>
      <c r="C271" s="11">
        <v>7015.12</v>
      </c>
      <c r="D271" s="11">
        <v>50.92</v>
      </c>
      <c r="E271" s="11">
        <v>107604.88</v>
      </c>
      <c r="F271" s="11">
        <v>775475.06</v>
      </c>
      <c r="G271" s="11">
        <v>583080.1</v>
      </c>
      <c r="H271" s="11">
        <v>206307</v>
      </c>
      <c r="I271" s="11">
        <v>22053.46</v>
      </c>
      <c r="J271" s="11">
        <v>80681</v>
      </c>
      <c r="K271" s="11">
        <v>157710.03</v>
      </c>
      <c r="L271" s="11">
        <v>302480.77</v>
      </c>
      <c r="M271" s="11">
        <v>123930</v>
      </c>
      <c r="N271" s="11">
        <v>260894</v>
      </c>
    </row>
    <row r="272" spans="1:14">
      <c r="A272" s="2">
        <f t="shared" si="4"/>
        <v>36858</v>
      </c>
      <c r="B272" s="11">
        <v>88357.18</v>
      </c>
      <c r="C272" s="11">
        <v>6518</v>
      </c>
      <c r="D272" s="11">
        <v>729.98</v>
      </c>
      <c r="E272" s="11">
        <v>108746.36</v>
      </c>
      <c r="F272" s="11">
        <v>735917.56</v>
      </c>
      <c r="G272" s="11">
        <v>551768.30000000005</v>
      </c>
      <c r="H272" s="11">
        <v>203580.14</v>
      </c>
      <c r="I272" s="11">
        <v>21491.03</v>
      </c>
      <c r="J272" s="11">
        <v>80463</v>
      </c>
      <c r="K272" s="11">
        <v>160352.74</v>
      </c>
      <c r="L272" s="11">
        <v>296669.55</v>
      </c>
      <c r="M272" s="11">
        <v>127761.18</v>
      </c>
      <c r="N272" s="11">
        <v>285146.90999999997</v>
      </c>
    </row>
    <row r="273" spans="1:14">
      <c r="A273" s="2">
        <f t="shared" si="4"/>
        <v>36827</v>
      </c>
      <c r="B273" s="11">
        <v>90138.14</v>
      </c>
      <c r="C273" s="11">
        <v>7224.62</v>
      </c>
      <c r="D273" s="11">
        <v>415.2</v>
      </c>
      <c r="E273" s="11">
        <v>111701.19</v>
      </c>
      <c r="F273" s="11">
        <v>737063.09</v>
      </c>
      <c r="G273" s="11">
        <v>565990.1</v>
      </c>
      <c r="H273" s="11">
        <v>192712.59</v>
      </c>
      <c r="I273" s="11">
        <v>21015.64</v>
      </c>
      <c r="J273" s="11">
        <v>79626</v>
      </c>
      <c r="K273" s="11">
        <v>163599.47</v>
      </c>
      <c r="L273" s="11">
        <v>294624.11</v>
      </c>
      <c r="M273" s="11">
        <v>127543</v>
      </c>
      <c r="N273" s="11">
        <v>266593.82</v>
      </c>
    </row>
    <row r="274" spans="1:14">
      <c r="A274" s="2">
        <f t="shared" si="4"/>
        <v>36797</v>
      </c>
      <c r="B274" s="11">
        <v>88727.67</v>
      </c>
      <c r="C274" s="11">
        <v>7345.27</v>
      </c>
      <c r="D274" s="11">
        <v>687.07</v>
      </c>
      <c r="E274" s="11">
        <v>107326.21</v>
      </c>
      <c r="F274" s="11">
        <v>725295.77</v>
      </c>
      <c r="G274" s="11">
        <v>560595.4</v>
      </c>
      <c r="H274" s="11">
        <v>182707.69</v>
      </c>
      <c r="I274" s="11">
        <v>21410.18</v>
      </c>
      <c r="J274" s="11">
        <v>72963</v>
      </c>
      <c r="K274" s="11">
        <v>154997.39000000001</v>
      </c>
      <c r="L274" s="11">
        <v>293992.05</v>
      </c>
      <c r="M274" s="11">
        <v>127652.61</v>
      </c>
      <c r="N274" s="11">
        <v>252124.38</v>
      </c>
    </row>
    <row r="275" spans="1:14">
      <c r="A275" s="2">
        <f t="shared" si="4"/>
        <v>36766</v>
      </c>
      <c r="B275" s="11">
        <v>86102.02</v>
      </c>
      <c r="C275" s="11">
        <v>6596.76</v>
      </c>
      <c r="D275" s="11">
        <v>446.33</v>
      </c>
      <c r="E275" s="11">
        <v>103307.42</v>
      </c>
      <c r="F275" s="11">
        <v>729930.98</v>
      </c>
      <c r="G275" s="11">
        <v>559970.30000000005</v>
      </c>
      <c r="H275" s="11">
        <v>186144.73</v>
      </c>
      <c r="I275" s="11">
        <v>22066.16</v>
      </c>
      <c r="J275" s="11">
        <v>75841</v>
      </c>
      <c r="K275" s="11">
        <v>153547.16</v>
      </c>
      <c r="L275" s="11">
        <v>289957.08</v>
      </c>
      <c r="M275" s="11">
        <v>127368.8</v>
      </c>
      <c r="N275" s="11">
        <v>237779.09</v>
      </c>
    </row>
    <row r="276" spans="1:14">
      <c r="A276" s="2">
        <f t="shared" si="4"/>
        <v>36735</v>
      </c>
      <c r="B276" s="11">
        <v>79673.11</v>
      </c>
      <c r="C276" s="11">
        <v>6164.14</v>
      </c>
      <c r="D276" s="11">
        <v>373.49</v>
      </c>
      <c r="E276" s="11">
        <v>97914.18</v>
      </c>
      <c r="F276" s="11">
        <v>750865.98</v>
      </c>
      <c r="G276" s="11">
        <v>570482.9</v>
      </c>
      <c r="H276" s="11">
        <v>195538.58</v>
      </c>
      <c r="I276" s="11">
        <v>21345.18</v>
      </c>
      <c r="J276" s="11">
        <v>68662</v>
      </c>
      <c r="K276" s="11">
        <v>144690.35999999999</v>
      </c>
      <c r="L276" s="11">
        <v>288143.57</v>
      </c>
      <c r="M276" s="11">
        <v>127259.88</v>
      </c>
      <c r="N276" s="11">
        <v>254924.59</v>
      </c>
    </row>
    <row r="277" spans="1:14">
      <c r="A277" s="2">
        <f t="shared" si="4"/>
        <v>36705</v>
      </c>
      <c r="B277" s="11">
        <v>79363.39</v>
      </c>
      <c r="C277" s="11">
        <v>5269.82</v>
      </c>
      <c r="D277" s="11">
        <v>602.03</v>
      </c>
      <c r="E277" s="11">
        <v>96194.92</v>
      </c>
      <c r="F277" s="11">
        <v>767117.97</v>
      </c>
      <c r="G277" s="11">
        <v>569063.69999999995</v>
      </c>
      <c r="H277" s="11">
        <v>213445.49</v>
      </c>
      <c r="I277" s="11">
        <v>22280.13</v>
      </c>
      <c r="J277" s="11">
        <v>75082</v>
      </c>
      <c r="K277" s="11">
        <v>150927.85999999999</v>
      </c>
      <c r="L277" s="11">
        <v>289153.57</v>
      </c>
      <c r="M277" s="11">
        <v>126530.15</v>
      </c>
      <c r="N277" s="11">
        <v>257373.75</v>
      </c>
    </row>
    <row r="278" spans="1:14">
      <c r="A278" s="2">
        <f t="shared" si="4"/>
        <v>36674</v>
      </c>
      <c r="B278" s="11">
        <v>74436.05</v>
      </c>
      <c r="C278" s="11">
        <v>5510.29</v>
      </c>
      <c r="D278" s="11">
        <v>236.15</v>
      </c>
      <c r="E278" s="11">
        <v>95262.51</v>
      </c>
      <c r="F278" s="11">
        <v>758685.74</v>
      </c>
      <c r="G278" s="11">
        <v>573517.6</v>
      </c>
      <c r="H278" s="11">
        <v>201698.05</v>
      </c>
      <c r="I278" s="11">
        <v>22273.75</v>
      </c>
      <c r="J278" s="11">
        <v>76191</v>
      </c>
      <c r="K278" s="11">
        <v>155140.1</v>
      </c>
      <c r="L278" s="11">
        <v>288065.65999999997</v>
      </c>
      <c r="M278" s="11">
        <v>126583.55</v>
      </c>
      <c r="N278" s="11">
        <v>251939</v>
      </c>
    </row>
    <row r="279" spans="1:14">
      <c r="A279" s="2">
        <f t="shared" si="4"/>
        <v>36644</v>
      </c>
      <c r="B279" s="11">
        <v>71251.199999999997</v>
      </c>
      <c r="C279" s="11">
        <v>4565.29</v>
      </c>
      <c r="D279" s="11">
        <v>987.3</v>
      </c>
      <c r="E279" s="11">
        <v>92582.57</v>
      </c>
      <c r="F279" s="11">
        <v>745012.35</v>
      </c>
      <c r="G279" s="11">
        <v>572317.9</v>
      </c>
      <c r="H279" s="11">
        <v>187905.06</v>
      </c>
      <c r="I279" s="11">
        <v>22154</v>
      </c>
      <c r="J279" s="11">
        <v>71872</v>
      </c>
      <c r="K279" s="11">
        <v>151195.94</v>
      </c>
      <c r="L279" s="11">
        <v>286331.53999999998</v>
      </c>
      <c r="M279" s="11">
        <v>126076.43</v>
      </c>
      <c r="N279" s="11">
        <v>257745.42</v>
      </c>
    </row>
    <row r="280" spans="1:14">
      <c r="A280" s="2">
        <f t="shared" si="4"/>
        <v>36613</v>
      </c>
      <c r="B280" s="11">
        <v>80574.3</v>
      </c>
      <c r="C280" s="11">
        <v>6538.55</v>
      </c>
      <c r="D280" s="11">
        <v>504.88</v>
      </c>
      <c r="E280" s="11">
        <v>101654.56</v>
      </c>
      <c r="F280" s="11">
        <v>733454.15</v>
      </c>
      <c r="G280" s="11">
        <v>560532.30000000005</v>
      </c>
      <c r="H280" s="11">
        <v>187730.08</v>
      </c>
      <c r="I280" s="11">
        <v>21991.759999999998</v>
      </c>
      <c r="J280" s="11">
        <v>70086</v>
      </c>
      <c r="K280" s="11">
        <v>144786.41</v>
      </c>
      <c r="L280" s="11">
        <v>284381.43</v>
      </c>
      <c r="M280" s="11">
        <v>124822.68</v>
      </c>
      <c r="N280" s="11">
        <v>256904.22</v>
      </c>
    </row>
    <row r="281" spans="1:14">
      <c r="A281" s="2">
        <f t="shared" si="4"/>
        <v>36584</v>
      </c>
      <c r="B281" s="11">
        <v>84632.08</v>
      </c>
      <c r="C281" s="11">
        <v>6765.1</v>
      </c>
      <c r="D281" s="11">
        <v>291.49</v>
      </c>
      <c r="E281" s="11">
        <v>103823.36</v>
      </c>
      <c r="F281" s="11">
        <v>723486.78</v>
      </c>
      <c r="G281" s="11">
        <v>558619.4</v>
      </c>
      <c r="H281" s="11">
        <v>178237.32</v>
      </c>
      <c r="I281" s="11">
        <v>22077.22</v>
      </c>
      <c r="J281" s="11">
        <v>64423</v>
      </c>
      <c r="K281" s="11">
        <v>133400.57</v>
      </c>
      <c r="L281" s="11">
        <v>277720.52</v>
      </c>
      <c r="M281" s="11">
        <v>123734.85</v>
      </c>
      <c r="N281" s="11">
        <v>257303.72</v>
      </c>
    </row>
    <row r="282" spans="1:14">
      <c r="A282" s="2">
        <f t="shared" si="4"/>
        <v>36553</v>
      </c>
      <c r="B282" s="11">
        <v>80208.460000000006</v>
      </c>
      <c r="C282" s="11">
        <v>5821.05</v>
      </c>
      <c r="D282" s="11">
        <v>34.840000000000003</v>
      </c>
      <c r="E282" s="11">
        <v>103555.86</v>
      </c>
      <c r="F282" s="11">
        <v>719685.61</v>
      </c>
      <c r="G282" s="11">
        <v>562652</v>
      </c>
      <c r="H282" s="11">
        <v>171029.81</v>
      </c>
      <c r="I282" s="11">
        <v>21952.76</v>
      </c>
      <c r="J282" s="11">
        <v>64964</v>
      </c>
      <c r="K282" s="11">
        <v>136742.96</v>
      </c>
      <c r="L282" s="11">
        <v>273806.46000000002</v>
      </c>
      <c r="M282" s="11">
        <v>121672.33</v>
      </c>
      <c r="N282" s="11">
        <v>260512.43</v>
      </c>
    </row>
    <row r="283" spans="1:14">
      <c r="A283" s="2">
        <f t="shared" si="4"/>
        <v>36522</v>
      </c>
      <c r="B283" s="11">
        <v>77448.98</v>
      </c>
      <c r="C283" s="11">
        <v>6127.56</v>
      </c>
      <c r="D283" s="11">
        <v>44.05</v>
      </c>
      <c r="E283" s="11">
        <v>98653.4</v>
      </c>
      <c r="F283" s="11">
        <v>730578.88</v>
      </c>
      <c r="G283" s="11">
        <v>562125.30000000005</v>
      </c>
      <c r="H283" s="11">
        <v>181344.88</v>
      </c>
      <c r="I283" s="11">
        <v>21316.02</v>
      </c>
      <c r="J283" s="11">
        <v>67881</v>
      </c>
      <c r="K283" s="11">
        <v>135737.65</v>
      </c>
      <c r="L283" s="11">
        <v>271553.24</v>
      </c>
      <c r="M283" s="11">
        <v>118264.8</v>
      </c>
      <c r="N283" s="11">
        <v>233637.47</v>
      </c>
    </row>
    <row r="284" spans="1:14">
      <c r="A284" s="2">
        <f t="shared" si="4"/>
        <v>36492</v>
      </c>
      <c r="B284" s="11">
        <v>76329.37</v>
      </c>
      <c r="C284" s="11">
        <v>5475.33</v>
      </c>
      <c r="D284" s="11">
        <v>341.77</v>
      </c>
      <c r="E284" s="11">
        <v>100222.84</v>
      </c>
      <c r="F284" s="11">
        <v>674652.49</v>
      </c>
      <c r="G284" s="11">
        <v>536373.30000000005</v>
      </c>
      <c r="H284" s="11">
        <v>154041.45000000001</v>
      </c>
      <c r="I284" s="11">
        <v>19160.580000000002</v>
      </c>
      <c r="J284" s="11">
        <v>71834</v>
      </c>
      <c r="K284" s="11">
        <v>138980.65</v>
      </c>
      <c r="L284" s="11">
        <v>269808.09999999998</v>
      </c>
      <c r="M284" s="11">
        <v>114581.47</v>
      </c>
      <c r="N284" s="11">
        <v>269104.31</v>
      </c>
    </row>
    <row r="285" spans="1:14">
      <c r="A285" s="2">
        <f t="shared" si="4"/>
        <v>36461</v>
      </c>
      <c r="B285" s="11">
        <v>74211.199999999997</v>
      </c>
      <c r="C285" s="11">
        <v>4339.1400000000003</v>
      </c>
      <c r="D285" s="11">
        <v>650.86</v>
      </c>
      <c r="E285" s="11">
        <v>95860.160000000003</v>
      </c>
      <c r="F285" s="11">
        <v>688527.09</v>
      </c>
      <c r="G285" s="11">
        <v>545480.9</v>
      </c>
      <c r="H285" s="11">
        <v>155978.94</v>
      </c>
      <c r="I285" s="11">
        <v>19701.099999999999</v>
      </c>
      <c r="J285" s="11">
        <v>68983</v>
      </c>
      <c r="K285" s="11">
        <v>135666.39000000001</v>
      </c>
      <c r="L285" s="11">
        <v>266438.31</v>
      </c>
      <c r="M285" s="11">
        <v>114595.86</v>
      </c>
      <c r="N285" s="11">
        <v>243225.85</v>
      </c>
    </row>
    <row r="286" spans="1:14">
      <c r="A286" s="2">
        <f t="shared" si="4"/>
        <v>36431</v>
      </c>
      <c r="B286" s="11">
        <v>71450.880000000005</v>
      </c>
      <c r="C286" s="11">
        <v>4771.05</v>
      </c>
      <c r="D286" s="11">
        <v>560.1</v>
      </c>
      <c r="E286" s="11">
        <v>94505.47</v>
      </c>
      <c r="F286" s="11">
        <v>684689.36</v>
      </c>
      <c r="G286" s="11">
        <v>538991.4</v>
      </c>
      <c r="H286" s="11">
        <v>155437.48000000001</v>
      </c>
      <c r="I286" s="11">
        <v>20295.740000000002</v>
      </c>
      <c r="J286" s="11">
        <v>69055</v>
      </c>
      <c r="K286" s="11">
        <v>133832.5</v>
      </c>
      <c r="L286" s="11">
        <v>264552.55</v>
      </c>
      <c r="M286" s="11">
        <v>115178.55</v>
      </c>
      <c r="N286" s="11">
        <v>235020.19</v>
      </c>
    </row>
    <row r="287" spans="1:14">
      <c r="A287" s="2">
        <f t="shared" si="4"/>
        <v>36400</v>
      </c>
      <c r="B287" s="11">
        <v>74597.119999999995</v>
      </c>
      <c r="C287" s="11">
        <v>5109.51</v>
      </c>
      <c r="D287" s="11">
        <v>197.93</v>
      </c>
      <c r="E287" s="11">
        <v>97069.36</v>
      </c>
      <c r="F287" s="11">
        <v>682029.46</v>
      </c>
      <c r="G287" s="11">
        <v>534136.5</v>
      </c>
      <c r="H287" s="11">
        <v>156863.56</v>
      </c>
      <c r="I287" s="11">
        <v>20629.79</v>
      </c>
      <c r="J287" s="11">
        <v>71470</v>
      </c>
      <c r="K287" s="11">
        <v>136768.47</v>
      </c>
      <c r="L287" s="11">
        <v>264088.09999999998</v>
      </c>
      <c r="M287" s="11">
        <v>115168.88</v>
      </c>
      <c r="N287" s="11">
        <v>230409.35</v>
      </c>
    </row>
    <row r="288" spans="1:14">
      <c r="A288" s="2">
        <f t="shared" si="4"/>
        <v>36369</v>
      </c>
      <c r="B288" s="11">
        <v>78529.289999999994</v>
      </c>
      <c r="C288" s="11">
        <v>6374.54</v>
      </c>
      <c r="D288" s="11">
        <v>505.15</v>
      </c>
      <c r="E288" s="11">
        <v>99293.7</v>
      </c>
      <c r="F288" s="11">
        <v>687431.9</v>
      </c>
      <c r="G288" s="11">
        <v>545758.5</v>
      </c>
      <c r="H288" s="11">
        <v>149991.12</v>
      </c>
      <c r="I288" s="11">
        <v>20018.29</v>
      </c>
      <c r="J288" s="11">
        <v>66901</v>
      </c>
      <c r="K288" s="11">
        <v>131469.57999999999</v>
      </c>
      <c r="L288" s="11">
        <v>263247.40000000002</v>
      </c>
      <c r="M288" s="11">
        <v>115160.76</v>
      </c>
      <c r="N288" s="11">
        <v>246363.71</v>
      </c>
    </row>
    <row r="289" spans="1:14">
      <c r="A289" s="2">
        <f t="shared" si="4"/>
        <v>36339</v>
      </c>
      <c r="B289" s="11">
        <v>68631.759999999995</v>
      </c>
      <c r="C289" s="11">
        <v>6661.52</v>
      </c>
      <c r="D289" s="11">
        <v>104.07</v>
      </c>
      <c r="E289" s="11">
        <v>90705.5</v>
      </c>
      <c r="F289" s="11">
        <v>707519.24</v>
      </c>
      <c r="G289" s="11">
        <v>551973.6</v>
      </c>
      <c r="H289" s="11">
        <v>165020.79</v>
      </c>
      <c r="I289" s="11">
        <v>20379.62</v>
      </c>
      <c r="J289" s="11">
        <v>66240</v>
      </c>
      <c r="K289" s="11">
        <v>130954.3</v>
      </c>
      <c r="L289" s="11">
        <v>263757.94</v>
      </c>
      <c r="M289" s="11">
        <v>115073.81</v>
      </c>
      <c r="N289" s="11">
        <v>268076.5</v>
      </c>
    </row>
    <row r="290" spans="1:14">
      <c r="A290" s="2">
        <f t="shared" si="4"/>
        <v>36308</v>
      </c>
      <c r="B290" s="11">
        <v>66474.13</v>
      </c>
      <c r="C290" s="11">
        <v>6498.98</v>
      </c>
      <c r="D290" s="11">
        <v>230.79</v>
      </c>
      <c r="E290" s="11">
        <v>87857.42</v>
      </c>
      <c r="F290" s="11">
        <v>685166.21</v>
      </c>
      <c r="G290" s="11">
        <v>546013.4</v>
      </c>
      <c r="H290" s="11">
        <v>146963.07</v>
      </c>
      <c r="I290" s="11">
        <v>20371.080000000002</v>
      </c>
      <c r="J290" s="11">
        <v>69425</v>
      </c>
      <c r="K290" s="11">
        <v>134003.01999999999</v>
      </c>
      <c r="L290" s="11">
        <v>261715.39</v>
      </c>
      <c r="M290" s="11">
        <v>112780.87</v>
      </c>
      <c r="N290" s="11">
        <v>254602.41</v>
      </c>
    </row>
    <row r="291" spans="1:14">
      <c r="A291" s="2">
        <f t="shared" si="4"/>
        <v>36278</v>
      </c>
      <c r="B291" s="11">
        <v>66295.75</v>
      </c>
      <c r="C291" s="11">
        <v>6579.06</v>
      </c>
      <c r="D291" s="11">
        <v>482.5</v>
      </c>
      <c r="E291" s="11">
        <v>89132.06</v>
      </c>
      <c r="F291" s="11">
        <v>679731.84</v>
      </c>
      <c r="G291" s="11">
        <v>549005.30000000005</v>
      </c>
      <c r="H291" s="11">
        <v>138247.4</v>
      </c>
      <c r="I291" s="11">
        <v>20804.189999999999</v>
      </c>
      <c r="J291" s="11">
        <v>63486</v>
      </c>
      <c r="K291" s="11">
        <v>127822.51</v>
      </c>
      <c r="L291" s="11">
        <v>258517.63</v>
      </c>
      <c r="M291" s="11">
        <v>112136.83</v>
      </c>
      <c r="N291" s="11">
        <v>257779.12</v>
      </c>
    </row>
    <row r="292" spans="1:14">
      <c r="A292" s="2">
        <f t="shared" si="4"/>
        <v>36247</v>
      </c>
      <c r="B292" s="11">
        <v>71491.45</v>
      </c>
      <c r="C292" s="11">
        <v>8082.81</v>
      </c>
      <c r="D292" s="11">
        <v>174.49</v>
      </c>
      <c r="E292" s="11">
        <v>91693.72</v>
      </c>
      <c r="F292" s="11">
        <v>667967.64</v>
      </c>
      <c r="G292" s="11">
        <v>546885.1</v>
      </c>
      <c r="H292" s="11">
        <v>129424.4</v>
      </c>
      <c r="I292" s="11">
        <v>19840</v>
      </c>
      <c r="J292" s="11">
        <v>63873</v>
      </c>
      <c r="K292" s="11">
        <v>127776.01</v>
      </c>
      <c r="L292" s="11">
        <v>256560.43</v>
      </c>
      <c r="M292" s="11">
        <v>111101.52</v>
      </c>
      <c r="N292" s="11">
        <v>254974.34</v>
      </c>
    </row>
    <row r="293" spans="1:14">
      <c r="A293" s="2">
        <f t="shared" si="4"/>
        <v>36219</v>
      </c>
      <c r="B293" s="11">
        <v>76163.03</v>
      </c>
      <c r="C293" s="11">
        <v>7790.42</v>
      </c>
      <c r="D293" s="11">
        <v>219.84</v>
      </c>
      <c r="E293" s="11">
        <v>95120.73</v>
      </c>
      <c r="F293" s="11">
        <v>687029.29</v>
      </c>
      <c r="G293" s="11">
        <v>550988.1</v>
      </c>
      <c r="H293" s="11">
        <v>143663.75</v>
      </c>
      <c r="I293" s="11">
        <v>19414.310000000001</v>
      </c>
      <c r="J293" s="11">
        <v>63377</v>
      </c>
      <c r="K293" s="11">
        <v>125516.98</v>
      </c>
      <c r="L293" s="11">
        <v>254315.51999999999</v>
      </c>
      <c r="M293" s="11">
        <v>110496.6</v>
      </c>
      <c r="N293" s="11">
        <v>265848.74</v>
      </c>
    </row>
    <row r="294" spans="1:14">
      <c r="A294" s="2">
        <f t="shared" si="4"/>
        <v>36188</v>
      </c>
      <c r="B294" s="11">
        <v>86913.83</v>
      </c>
      <c r="C294" s="11">
        <v>8030.46</v>
      </c>
      <c r="D294" s="11">
        <v>168.24</v>
      </c>
      <c r="E294" s="11">
        <v>103944.25</v>
      </c>
      <c r="F294" s="11">
        <v>687194.54</v>
      </c>
      <c r="G294" s="11">
        <v>557685.69999999995</v>
      </c>
      <c r="H294" s="11">
        <v>135218.20000000001</v>
      </c>
      <c r="I294" s="11">
        <v>20576.68</v>
      </c>
      <c r="J294" s="11">
        <v>63635</v>
      </c>
      <c r="K294" s="11">
        <v>121704.65</v>
      </c>
      <c r="L294" s="11">
        <v>251157.05</v>
      </c>
      <c r="M294" s="11">
        <v>110458.52</v>
      </c>
      <c r="N294" s="11">
        <v>289974.12</v>
      </c>
    </row>
    <row r="295" spans="1:14">
      <c r="A295" s="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</row>
    <row r="296" spans="1:14">
      <c r="A296" s="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</row>
    <row r="297" spans="1:14">
      <c r="A297" s="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</row>
    <row r="298" spans="1:14">
      <c r="A298" s="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</row>
    <row r="299" spans="1:14">
      <c r="A299" s="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</row>
    <row r="300" spans="1:14">
      <c r="A300" s="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</row>
    <row r="301" spans="1:14">
      <c r="A301" s="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r="302" spans="1:14">
      <c r="A302" s="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</row>
    <row r="303" spans="1:14">
      <c r="A303" s="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</row>
    <row r="304" spans="1:14">
      <c r="A304" s="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5" spans="1:14">
      <c r="A305" s="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</row>
    <row r="306" spans="1:14">
      <c r="A306" s="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 spans="1:14">
      <c r="A307" s="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r="308" spans="1:14">
      <c r="A308" s="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</row>
    <row r="309" spans="1:14">
      <c r="A309" s="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</row>
    <row r="310" spans="1:14">
      <c r="A310" s="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</row>
    <row r="311" spans="1:14">
      <c r="A311" s="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</row>
    <row r="312" spans="1:14">
      <c r="A312" s="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</row>
    <row r="313" spans="1:14">
      <c r="A313" s="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r="314" spans="1:14">
      <c r="A314" s="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</row>
    <row r="315" spans="1:14">
      <c r="A315" s="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</row>
    <row r="316" spans="1:14">
      <c r="A316" s="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r="317" spans="1:14">
      <c r="A317" s="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</row>
    <row r="318" spans="1:14">
      <c r="A318" s="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r="319" spans="1:14">
      <c r="A319" s="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</row>
    <row r="320" spans="1:14">
      <c r="A320" s="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 spans="1:14">
      <c r="A321" s="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</row>
    <row r="322" spans="1:14">
      <c r="A322" s="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</row>
    <row r="323" spans="1:14">
      <c r="A323" s="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</row>
    <row r="324" spans="1:14">
      <c r="A324" s="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</row>
    <row r="325" spans="1:14">
      <c r="A325" s="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</row>
    <row r="326" spans="1:14">
      <c r="A326" s="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</row>
    <row r="327" spans="1:14">
      <c r="A327" s="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</row>
    <row r="328" spans="1:14">
      <c r="A328" s="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</row>
    <row r="329" spans="1:14">
      <c r="A329" s="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</row>
    <row r="330" spans="1:14">
      <c r="A330" s="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r="331" spans="1:14">
      <c r="A331" s="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</row>
  </sheetData>
  <mergeCells count="4">
    <mergeCell ref="B1:K1"/>
    <mergeCell ref="J2:K2"/>
    <mergeCell ref="F2:I2"/>
    <mergeCell ref="B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8BB6-01E4-8742-9EB2-D445C4F6C439}">
  <dimension ref="A1:F329"/>
  <sheetViews>
    <sheetView zoomScale="228" workbookViewId="0">
      <selection activeCell="C22" sqref="C22"/>
    </sheetView>
  </sheetViews>
  <sheetFormatPr baseColWidth="10" defaultRowHeight="15"/>
  <sheetData>
    <row r="1" spans="1:6" ht="28">
      <c r="A1" s="1" t="s">
        <v>22</v>
      </c>
      <c r="B1" s="1" t="s">
        <v>32</v>
      </c>
      <c r="C1" s="1" t="s">
        <v>33</v>
      </c>
      <c r="D1" s="1" t="s">
        <v>24</v>
      </c>
      <c r="E1" s="1" t="s">
        <v>25</v>
      </c>
      <c r="F1" s="1" t="s">
        <v>36</v>
      </c>
    </row>
    <row r="2" spans="1:6">
      <c r="A2" s="2">
        <v>45016</v>
      </c>
      <c r="B2" s="10">
        <f>Passivo!C4+Passivo!D4+Passivo!E4+Passivo!K4</f>
        <v>334869.67</v>
      </c>
      <c r="C2" s="11">
        <f>Passivo!G4+Passivo!H4+Passivo!I4</f>
        <v>2655256.14</v>
      </c>
      <c r="D2" s="11">
        <v>266067.96000000002</v>
      </c>
      <c r="E2" s="11">
        <v>348461.68</v>
      </c>
      <c r="F2" s="11">
        <v>321577.64</v>
      </c>
    </row>
    <row r="3" spans="1:6">
      <c r="A3" s="2">
        <f>EDATE(A2,-1)</f>
        <v>44985</v>
      </c>
      <c r="B3" s="10">
        <f>Passivo!C5+Passivo!D5+Passivo!E5+Passivo!K5</f>
        <v>348757.6</v>
      </c>
      <c r="C3" s="11">
        <f>Passivo!G5+Passivo!H5+Passivo!I5</f>
        <v>2668270.5500000003</v>
      </c>
      <c r="D3" s="11">
        <v>261845.11</v>
      </c>
      <c r="E3" s="11">
        <v>346921.74</v>
      </c>
      <c r="F3" s="11">
        <v>335360.96000000002</v>
      </c>
    </row>
    <row r="4" spans="1:6">
      <c r="A4" s="2">
        <f t="shared" ref="A4:A67" si="0">EDATE(A3,-1)</f>
        <v>44954</v>
      </c>
      <c r="B4" s="10">
        <f>Passivo!C6+Passivo!D6+Passivo!E6+Passivo!K6</f>
        <v>338047.1</v>
      </c>
      <c r="C4" s="11">
        <f>Passivo!G6+Passivo!H6+Passivo!I6</f>
        <v>2687098.9899999998</v>
      </c>
      <c r="D4" s="11">
        <v>255525.05</v>
      </c>
      <c r="E4" s="11">
        <v>344675.31</v>
      </c>
      <c r="F4" s="11">
        <v>320720.89</v>
      </c>
    </row>
    <row r="5" spans="1:6">
      <c r="A5" s="2">
        <f t="shared" si="0"/>
        <v>44923</v>
      </c>
      <c r="B5" s="10">
        <f>Passivo!C7+Passivo!D7+Passivo!E7+Passivo!K7</f>
        <v>311324.37</v>
      </c>
      <c r="C5" s="11">
        <f>Passivo!G7+Passivo!H7+Passivo!I7</f>
        <v>2736335.9799999995</v>
      </c>
      <c r="D5" s="11">
        <v>256983.46</v>
      </c>
      <c r="E5" s="11">
        <v>342416.74</v>
      </c>
      <c r="F5" s="11">
        <v>317693.69</v>
      </c>
    </row>
    <row r="6" spans="1:6">
      <c r="A6" s="2">
        <f t="shared" si="0"/>
        <v>44893</v>
      </c>
      <c r="B6" s="10">
        <f>Passivo!C8+Passivo!D8+Passivo!E8+Passivo!K8</f>
        <v>322285.30000000005</v>
      </c>
      <c r="C6" s="11">
        <f>Passivo!G8+Passivo!H8+Passivo!I8</f>
        <v>2768405.82</v>
      </c>
      <c r="D6" s="11">
        <v>257493.91</v>
      </c>
      <c r="E6" s="11">
        <v>344384.73</v>
      </c>
      <c r="F6" s="11">
        <v>349543.13</v>
      </c>
    </row>
    <row r="7" spans="1:6">
      <c r="A7" s="2">
        <f t="shared" si="0"/>
        <v>44862</v>
      </c>
      <c r="B7" s="10">
        <f>Passivo!C9+Passivo!D9+Passivo!E9+Passivo!K9</f>
        <v>323871.26</v>
      </c>
      <c r="C7" s="11">
        <f>Passivo!G9+Passivo!H9+Passivo!I9</f>
        <v>2795944.88</v>
      </c>
      <c r="D7" s="11">
        <v>254709.86</v>
      </c>
      <c r="E7" s="11">
        <v>344704.74</v>
      </c>
      <c r="F7" s="11">
        <v>328028.69</v>
      </c>
    </row>
    <row r="8" spans="1:6">
      <c r="A8" s="2">
        <f t="shared" si="0"/>
        <v>44832</v>
      </c>
      <c r="B8" s="10">
        <f>Passivo!C10+Passivo!D10+Passivo!E10+Passivo!K10</f>
        <v>322968.94</v>
      </c>
      <c r="C8" s="11">
        <f>Passivo!G10+Passivo!H10+Passivo!I10</f>
        <v>2794978.79</v>
      </c>
      <c r="D8" s="11">
        <v>252942.23</v>
      </c>
      <c r="E8" s="11">
        <v>343879.92</v>
      </c>
      <c r="F8" s="11">
        <v>335917.72</v>
      </c>
    </row>
    <row r="9" spans="1:6">
      <c r="A9" s="2">
        <f t="shared" si="0"/>
        <v>44801</v>
      </c>
      <c r="B9" s="10">
        <f>Passivo!C11+Passivo!D11+Passivo!E11+Passivo!K11</f>
        <v>324621.78999999998</v>
      </c>
      <c r="C9" s="11">
        <f>Passivo!G11+Passivo!H11+Passivo!I11</f>
        <v>2822489.67</v>
      </c>
      <c r="D9" s="11">
        <v>249408.37</v>
      </c>
      <c r="E9" s="11">
        <v>338462.52</v>
      </c>
      <c r="F9" s="11">
        <v>303153.09000000003</v>
      </c>
    </row>
    <row r="10" spans="1:6">
      <c r="A10" s="2">
        <f t="shared" si="0"/>
        <v>44770</v>
      </c>
      <c r="B10" s="10">
        <f>Passivo!C12+Passivo!D12+Passivo!E12+Passivo!K12</f>
        <v>320450.64999999997</v>
      </c>
      <c r="C10" s="11">
        <f>Passivo!G12+Passivo!H12+Passivo!I12</f>
        <v>2851141.2</v>
      </c>
      <c r="D10" s="11">
        <v>248772.33</v>
      </c>
      <c r="E10" s="11">
        <v>338665.21</v>
      </c>
      <c r="F10" s="11">
        <v>276863.90999999997</v>
      </c>
    </row>
    <row r="11" spans="1:6">
      <c r="A11" s="2">
        <f t="shared" si="0"/>
        <v>44740</v>
      </c>
      <c r="B11" s="10">
        <f>Passivo!C13+Passivo!D13+Passivo!E13+Passivo!K13</f>
        <v>302680</v>
      </c>
      <c r="C11" s="11">
        <f>Passivo!G13+Passivo!H13+Passivo!I13</f>
        <v>2810320.46</v>
      </c>
      <c r="D11" s="11">
        <v>249432.62</v>
      </c>
      <c r="E11" s="11">
        <v>342368.02</v>
      </c>
      <c r="F11" s="11">
        <v>317725.09000000003</v>
      </c>
    </row>
    <row r="12" spans="1:6">
      <c r="A12" s="2">
        <f t="shared" si="0"/>
        <v>44709</v>
      </c>
      <c r="B12" s="10">
        <f>Passivo!C14+Passivo!D14+Passivo!E14+Passivo!K14</f>
        <v>320910.47000000003</v>
      </c>
      <c r="C12" s="11">
        <f>Passivo!G14+Passivo!H14+Passivo!I14</f>
        <v>2881609.1999999997</v>
      </c>
      <c r="D12" s="11">
        <v>247218.78</v>
      </c>
      <c r="E12" s="11">
        <v>340131.07</v>
      </c>
      <c r="F12" s="11">
        <v>286555.93</v>
      </c>
    </row>
    <row r="13" spans="1:6">
      <c r="A13" s="2">
        <f t="shared" si="0"/>
        <v>44679</v>
      </c>
      <c r="B13" s="10">
        <f>Passivo!C15+Passivo!D15+Passivo!E15+Passivo!K15</f>
        <v>323486.57</v>
      </c>
      <c r="C13" s="11">
        <f>Passivo!G15+Passivo!H15+Passivo!I15</f>
        <v>2882687.18</v>
      </c>
      <c r="D13" s="11">
        <v>248137.38</v>
      </c>
      <c r="E13" s="11">
        <v>337679.02</v>
      </c>
      <c r="F13" s="11">
        <v>272242.40999999997</v>
      </c>
    </row>
    <row r="14" spans="1:6">
      <c r="A14" s="2">
        <f t="shared" si="0"/>
        <v>44648</v>
      </c>
      <c r="B14" s="10">
        <f>Passivo!C16+Passivo!D16+Passivo!E16+Passivo!K16</f>
        <v>312206.99</v>
      </c>
      <c r="C14" s="11">
        <f>Passivo!G16+Passivo!H16+Passivo!I16</f>
        <v>2842196.5700000003</v>
      </c>
      <c r="D14" s="11">
        <v>249810.57</v>
      </c>
      <c r="E14" s="11">
        <v>345559.78</v>
      </c>
      <c r="F14" s="11">
        <v>278193.78999999998</v>
      </c>
    </row>
    <row r="15" spans="1:6">
      <c r="A15" s="2">
        <f t="shared" si="0"/>
        <v>44620</v>
      </c>
      <c r="B15" s="10">
        <f>Passivo!C17+Passivo!D17+Passivo!E17+Passivo!K17</f>
        <v>312206.38</v>
      </c>
      <c r="C15" s="11">
        <f>Passivo!G17+Passivo!H17+Passivo!I17</f>
        <v>2833542.24</v>
      </c>
      <c r="D15" s="11">
        <v>255281.76</v>
      </c>
      <c r="E15" s="11">
        <v>341618.77</v>
      </c>
      <c r="F15" s="11">
        <v>269392.77</v>
      </c>
    </row>
    <row r="16" spans="1:6">
      <c r="A16" s="2">
        <f t="shared" si="0"/>
        <v>44589</v>
      </c>
      <c r="B16" s="10">
        <f>Passivo!C18+Passivo!D18+Passivo!E18+Passivo!K18</f>
        <v>307650.42</v>
      </c>
      <c r="C16" s="11">
        <f>Passivo!G18+Passivo!H18+Passivo!I18</f>
        <v>2837404.56</v>
      </c>
      <c r="D16" s="11">
        <v>255388.65</v>
      </c>
      <c r="E16" s="11">
        <v>340549.48</v>
      </c>
      <c r="F16" s="11">
        <v>275118.96000000002</v>
      </c>
    </row>
    <row r="17" spans="1:6">
      <c r="A17" s="2">
        <f t="shared" si="0"/>
        <v>44558</v>
      </c>
      <c r="B17" s="10">
        <f>Passivo!C19+Passivo!D19+Passivo!E19+Passivo!K19</f>
        <v>285862.11</v>
      </c>
      <c r="C17" s="11">
        <f>Passivo!G19+Passivo!H19+Passivo!I19</f>
        <v>2842616.35</v>
      </c>
      <c r="D17" s="11">
        <v>260971.85</v>
      </c>
      <c r="E17" s="11">
        <v>340392.21</v>
      </c>
      <c r="F17" s="11">
        <v>251354.38</v>
      </c>
    </row>
    <row r="18" spans="1:6">
      <c r="A18" s="2">
        <f t="shared" si="0"/>
        <v>44528</v>
      </c>
      <c r="B18" s="10">
        <f>Passivo!C20+Passivo!D20+Passivo!E20+Passivo!K20</f>
        <v>304421.83999999997</v>
      </c>
      <c r="C18" s="11">
        <f>Passivo!G20+Passivo!H20+Passivo!I20</f>
        <v>2791623.49</v>
      </c>
      <c r="D18" s="11">
        <v>260482.33</v>
      </c>
      <c r="E18" s="11">
        <v>347593.45</v>
      </c>
      <c r="F18" s="11">
        <v>298436</v>
      </c>
    </row>
    <row r="19" spans="1:6">
      <c r="A19" s="2">
        <f t="shared" si="0"/>
        <v>44497</v>
      </c>
      <c r="B19" s="10">
        <f>Passivo!C21+Passivo!D21+Passivo!E21+Passivo!K21</f>
        <v>300016.79000000004</v>
      </c>
      <c r="C19" s="11">
        <f>Passivo!G21+Passivo!H21+Passivo!I21</f>
        <v>2818810.7600000002</v>
      </c>
      <c r="D19" s="11">
        <v>262544.49</v>
      </c>
      <c r="E19" s="11">
        <v>348384.06</v>
      </c>
      <c r="F19" s="11">
        <v>248970.8</v>
      </c>
    </row>
    <row r="20" spans="1:6">
      <c r="A20" s="2">
        <f t="shared" si="0"/>
        <v>44467</v>
      </c>
      <c r="B20" s="10">
        <f>Passivo!C22+Passivo!D22+Passivo!E22+Passivo!K22</f>
        <v>292402.90000000002</v>
      </c>
      <c r="C20" s="11">
        <f>Passivo!G22+Passivo!H22+Passivo!I22</f>
        <v>2777577.7699999996</v>
      </c>
      <c r="D20" s="11">
        <v>263610.39</v>
      </c>
      <c r="E20" s="11">
        <v>349585.68</v>
      </c>
      <c r="F20" s="11">
        <v>270652.34999999998</v>
      </c>
    </row>
    <row r="21" spans="1:6">
      <c r="A21" s="2">
        <f t="shared" si="0"/>
        <v>44436</v>
      </c>
      <c r="B21" s="10">
        <f>Passivo!C23+Passivo!D23+Passivo!E23+Passivo!K23</f>
        <v>298530.49</v>
      </c>
      <c r="C21" s="11">
        <f>Passivo!G23+Passivo!H23+Passivo!I23</f>
        <v>2785766.69</v>
      </c>
      <c r="D21" s="11">
        <v>263096.21999999997</v>
      </c>
      <c r="E21" s="11">
        <v>350051.72</v>
      </c>
      <c r="F21" s="11">
        <v>262760.38</v>
      </c>
    </row>
    <row r="22" spans="1:6">
      <c r="A22" s="2">
        <f t="shared" si="0"/>
        <v>44405</v>
      </c>
      <c r="B22" s="10">
        <f>Passivo!C24+Passivo!D24+Passivo!E24+Passivo!K24</f>
        <v>295389.52</v>
      </c>
      <c r="C22" s="11">
        <f>Passivo!G24+Passivo!H24+Passivo!I24</f>
        <v>2799855.97</v>
      </c>
      <c r="D22" s="11">
        <v>262429.46999999997</v>
      </c>
      <c r="E22" s="11">
        <v>348789.39</v>
      </c>
      <c r="F22" s="11">
        <v>262745.32</v>
      </c>
    </row>
    <row r="23" spans="1:6">
      <c r="A23" s="2">
        <f t="shared" si="0"/>
        <v>44375</v>
      </c>
      <c r="B23" s="10">
        <f>Passivo!C25+Passivo!D25+Passivo!E25+Passivo!K25</f>
        <v>278725.03000000003</v>
      </c>
      <c r="C23" s="11">
        <f>Passivo!G25+Passivo!H25+Passivo!I25</f>
        <v>2773951.65</v>
      </c>
      <c r="D23" s="11">
        <v>260122.14</v>
      </c>
      <c r="E23" s="11">
        <v>348786.62</v>
      </c>
      <c r="F23" s="11">
        <v>286658.83</v>
      </c>
    </row>
    <row r="24" spans="1:6">
      <c r="A24" s="2">
        <f t="shared" si="0"/>
        <v>44344</v>
      </c>
      <c r="B24" s="10">
        <f>Passivo!C26+Passivo!D26+Passivo!E26+Passivo!K26</f>
        <v>299801.09999999998</v>
      </c>
      <c r="C24" s="11">
        <f>Passivo!G26+Passivo!H26+Passivo!I26</f>
        <v>2753180.95</v>
      </c>
      <c r="D24" s="11">
        <v>258200.34</v>
      </c>
      <c r="E24" s="11">
        <v>346614.09</v>
      </c>
      <c r="F24" s="11">
        <v>276382.51</v>
      </c>
    </row>
    <row r="25" spans="1:6">
      <c r="A25" s="2">
        <f t="shared" si="0"/>
        <v>44314</v>
      </c>
      <c r="B25" s="10">
        <f>Passivo!C27+Passivo!D27+Passivo!E27+Passivo!K27</f>
        <v>292766.13</v>
      </c>
      <c r="C25" s="11">
        <f>Passivo!G27+Passivo!H27+Passivo!I27</f>
        <v>2746861.42</v>
      </c>
      <c r="D25" s="11">
        <v>260021.27</v>
      </c>
      <c r="E25" s="11">
        <v>348905.87</v>
      </c>
      <c r="F25" s="11">
        <v>272580.46000000002</v>
      </c>
    </row>
    <row r="26" spans="1:6">
      <c r="A26" s="2">
        <f t="shared" si="0"/>
        <v>44283</v>
      </c>
      <c r="B26" s="10">
        <f>Passivo!C28+Passivo!D28+Passivo!E28+Passivo!K28</f>
        <v>278370.71000000002</v>
      </c>
      <c r="C26" s="11">
        <f>Passivo!G28+Passivo!H28+Passivo!I28</f>
        <v>2731634.1</v>
      </c>
      <c r="D26" s="11">
        <v>263361.84000000003</v>
      </c>
      <c r="E26" s="11">
        <v>353678.18</v>
      </c>
      <c r="F26" s="11">
        <v>282445.71999999997</v>
      </c>
    </row>
    <row r="27" spans="1:6">
      <c r="A27" s="2">
        <f t="shared" si="0"/>
        <v>44255</v>
      </c>
      <c r="B27" s="10">
        <f>Passivo!C29+Passivo!D29+Passivo!E29+Passivo!K29</f>
        <v>297826.02999999997</v>
      </c>
      <c r="C27" s="11">
        <f>Passivo!G29+Passivo!H29+Passivo!I29</f>
        <v>2672868.6</v>
      </c>
      <c r="D27" s="11">
        <v>262706.95</v>
      </c>
      <c r="E27" s="11">
        <v>351111.45</v>
      </c>
      <c r="F27" s="11">
        <v>270276.96999999997</v>
      </c>
    </row>
    <row r="28" spans="1:6">
      <c r="A28" s="2">
        <f t="shared" si="0"/>
        <v>44224</v>
      </c>
      <c r="B28" s="10">
        <f>Passivo!C30+Passivo!D30+Passivo!E30+Passivo!K30</f>
        <v>306496.33999999997</v>
      </c>
      <c r="C28" s="11">
        <f>Passivo!G30+Passivo!H30+Passivo!I30</f>
        <v>2652383.2199999997</v>
      </c>
      <c r="D28" s="11">
        <v>263972.2</v>
      </c>
      <c r="E28" s="11">
        <v>348270.8</v>
      </c>
      <c r="F28" s="11">
        <v>284485</v>
      </c>
    </row>
    <row r="29" spans="1:6">
      <c r="A29" s="2">
        <f t="shared" si="0"/>
        <v>44193</v>
      </c>
      <c r="B29" s="10">
        <f>Passivo!C31+Passivo!D31+Passivo!E31+Passivo!K31</f>
        <v>304289.62</v>
      </c>
      <c r="C29" s="11">
        <f>Passivo!G31+Passivo!H31+Passivo!I31</f>
        <v>2635812.2599999998</v>
      </c>
      <c r="D29" s="11">
        <v>267809.73</v>
      </c>
      <c r="E29" s="11">
        <v>347895.1</v>
      </c>
      <c r="F29" s="11">
        <v>289584.63</v>
      </c>
    </row>
    <row r="30" spans="1:6">
      <c r="A30" s="2">
        <f t="shared" si="0"/>
        <v>44163</v>
      </c>
      <c r="B30" s="10">
        <f>Passivo!C32+Passivo!D32+Passivo!E32+Passivo!K32</f>
        <v>321028.96000000002</v>
      </c>
      <c r="C30" s="11">
        <f>Passivo!G32+Passivo!H32+Passivo!I32</f>
        <v>2626357.63</v>
      </c>
      <c r="D30" s="11">
        <v>269753.42</v>
      </c>
      <c r="E30" s="11">
        <v>361850.45</v>
      </c>
      <c r="F30" s="11">
        <v>323946</v>
      </c>
    </row>
    <row r="31" spans="1:6">
      <c r="A31" s="2">
        <f t="shared" si="0"/>
        <v>44132</v>
      </c>
      <c r="B31" s="10">
        <f>Passivo!C33+Passivo!D33+Passivo!E33+Passivo!K33</f>
        <v>315529.13999999996</v>
      </c>
      <c r="C31" s="11">
        <f>Passivo!G33+Passivo!H33+Passivo!I33</f>
        <v>2622103.08</v>
      </c>
      <c r="D31" s="11">
        <v>271894.90999999997</v>
      </c>
      <c r="E31" s="11">
        <v>362880.98</v>
      </c>
      <c r="F31" s="11">
        <v>275708.76</v>
      </c>
    </row>
    <row r="32" spans="1:6">
      <c r="A32" s="2">
        <f t="shared" si="0"/>
        <v>44102</v>
      </c>
      <c r="B32" s="10">
        <f>Passivo!C34+Passivo!D34+Passivo!E34+Passivo!K34</f>
        <v>292093.94999999995</v>
      </c>
      <c r="C32" s="11">
        <f>Passivo!G34+Passivo!H34+Passivo!I34</f>
        <v>2571195.5499999998</v>
      </c>
      <c r="D32" s="11">
        <v>278958.03000000003</v>
      </c>
      <c r="E32" s="11">
        <v>360840.96000000002</v>
      </c>
      <c r="F32" s="11">
        <v>295806.38</v>
      </c>
    </row>
    <row r="33" spans="1:6">
      <c r="A33" s="2">
        <f t="shared" si="0"/>
        <v>44071</v>
      </c>
      <c r="B33" s="10">
        <f>Passivo!C35+Passivo!D35+Passivo!E35+Passivo!K35</f>
        <v>310328.36</v>
      </c>
      <c r="C33" s="11">
        <f>Passivo!G35+Passivo!H35+Passivo!I35</f>
        <v>2548347.02</v>
      </c>
      <c r="D33" s="11">
        <v>277395.34000000003</v>
      </c>
      <c r="E33" s="11">
        <v>357835.28</v>
      </c>
      <c r="F33" s="11">
        <v>274205.06</v>
      </c>
    </row>
    <row r="34" spans="1:6">
      <c r="A34" s="2">
        <f t="shared" si="0"/>
        <v>44040</v>
      </c>
      <c r="B34" s="10">
        <f>Passivo!C36+Passivo!D36+Passivo!E36+Passivo!K36</f>
        <v>334640.94999999995</v>
      </c>
      <c r="C34" s="11">
        <f>Passivo!G36+Passivo!H36+Passivo!I36</f>
        <v>2537004.54</v>
      </c>
      <c r="D34" s="11">
        <v>275946.87</v>
      </c>
      <c r="E34" s="11">
        <v>355295.27</v>
      </c>
      <c r="F34" s="11">
        <v>298511.09999999998</v>
      </c>
    </row>
    <row r="35" spans="1:6">
      <c r="A35" s="2">
        <f t="shared" si="0"/>
        <v>44010</v>
      </c>
      <c r="B35" s="10">
        <f>Passivo!C37+Passivo!D37+Passivo!E37+Passivo!K37</f>
        <v>306248.94</v>
      </c>
      <c r="C35" s="11">
        <f>Passivo!G37+Passivo!H37+Passivo!I37</f>
        <v>2671622.34</v>
      </c>
      <c r="D35" s="11">
        <v>285219.95</v>
      </c>
      <c r="E35" s="11">
        <v>359680.65</v>
      </c>
      <c r="F35" s="11">
        <v>328468.11</v>
      </c>
    </row>
    <row r="36" spans="1:6">
      <c r="A36" s="2">
        <f t="shared" si="0"/>
        <v>43979</v>
      </c>
      <c r="B36" s="10">
        <f>Passivo!C38+Passivo!D38+Passivo!E38+Passivo!K38</f>
        <v>327537.96000000002</v>
      </c>
      <c r="C36" s="11">
        <f>Passivo!G38+Passivo!H38+Passivo!I38</f>
        <v>2617944.6800000002</v>
      </c>
      <c r="D36" s="11">
        <v>287190</v>
      </c>
      <c r="E36" s="11">
        <v>354852.4</v>
      </c>
      <c r="F36" s="11">
        <v>300114.12</v>
      </c>
    </row>
    <row r="37" spans="1:6">
      <c r="A37" s="2">
        <f t="shared" si="0"/>
        <v>43949</v>
      </c>
      <c r="B37" s="10">
        <f>Passivo!C39+Passivo!D39+Passivo!E39+Passivo!K39</f>
        <v>318815.06</v>
      </c>
      <c r="C37" s="11">
        <f>Passivo!G39+Passivo!H39+Passivo!I39</f>
        <v>2569024.75</v>
      </c>
      <c r="D37" s="11">
        <v>289878.7</v>
      </c>
      <c r="E37" s="11">
        <v>353063.78</v>
      </c>
      <c r="F37" s="11">
        <v>315755.7</v>
      </c>
    </row>
    <row r="38" spans="1:6">
      <c r="A38" s="2">
        <f t="shared" si="0"/>
        <v>43918</v>
      </c>
      <c r="B38" s="10">
        <f>Passivo!C40+Passivo!D40+Passivo!E40+Passivo!K40</f>
        <v>318914.43</v>
      </c>
      <c r="C38" s="11">
        <f>Passivo!G40+Passivo!H40+Passivo!I40</f>
        <v>2537203.5100000002</v>
      </c>
      <c r="D38" s="11">
        <v>291995.84000000003</v>
      </c>
      <c r="E38" s="11">
        <v>356607.63</v>
      </c>
      <c r="F38" s="11">
        <v>304790.40000000002</v>
      </c>
    </row>
    <row r="39" spans="1:6">
      <c r="A39" s="2">
        <f t="shared" si="0"/>
        <v>43889</v>
      </c>
      <c r="B39" s="10">
        <f>Passivo!C41+Passivo!D41+Passivo!E41+Passivo!K41</f>
        <v>341216.82</v>
      </c>
      <c r="C39" s="11">
        <f>Passivo!G41+Passivo!H41+Passivo!I41</f>
        <v>2457524.3200000003</v>
      </c>
      <c r="D39" s="11">
        <v>297474.89</v>
      </c>
      <c r="E39" s="11">
        <v>356724.58</v>
      </c>
      <c r="F39" s="11">
        <v>314666.06</v>
      </c>
    </row>
    <row r="40" spans="1:6">
      <c r="A40" s="2">
        <f t="shared" si="0"/>
        <v>43858</v>
      </c>
      <c r="B40" s="10">
        <f>Passivo!C42+Passivo!D42+Passivo!E42+Passivo!K42</f>
        <v>335661.76</v>
      </c>
      <c r="C40" s="11">
        <f>Passivo!G42+Passivo!H42+Passivo!I42</f>
        <v>2435530.9600000004</v>
      </c>
      <c r="D40" s="11">
        <v>298338.90000000002</v>
      </c>
      <c r="E40" s="11">
        <v>357026.03</v>
      </c>
      <c r="F40" s="11">
        <v>321013.74</v>
      </c>
    </row>
    <row r="41" spans="1:6">
      <c r="A41" s="2">
        <f t="shared" si="0"/>
        <v>43827</v>
      </c>
      <c r="B41" s="10">
        <f>Passivo!C43+Passivo!D43+Passivo!E43+Passivo!K43</f>
        <v>324020.98</v>
      </c>
      <c r="C41" s="11">
        <f>Passivo!G43+Passivo!H43+Passivo!I43</f>
        <v>2455794.5499999998</v>
      </c>
      <c r="D41" s="11">
        <v>300882.65999999997</v>
      </c>
      <c r="E41" s="11">
        <v>362517.34</v>
      </c>
      <c r="F41" s="11">
        <v>277366.95</v>
      </c>
    </row>
    <row r="42" spans="1:6">
      <c r="A42" s="2">
        <f t="shared" si="0"/>
        <v>43797</v>
      </c>
      <c r="B42" s="10">
        <f>Passivo!C44+Passivo!D44+Passivo!E44+Passivo!K44</f>
        <v>335026.51</v>
      </c>
      <c r="C42" s="11">
        <f>Passivo!G44+Passivo!H44+Passivo!I44</f>
        <v>2503811.42</v>
      </c>
      <c r="D42" s="11">
        <v>303207.24</v>
      </c>
      <c r="E42" s="11">
        <v>370451.04</v>
      </c>
      <c r="F42" s="11">
        <v>299955.68</v>
      </c>
    </row>
    <row r="43" spans="1:6">
      <c r="A43" s="2">
        <f t="shared" si="0"/>
        <v>43766</v>
      </c>
      <c r="B43" s="10">
        <f>Passivo!C45+Passivo!D45+Passivo!E45+Passivo!K45</f>
        <v>335801.22</v>
      </c>
      <c r="C43" s="11">
        <f>Passivo!G45+Passivo!H45+Passivo!I45</f>
        <v>2511477.2899999996</v>
      </c>
      <c r="D43" s="11">
        <v>302730.18</v>
      </c>
      <c r="E43" s="11">
        <v>376976.92</v>
      </c>
      <c r="F43" s="11">
        <v>315428.06</v>
      </c>
    </row>
    <row r="44" spans="1:6">
      <c r="A44" s="2">
        <f t="shared" si="0"/>
        <v>43736</v>
      </c>
      <c r="B44" s="10">
        <f>Passivo!C46+Passivo!D46+Passivo!E46+Passivo!K46</f>
        <v>331763.17</v>
      </c>
      <c r="C44" s="11">
        <f>Passivo!G46+Passivo!H46+Passivo!I46</f>
        <v>2484363.85</v>
      </c>
      <c r="D44" s="11">
        <v>303588.06</v>
      </c>
      <c r="E44" s="11">
        <v>370771.31</v>
      </c>
      <c r="F44" s="11">
        <v>349156.8</v>
      </c>
    </row>
    <row r="45" spans="1:6">
      <c r="A45" s="2">
        <f t="shared" si="0"/>
        <v>43705</v>
      </c>
      <c r="B45" s="10">
        <f>Passivo!C47+Passivo!D47+Passivo!E47+Passivo!K47</f>
        <v>330183.63</v>
      </c>
      <c r="C45" s="11">
        <f>Passivo!G47+Passivo!H47+Passivo!I47</f>
        <v>2492770.4900000002</v>
      </c>
      <c r="D45" s="11">
        <v>302281.63</v>
      </c>
      <c r="E45" s="11">
        <v>368073.24</v>
      </c>
      <c r="F45" s="11">
        <v>324231.92</v>
      </c>
    </row>
    <row r="46" spans="1:6">
      <c r="A46" s="2">
        <f t="shared" si="0"/>
        <v>43674</v>
      </c>
      <c r="B46" s="10">
        <f>Passivo!C48+Passivo!D48+Passivo!E48+Passivo!K48</f>
        <v>327135.40000000002</v>
      </c>
      <c r="C46" s="11">
        <f>Passivo!G48+Passivo!H48+Passivo!I48</f>
        <v>2463014.5799999996</v>
      </c>
      <c r="D46" s="11">
        <v>303350.71000000002</v>
      </c>
      <c r="E46" s="11">
        <v>372323.7</v>
      </c>
      <c r="F46" s="11">
        <v>327173.09000000003</v>
      </c>
    </row>
    <row r="47" spans="1:6">
      <c r="A47" s="2">
        <f t="shared" si="0"/>
        <v>43644</v>
      </c>
      <c r="B47" s="10">
        <f>Passivo!C49+Passivo!D49+Passivo!E49+Passivo!K49</f>
        <v>328899.15999999997</v>
      </c>
      <c r="C47" s="11">
        <f>Passivo!G49+Passivo!H49+Passivo!I49</f>
        <v>2469651.9899999998</v>
      </c>
      <c r="D47" s="11">
        <v>298500.08</v>
      </c>
      <c r="E47" s="11">
        <v>371542.19</v>
      </c>
      <c r="F47" s="11">
        <v>298545.84000000003</v>
      </c>
    </row>
    <row r="48" spans="1:6">
      <c r="A48" s="2">
        <f t="shared" si="0"/>
        <v>43613</v>
      </c>
      <c r="B48" s="10">
        <f>Passivo!C50+Passivo!D50+Passivo!E50+Passivo!K50</f>
        <v>334761.31</v>
      </c>
      <c r="C48" s="11">
        <f>Passivo!G50+Passivo!H50+Passivo!I50</f>
        <v>2440815.6100000003</v>
      </c>
      <c r="D48" s="11">
        <v>298449.51</v>
      </c>
      <c r="E48" s="11">
        <v>373483.7</v>
      </c>
      <c r="F48" s="11">
        <v>298342.59000000003</v>
      </c>
    </row>
    <row r="49" spans="1:6">
      <c r="A49" s="2">
        <f t="shared" si="0"/>
        <v>43583</v>
      </c>
      <c r="B49" s="10">
        <f>Passivo!C51+Passivo!D51+Passivo!E51+Passivo!K51</f>
        <v>329151.61</v>
      </c>
      <c r="C49" s="11">
        <f>Passivo!G51+Passivo!H51+Passivo!I51</f>
        <v>2432042.21</v>
      </c>
      <c r="D49" s="11">
        <v>300633.31</v>
      </c>
      <c r="E49" s="11">
        <v>374789.33</v>
      </c>
      <c r="F49" s="11">
        <v>297464.46999999997</v>
      </c>
    </row>
    <row r="50" spans="1:6">
      <c r="A50" s="2">
        <f t="shared" si="0"/>
        <v>43552</v>
      </c>
      <c r="B50" s="10">
        <f>Passivo!C52+Passivo!D52+Passivo!E52+Passivo!K52</f>
        <v>335449.86</v>
      </c>
      <c r="C50" s="11">
        <f>Passivo!G52+Passivo!H52+Passivo!I52</f>
        <v>2437934.04</v>
      </c>
      <c r="D50" s="11">
        <v>302567.06</v>
      </c>
      <c r="E50" s="11">
        <v>375150.13</v>
      </c>
      <c r="F50" s="11">
        <v>281087.25</v>
      </c>
    </row>
    <row r="51" spans="1:6">
      <c r="A51" s="2">
        <f t="shared" si="0"/>
        <v>43524</v>
      </c>
      <c r="B51" s="10">
        <f>Passivo!C53+Passivo!D53+Passivo!E53+Passivo!K53</f>
        <v>329143.52999999997</v>
      </c>
      <c r="C51" s="11">
        <f>Passivo!G53+Passivo!H53+Passivo!I53</f>
        <v>2409889.79</v>
      </c>
      <c r="D51" s="11">
        <v>296809.3</v>
      </c>
      <c r="E51" s="11">
        <v>378691.8</v>
      </c>
      <c r="F51" s="11">
        <v>276287.82</v>
      </c>
    </row>
    <row r="52" spans="1:6">
      <c r="A52" s="2">
        <f t="shared" si="0"/>
        <v>43493</v>
      </c>
      <c r="B52" s="10">
        <f>Passivo!C54+Passivo!D54+Passivo!E54+Passivo!K54</f>
        <v>320586.31</v>
      </c>
      <c r="C52" s="11">
        <f>Passivo!G54+Passivo!H54+Passivo!I54</f>
        <v>2406308.54</v>
      </c>
      <c r="D52" s="11">
        <v>299762.49</v>
      </c>
      <c r="E52" s="11">
        <v>380533.63</v>
      </c>
      <c r="F52" s="11">
        <v>279522.84999999998</v>
      </c>
    </row>
    <row r="53" spans="1:6">
      <c r="A53" s="2">
        <f t="shared" si="0"/>
        <v>43462</v>
      </c>
      <c r="B53" s="10">
        <f>Passivo!C55+Passivo!D55+Passivo!E55+Passivo!K55</f>
        <v>318528.44</v>
      </c>
      <c r="C53" s="11">
        <f>Passivo!G55+Passivo!H55+Passivo!I55</f>
        <v>2415506.33</v>
      </c>
      <c r="D53" s="11">
        <v>299684.01</v>
      </c>
      <c r="E53" s="11">
        <v>380212.81</v>
      </c>
      <c r="F53" s="11">
        <v>251866.57</v>
      </c>
    </row>
    <row r="54" spans="1:6">
      <c r="A54" s="2">
        <f t="shared" si="0"/>
        <v>43432</v>
      </c>
      <c r="B54" s="10">
        <f>Passivo!C56+Passivo!D56+Passivo!E56+Passivo!K56</f>
        <v>316799.93</v>
      </c>
      <c r="C54" s="11">
        <f>Passivo!G56+Passivo!H56+Passivo!I56</f>
        <v>2392071.9</v>
      </c>
      <c r="D54" s="11">
        <v>294355.14</v>
      </c>
      <c r="E54" s="11">
        <v>392025.58</v>
      </c>
      <c r="F54" s="11">
        <v>292979.40000000002</v>
      </c>
    </row>
    <row r="55" spans="1:6">
      <c r="A55" s="2">
        <f t="shared" si="0"/>
        <v>43401</v>
      </c>
      <c r="B55" s="10">
        <f>Passivo!C57+Passivo!D57+Passivo!E57+Passivo!K57</f>
        <v>319643.33</v>
      </c>
      <c r="C55" s="11">
        <f>Passivo!G57+Passivo!H57+Passivo!I57</f>
        <v>2432108.19</v>
      </c>
      <c r="D55" s="11">
        <v>303940.61</v>
      </c>
      <c r="E55" s="11">
        <v>399003.22</v>
      </c>
      <c r="F55" s="11">
        <v>264233.58</v>
      </c>
    </row>
    <row r="56" spans="1:6">
      <c r="A56" s="2">
        <f t="shared" si="0"/>
        <v>43371</v>
      </c>
      <c r="B56" s="10">
        <f>Passivo!C58+Passivo!D58+Passivo!E58+Passivo!K58</f>
        <v>324700.18</v>
      </c>
      <c r="C56" s="11">
        <f>Passivo!G58+Passivo!H58+Passivo!I58</f>
        <v>2461636.81</v>
      </c>
      <c r="D56" s="11">
        <v>308964.37</v>
      </c>
      <c r="E56" s="11">
        <v>400318.17</v>
      </c>
      <c r="F56" s="11">
        <v>243867.84</v>
      </c>
    </row>
    <row r="57" spans="1:6">
      <c r="A57" s="2">
        <f t="shared" si="0"/>
        <v>43340</v>
      </c>
      <c r="B57" s="10">
        <f>Passivo!C59+Passivo!D59+Passivo!E59+Passivo!K59</f>
        <v>316514.5</v>
      </c>
      <c r="C57" s="11">
        <f>Passivo!G59+Passivo!H59+Passivo!I59</f>
        <v>2429907.1100000003</v>
      </c>
      <c r="D57" s="11">
        <v>314131.03000000003</v>
      </c>
      <c r="E57" s="11">
        <v>400597.9</v>
      </c>
      <c r="F57" s="11">
        <v>253238.22</v>
      </c>
    </row>
    <row r="58" spans="1:6">
      <c r="A58" s="2">
        <f t="shared" si="0"/>
        <v>43309</v>
      </c>
      <c r="B58" s="10">
        <f>Passivo!C60+Passivo!D60+Passivo!E60+Passivo!K60</f>
        <v>314203.59999999998</v>
      </c>
      <c r="C58" s="11">
        <f>Passivo!G60+Passivo!H60+Passivo!I60</f>
        <v>2419829.6</v>
      </c>
      <c r="D58" s="11">
        <v>315685.71000000002</v>
      </c>
      <c r="E58" s="11">
        <v>404334.91</v>
      </c>
      <c r="F58" s="11">
        <v>268449.95</v>
      </c>
    </row>
    <row r="59" spans="1:6">
      <c r="A59" s="2">
        <f t="shared" si="0"/>
        <v>43279</v>
      </c>
      <c r="B59" s="10">
        <f>Passivo!C61+Passivo!D61+Passivo!E61+Passivo!K61</f>
        <v>310284.06</v>
      </c>
      <c r="C59" s="11">
        <f>Passivo!G61+Passivo!H61+Passivo!I61</f>
        <v>2445812.39</v>
      </c>
      <c r="D59" s="11">
        <v>316844.27</v>
      </c>
      <c r="E59" s="11">
        <v>408632.56</v>
      </c>
      <c r="F59" s="11">
        <v>262292.75</v>
      </c>
    </row>
    <row r="60" spans="1:6">
      <c r="A60" s="2">
        <f t="shared" si="0"/>
        <v>43248</v>
      </c>
      <c r="B60" s="10">
        <f>Passivo!C62+Passivo!D62+Passivo!E62+Passivo!K62</f>
        <v>313019.8</v>
      </c>
      <c r="C60" s="11">
        <f>Passivo!G62+Passivo!H62+Passivo!I62</f>
        <v>2420523.9200000004</v>
      </c>
      <c r="D60" s="11">
        <v>321956.44</v>
      </c>
      <c r="E60" s="11">
        <v>433216.36</v>
      </c>
      <c r="F60" s="11">
        <v>274938.84999999998</v>
      </c>
    </row>
    <row r="61" spans="1:6">
      <c r="A61" s="2">
        <f t="shared" si="0"/>
        <v>43218</v>
      </c>
      <c r="B61" s="10">
        <f>Passivo!C63+Passivo!D63+Passivo!E63+Passivo!K63</f>
        <v>305288.58999999997</v>
      </c>
      <c r="C61" s="11">
        <f>Passivo!G63+Passivo!H63+Passivo!I63</f>
        <v>2391311.9499999997</v>
      </c>
      <c r="D61" s="11">
        <v>322968.19</v>
      </c>
      <c r="E61" s="11">
        <v>439884.13</v>
      </c>
      <c r="F61" s="11">
        <v>280553.58</v>
      </c>
    </row>
    <row r="62" spans="1:6">
      <c r="A62" s="2">
        <f t="shared" si="0"/>
        <v>43187</v>
      </c>
      <c r="B62" s="10">
        <f>Passivo!C64+Passivo!D64+Passivo!E64+Passivo!K64</f>
        <v>299419.43</v>
      </c>
      <c r="C62" s="11">
        <f>Passivo!G64+Passivo!H64+Passivo!I64</f>
        <v>2390071.2000000002</v>
      </c>
      <c r="D62" s="11">
        <v>327081.52</v>
      </c>
      <c r="E62" s="11">
        <v>443478.81</v>
      </c>
      <c r="F62" s="11">
        <v>265817.40000000002</v>
      </c>
    </row>
    <row r="63" spans="1:6">
      <c r="A63" s="2">
        <f t="shared" si="0"/>
        <v>43159</v>
      </c>
      <c r="B63" s="10">
        <f>Passivo!C65+Passivo!D65+Passivo!E65+Passivo!K65</f>
        <v>299370.95999999996</v>
      </c>
      <c r="C63" s="11">
        <f>Passivo!G65+Passivo!H65+Passivo!I65</f>
        <v>2351054.4500000002</v>
      </c>
      <c r="D63" s="11">
        <v>328570.23999999999</v>
      </c>
      <c r="E63" s="11">
        <v>440773.36</v>
      </c>
      <c r="F63" s="11">
        <v>271722.06</v>
      </c>
    </row>
    <row r="64" spans="1:6">
      <c r="A64" s="2">
        <f t="shared" si="0"/>
        <v>43128</v>
      </c>
      <c r="B64" s="10">
        <f>Passivo!C66+Passivo!D66+Passivo!E66+Passivo!K66</f>
        <v>294022.09999999998</v>
      </c>
      <c r="C64" s="11">
        <f>Passivo!G66+Passivo!H66+Passivo!I66</f>
        <v>2375320.2700000005</v>
      </c>
      <c r="D64" s="11">
        <v>331406.76</v>
      </c>
      <c r="E64" s="11">
        <v>444192.99</v>
      </c>
      <c r="F64" s="11">
        <v>281385.88</v>
      </c>
    </row>
    <row r="65" spans="1:6">
      <c r="A65" s="2">
        <f t="shared" si="0"/>
        <v>43097</v>
      </c>
      <c r="B65" s="10">
        <f>Passivo!C67+Passivo!D67+Passivo!E67+Passivo!K67</f>
        <v>294826.07</v>
      </c>
      <c r="C65" s="11">
        <f>Passivo!G67+Passivo!H67+Passivo!I67</f>
        <v>2373740.98</v>
      </c>
      <c r="D65" s="11">
        <v>341842.89</v>
      </c>
      <c r="E65" s="11">
        <v>437734.84</v>
      </c>
      <c r="F65" s="11">
        <v>264227.24</v>
      </c>
    </row>
    <row r="66" spans="1:6">
      <c r="A66" s="2">
        <f t="shared" si="0"/>
        <v>43067</v>
      </c>
      <c r="B66" s="10">
        <f>Passivo!C68+Passivo!D68+Passivo!E68+Passivo!K68</f>
        <v>302259.65000000002</v>
      </c>
      <c r="C66" s="11">
        <f>Passivo!G68+Passivo!H68+Passivo!I68</f>
        <v>2357902.48</v>
      </c>
      <c r="D66" s="11">
        <v>496728.88</v>
      </c>
      <c r="E66" s="11">
        <v>440383.14</v>
      </c>
      <c r="F66" s="11">
        <v>322751.48</v>
      </c>
    </row>
    <row r="67" spans="1:6">
      <c r="A67" s="2">
        <f t="shared" si="0"/>
        <v>43036</v>
      </c>
      <c r="B67" s="10">
        <f>Passivo!C69+Passivo!D69+Passivo!E69+Passivo!K69</f>
        <v>304347.88</v>
      </c>
      <c r="C67" s="11">
        <f>Passivo!G69+Passivo!H69+Passivo!I69</f>
        <v>2363646.58</v>
      </c>
      <c r="D67" s="11">
        <v>501703.7</v>
      </c>
      <c r="E67" s="11">
        <v>438744.33</v>
      </c>
      <c r="F67" s="11">
        <v>294276.45</v>
      </c>
    </row>
    <row r="68" spans="1:6">
      <c r="A68" s="2">
        <f t="shared" ref="A68:A131" si="1">EDATE(A67,-1)</f>
        <v>43006</v>
      </c>
      <c r="B68" s="10">
        <f>Passivo!C70+Passivo!D70+Passivo!E70+Passivo!K70</f>
        <v>297289.40000000002</v>
      </c>
      <c r="C68" s="11">
        <f>Passivo!G70+Passivo!H70+Passivo!I70</f>
        <v>2349674.9499999997</v>
      </c>
      <c r="D68" s="11">
        <v>512533.94</v>
      </c>
      <c r="E68" s="11">
        <v>438828.12</v>
      </c>
      <c r="F68" s="11">
        <v>278108.59000000003</v>
      </c>
    </row>
    <row r="69" spans="1:6">
      <c r="A69" s="2">
        <f t="shared" si="1"/>
        <v>42975</v>
      </c>
      <c r="B69" s="10">
        <f>Passivo!C71+Passivo!D71+Passivo!E71+Passivo!K71</f>
        <v>298393.7</v>
      </c>
      <c r="C69" s="11">
        <f>Passivo!G71+Passivo!H71+Passivo!I71</f>
        <v>2332990.3000000003</v>
      </c>
      <c r="D69" s="11">
        <v>522150.36</v>
      </c>
      <c r="E69" s="11">
        <v>438137.49</v>
      </c>
      <c r="F69" s="11">
        <v>294587.84000000003</v>
      </c>
    </row>
    <row r="70" spans="1:6">
      <c r="A70" s="2">
        <f t="shared" si="1"/>
        <v>42944</v>
      </c>
      <c r="B70" s="10">
        <f>Passivo!C72+Passivo!D72+Passivo!E72+Passivo!K72</f>
        <v>297868.42</v>
      </c>
      <c r="C70" s="11">
        <f>Passivo!G72+Passivo!H72+Passivo!I72</f>
        <v>2330703.4899999998</v>
      </c>
      <c r="D70" s="11">
        <v>529287.18999999994</v>
      </c>
      <c r="E70" s="11">
        <v>428617.71</v>
      </c>
      <c r="F70" s="11">
        <v>314677.39</v>
      </c>
    </row>
    <row r="71" spans="1:6">
      <c r="A71" s="2">
        <f t="shared" si="1"/>
        <v>42914</v>
      </c>
      <c r="B71" s="10">
        <f>Passivo!C73+Passivo!D73+Passivo!E73+Passivo!K73</f>
        <v>296747.7</v>
      </c>
      <c r="C71" s="11">
        <f>Passivo!G73+Passivo!H73+Passivo!I73</f>
        <v>2334788.66</v>
      </c>
      <c r="D71" s="11">
        <v>526267.43000000005</v>
      </c>
      <c r="E71" s="11">
        <v>442153.13</v>
      </c>
      <c r="F71" s="11">
        <v>308653.46999999997</v>
      </c>
    </row>
    <row r="72" spans="1:6">
      <c r="A72" s="2">
        <f t="shared" si="1"/>
        <v>42883</v>
      </c>
      <c r="B72" s="10">
        <f>Passivo!C74+Passivo!D74+Passivo!E74+Passivo!K74</f>
        <v>298136.04000000004</v>
      </c>
      <c r="C72" s="11">
        <f>Passivo!G74+Passivo!H74+Passivo!I74</f>
        <v>2336074.35</v>
      </c>
      <c r="D72" s="11">
        <v>529371.67000000004</v>
      </c>
      <c r="E72" s="11">
        <v>450644.9</v>
      </c>
      <c r="F72" s="11">
        <v>303337.63</v>
      </c>
    </row>
    <row r="73" spans="1:6">
      <c r="A73" s="2">
        <f t="shared" si="1"/>
        <v>42853</v>
      </c>
      <c r="B73" s="10">
        <f>Passivo!C75+Passivo!D75+Passivo!E75+Passivo!K75</f>
        <v>297782.13</v>
      </c>
      <c r="C73" s="11">
        <f>Passivo!G75+Passivo!H75+Passivo!I75</f>
        <v>2388606</v>
      </c>
      <c r="D73" s="11">
        <v>533278.28</v>
      </c>
      <c r="E73" s="11">
        <v>444824.13</v>
      </c>
      <c r="F73" s="11">
        <v>292372.96999999997</v>
      </c>
    </row>
    <row r="74" spans="1:6">
      <c r="A74" s="2">
        <f t="shared" si="1"/>
        <v>42822</v>
      </c>
      <c r="B74" s="10">
        <f>Passivo!C76+Passivo!D76+Passivo!E76+Passivo!K76</f>
        <v>301761.09000000003</v>
      </c>
      <c r="C74" s="11">
        <f>Passivo!G76+Passivo!H76+Passivo!I76</f>
        <v>2369840.84</v>
      </c>
      <c r="D74" s="11">
        <v>541084.61</v>
      </c>
      <c r="E74" s="11">
        <v>448085.7</v>
      </c>
      <c r="F74" s="11">
        <v>303366.93</v>
      </c>
    </row>
    <row r="75" spans="1:6">
      <c r="A75" s="2">
        <f t="shared" si="1"/>
        <v>42794</v>
      </c>
      <c r="B75" s="10">
        <f>Passivo!C77+Passivo!D77+Passivo!E77+Passivo!K77</f>
        <v>303114.83</v>
      </c>
      <c r="C75" s="11">
        <f>Passivo!G77+Passivo!H77+Passivo!I77</f>
        <v>2261693.08</v>
      </c>
      <c r="D75" s="11">
        <v>553425.37</v>
      </c>
      <c r="E75" s="11">
        <v>449684.84</v>
      </c>
      <c r="F75" s="11">
        <v>315667.57</v>
      </c>
    </row>
    <row r="76" spans="1:6">
      <c r="A76" s="2">
        <f t="shared" si="1"/>
        <v>42763</v>
      </c>
      <c r="B76" s="10">
        <f>Passivo!C78+Passivo!D78+Passivo!E78+Passivo!K78</f>
        <v>294947.03000000003</v>
      </c>
      <c r="C76" s="11">
        <f>Passivo!G78+Passivo!H78+Passivo!I78</f>
        <v>2281759.9700000002</v>
      </c>
      <c r="D76" s="11">
        <v>554090.38</v>
      </c>
      <c r="E76" s="11">
        <v>437826.18</v>
      </c>
      <c r="F76" s="11">
        <v>311716.15000000002</v>
      </c>
    </row>
    <row r="77" spans="1:6">
      <c r="A77" s="2">
        <f t="shared" si="1"/>
        <v>42732</v>
      </c>
      <c r="B77" s="10">
        <f>Passivo!C79+Passivo!D79+Passivo!E79+Passivo!K79</f>
        <v>305682.01</v>
      </c>
      <c r="C77" s="11">
        <f>Passivo!G79+Passivo!H79+Passivo!I79</f>
        <v>2306904.9499999997</v>
      </c>
      <c r="D77" s="11">
        <v>558045.03</v>
      </c>
      <c r="E77" s="11">
        <v>440816.4</v>
      </c>
      <c r="F77" s="11">
        <v>308199</v>
      </c>
    </row>
    <row r="78" spans="1:6">
      <c r="A78" s="2">
        <f t="shared" si="1"/>
        <v>42702</v>
      </c>
      <c r="B78" s="10">
        <f>Passivo!C80+Passivo!D80+Passivo!E80+Passivo!K80</f>
        <v>305798.28000000003</v>
      </c>
      <c r="C78" s="11">
        <f>Passivo!G80+Passivo!H80+Passivo!I80</f>
        <v>2251823.56</v>
      </c>
      <c r="D78" s="11">
        <v>564544.68000000005</v>
      </c>
      <c r="E78" s="11">
        <v>442866.76</v>
      </c>
      <c r="F78" s="11">
        <v>354211</v>
      </c>
    </row>
    <row r="79" spans="1:6">
      <c r="A79" s="2">
        <f t="shared" si="1"/>
        <v>42671</v>
      </c>
      <c r="B79" s="10">
        <f>Passivo!C81+Passivo!D81+Passivo!E81+Passivo!K81</f>
        <v>310122.49</v>
      </c>
      <c r="C79" s="11">
        <f>Passivo!G81+Passivo!H81+Passivo!I81</f>
        <v>2261369.4500000002</v>
      </c>
      <c r="D79" s="11">
        <v>567269.19999999995</v>
      </c>
      <c r="E79" s="11">
        <v>444068.15</v>
      </c>
      <c r="F79" s="11">
        <v>336710</v>
      </c>
    </row>
    <row r="80" spans="1:6">
      <c r="A80" s="2">
        <f t="shared" si="1"/>
        <v>42641</v>
      </c>
      <c r="B80" s="10">
        <f>Passivo!C82+Passivo!D82+Passivo!E82+Passivo!K82</f>
        <v>296344.98</v>
      </c>
      <c r="C80" s="11">
        <f>Passivo!G82+Passivo!H82+Passivo!I82</f>
        <v>2266461.7200000002</v>
      </c>
      <c r="D80" s="11">
        <v>569615.85</v>
      </c>
      <c r="E80" s="11">
        <v>441495.48</v>
      </c>
      <c r="F80" s="11">
        <v>356114</v>
      </c>
    </row>
    <row r="81" spans="1:6">
      <c r="A81" s="2">
        <f t="shared" si="1"/>
        <v>42610</v>
      </c>
      <c r="B81" s="10">
        <f>Passivo!C83+Passivo!D83+Passivo!E83+Passivo!K83</f>
        <v>305780.3</v>
      </c>
      <c r="C81" s="11">
        <f>Passivo!G83+Passivo!H83+Passivo!I83</f>
        <v>2254763.4000000004</v>
      </c>
      <c r="D81" s="11">
        <v>574665.69999999995</v>
      </c>
      <c r="E81" s="11">
        <v>441923.52</v>
      </c>
      <c r="F81" s="11">
        <v>343895</v>
      </c>
    </row>
    <row r="82" spans="1:6">
      <c r="A82" s="2">
        <f t="shared" si="1"/>
        <v>42579</v>
      </c>
      <c r="B82" s="10">
        <f>Passivo!C84+Passivo!D84+Passivo!E84+Passivo!K84</f>
        <v>310841.32999999996</v>
      </c>
      <c r="C82" s="11">
        <f>Passivo!G84+Passivo!H84+Passivo!I84</f>
        <v>2264797.0099999998</v>
      </c>
      <c r="D82" s="11">
        <v>580803.06000000006</v>
      </c>
      <c r="E82" s="11">
        <v>441461.74</v>
      </c>
      <c r="F82" s="11">
        <v>345481.5</v>
      </c>
    </row>
    <row r="83" spans="1:6">
      <c r="A83" s="2">
        <f t="shared" si="1"/>
        <v>42549</v>
      </c>
      <c r="B83" s="10">
        <f>Passivo!C85+Passivo!D85+Passivo!E85+Passivo!K85</f>
        <v>319572.82</v>
      </c>
      <c r="C83" s="11">
        <f>Passivo!G85+Passivo!H85+Passivo!I85</f>
        <v>2274707.6800000002</v>
      </c>
      <c r="D83" s="11">
        <v>582565.25</v>
      </c>
      <c r="E83" s="11">
        <v>440536.54</v>
      </c>
      <c r="F83" s="11">
        <v>361096</v>
      </c>
    </row>
    <row r="84" spans="1:6">
      <c r="A84" s="2">
        <f t="shared" si="1"/>
        <v>42518</v>
      </c>
      <c r="B84" s="10">
        <f>Passivo!C86+Passivo!D86+Passivo!E86+Passivo!K86</f>
        <v>327944.29000000004</v>
      </c>
      <c r="C84" s="11">
        <f>Passivo!G86+Passivo!H86+Passivo!I86</f>
        <v>2240256.5</v>
      </c>
      <c r="D84" s="11">
        <v>573289.56000000006</v>
      </c>
      <c r="E84" s="11">
        <v>442000.8</v>
      </c>
      <c r="F84" s="11">
        <v>347833</v>
      </c>
    </row>
    <row r="85" spans="1:6">
      <c r="A85" s="2">
        <f t="shared" si="1"/>
        <v>42488</v>
      </c>
      <c r="B85" s="10">
        <f>Passivo!C87+Passivo!D87+Passivo!E87+Passivo!K87</f>
        <v>319178.74</v>
      </c>
      <c r="C85" s="11">
        <f>Passivo!G87+Passivo!H87+Passivo!I87</f>
        <v>2272723.41</v>
      </c>
      <c r="D85" s="11">
        <v>578865.80000000005</v>
      </c>
      <c r="E85" s="11">
        <v>438922.05</v>
      </c>
      <c r="F85" s="11">
        <v>329625</v>
      </c>
    </row>
    <row r="86" spans="1:6">
      <c r="A86" s="2">
        <f t="shared" si="1"/>
        <v>42457</v>
      </c>
      <c r="B86" s="10">
        <f>Passivo!C88+Passivo!D88+Passivo!E88+Passivo!K88</f>
        <v>320061.32999999996</v>
      </c>
      <c r="C86" s="11">
        <f>Passivo!G88+Passivo!H88+Passivo!I88</f>
        <v>2256052.75</v>
      </c>
      <c r="D86" s="11">
        <v>585658.03</v>
      </c>
      <c r="E86" s="11">
        <v>443110.74</v>
      </c>
      <c r="F86" s="11">
        <v>348358</v>
      </c>
    </row>
    <row r="87" spans="1:6">
      <c r="A87" s="2">
        <f t="shared" si="1"/>
        <v>42428</v>
      </c>
      <c r="B87" s="10">
        <f>Passivo!C89+Passivo!D89+Passivo!E89+Passivo!K89</f>
        <v>321874.01</v>
      </c>
      <c r="C87" s="11">
        <f>Passivo!G89+Passivo!H89+Passivo!I89</f>
        <v>2252106.35</v>
      </c>
      <c r="D87" s="11">
        <v>595429.73</v>
      </c>
      <c r="E87" s="11">
        <v>447799.25</v>
      </c>
      <c r="F87" s="11">
        <v>360426</v>
      </c>
    </row>
    <row r="88" spans="1:6">
      <c r="A88" s="2">
        <f t="shared" si="1"/>
        <v>42397</v>
      </c>
      <c r="B88" s="10">
        <f>Passivo!C90+Passivo!D90+Passivo!E90+Passivo!K90</f>
        <v>326047.98</v>
      </c>
      <c r="C88" s="11">
        <f>Passivo!G90+Passivo!H90+Passivo!I90</f>
        <v>2222347.7800000003</v>
      </c>
      <c r="D88" s="11">
        <v>604017.73</v>
      </c>
      <c r="E88" s="11">
        <v>451283.3</v>
      </c>
      <c r="F88" s="11">
        <v>334216</v>
      </c>
    </row>
    <row r="89" spans="1:6">
      <c r="A89" s="2">
        <f t="shared" si="1"/>
        <v>42366</v>
      </c>
      <c r="B89" s="10">
        <f>Passivo!C91+Passivo!D91+Passivo!E91+Passivo!K91</f>
        <v>322911.55</v>
      </c>
      <c r="C89" s="11">
        <f>Passivo!G91+Passivo!H91+Passivo!I91</f>
        <v>2199634.8899999997</v>
      </c>
      <c r="D89" s="11">
        <v>621823.38</v>
      </c>
      <c r="E89" s="11">
        <v>448232.39</v>
      </c>
      <c r="F89" s="11">
        <v>320868</v>
      </c>
    </row>
    <row r="90" spans="1:6">
      <c r="A90" s="2">
        <f t="shared" si="1"/>
        <v>42336</v>
      </c>
      <c r="B90" s="10">
        <f>Passivo!C92+Passivo!D92+Passivo!E92+Passivo!K92</f>
        <v>318971.48</v>
      </c>
      <c r="C90" s="11">
        <f>Passivo!G92+Passivo!H92+Passivo!I92</f>
        <v>2181885.25</v>
      </c>
      <c r="D90" s="11">
        <v>622949.51</v>
      </c>
      <c r="E90" s="11">
        <v>449757.51</v>
      </c>
      <c r="F90" s="11">
        <v>388939</v>
      </c>
    </row>
    <row r="91" spans="1:6">
      <c r="A91" s="2">
        <f t="shared" si="1"/>
        <v>42305</v>
      </c>
      <c r="B91" s="10">
        <f>Passivo!C93+Passivo!D93+Passivo!E93+Passivo!K93</f>
        <v>326401.44</v>
      </c>
      <c r="C91" s="11">
        <f>Passivo!G93+Passivo!H93+Passivo!I93</f>
        <v>2204933.1599999997</v>
      </c>
      <c r="D91" s="11">
        <v>620188.41</v>
      </c>
      <c r="E91" s="11">
        <v>447020.26</v>
      </c>
      <c r="F91" s="11">
        <v>336726</v>
      </c>
    </row>
    <row r="92" spans="1:6">
      <c r="A92" s="2">
        <f t="shared" si="1"/>
        <v>42275</v>
      </c>
      <c r="B92" s="10">
        <f>Passivo!C94+Passivo!D94+Passivo!E94+Passivo!K94</f>
        <v>310491.17</v>
      </c>
      <c r="C92" s="11">
        <f>Passivo!G94+Passivo!H94+Passivo!I94</f>
        <v>2203525.58</v>
      </c>
      <c r="D92" s="11">
        <v>630536.97</v>
      </c>
      <c r="E92" s="11">
        <v>446001.52</v>
      </c>
      <c r="F92" s="11">
        <v>348572</v>
      </c>
    </row>
    <row r="93" spans="1:6">
      <c r="A93" s="2">
        <f t="shared" si="1"/>
        <v>42244</v>
      </c>
      <c r="B93" s="10">
        <f>Passivo!C95+Passivo!D95+Passivo!E95+Passivo!K95</f>
        <v>327113.88</v>
      </c>
      <c r="C93" s="11">
        <f>Passivo!G95+Passivo!H95+Passivo!I95</f>
        <v>2195314.58</v>
      </c>
      <c r="D93" s="11">
        <v>638967.68000000005</v>
      </c>
      <c r="E93" s="11">
        <v>443074.69</v>
      </c>
      <c r="F93" s="11">
        <v>340559</v>
      </c>
    </row>
    <row r="94" spans="1:6">
      <c r="A94" s="2">
        <f t="shared" si="1"/>
        <v>42213</v>
      </c>
      <c r="B94" s="10">
        <f>Passivo!C96+Passivo!D96+Passivo!E96+Passivo!K96</f>
        <v>329106.67000000004</v>
      </c>
      <c r="C94" s="11">
        <f>Passivo!G96+Passivo!H96+Passivo!I96</f>
        <v>2188729.7799999998</v>
      </c>
      <c r="D94" s="11">
        <v>646322.13</v>
      </c>
      <c r="E94" s="11">
        <v>443048.87</v>
      </c>
      <c r="F94" s="11">
        <v>359533</v>
      </c>
    </row>
    <row r="95" spans="1:6">
      <c r="A95" s="2">
        <f t="shared" si="1"/>
        <v>42183</v>
      </c>
      <c r="B95" s="10">
        <f>Passivo!C97+Passivo!D97+Passivo!E97+Passivo!K97</f>
        <v>321610.13</v>
      </c>
      <c r="C95" s="11">
        <f>Passivo!G97+Passivo!H97+Passivo!I97</f>
        <v>2205432.81</v>
      </c>
      <c r="D95" s="11">
        <v>656979.14</v>
      </c>
      <c r="E95" s="11">
        <v>441842.47</v>
      </c>
      <c r="F95" s="11">
        <v>351817</v>
      </c>
    </row>
    <row r="96" spans="1:6">
      <c r="A96" s="2">
        <f t="shared" si="1"/>
        <v>42152</v>
      </c>
      <c r="B96" s="10">
        <f>Passivo!C98+Passivo!D98+Passivo!E98+Passivo!K98</f>
        <v>335726.27</v>
      </c>
      <c r="C96" s="11">
        <f>Passivo!G98+Passivo!H98+Passivo!I98</f>
        <v>2197714.92</v>
      </c>
      <c r="D96" s="11">
        <v>668742.14</v>
      </c>
      <c r="E96" s="11">
        <v>426402.15</v>
      </c>
      <c r="F96" s="11">
        <v>387101</v>
      </c>
    </row>
    <row r="97" spans="1:6">
      <c r="A97" s="2">
        <f t="shared" si="1"/>
        <v>42122</v>
      </c>
      <c r="B97" s="10">
        <f>Passivo!C99+Passivo!D99+Passivo!E99+Passivo!K99</f>
        <v>330347.97000000003</v>
      </c>
      <c r="C97" s="11">
        <f>Passivo!G99+Passivo!H99+Passivo!I99</f>
        <v>2184952.4599999995</v>
      </c>
      <c r="D97" s="11">
        <v>677489.44</v>
      </c>
      <c r="E97" s="11">
        <v>424250.57</v>
      </c>
      <c r="F97" s="11">
        <v>414610</v>
      </c>
    </row>
    <row r="98" spans="1:6">
      <c r="A98" s="2">
        <f t="shared" si="1"/>
        <v>42091</v>
      </c>
      <c r="B98" s="10">
        <f>Passivo!C100+Passivo!D100+Passivo!E100+Passivo!K100</f>
        <v>319585.56</v>
      </c>
      <c r="C98" s="11">
        <f>Passivo!G100+Passivo!H100+Passivo!I100</f>
        <v>2202026.2199999997</v>
      </c>
      <c r="D98" s="11">
        <v>687426.96</v>
      </c>
      <c r="E98" s="11">
        <v>438045.59</v>
      </c>
      <c r="F98" s="11">
        <v>427714</v>
      </c>
    </row>
    <row r="99" spans="1:6">
      <c r="A99" s="2">
        <f t="shared" si="1"/>
        <v>42063</v>
      </c>
      <c r="B99" s="10">
        <f>Passivo!C101+Passivo!D101+Passivo!E101+Passivo!K101</f>
        <v>329696.13</v>
      </c>
      <c r="C99" s="11">
        <f>Passivo!G101+Passivo!H101+Passivo!I101</f>
        <v>2177257.6</v>
      </c>
      <c r="D99" s="11">
        <v>698641.11</v>
      </c>
      <c r="E99" s="11">
        <v>438270.12</v>
      </c>
      <c r="F99" s="11">
        <v>404440</v>
      </c>
    </row>
    <row r="100" spans="1:6">
      <c r="A100" s="2">
        <f t="shared" si="1"/>
        <v>42032</v>
      </c>
      <c r="B100" s="10">
        <f>Passivo!C102+Passivo!D102+Passivo!E102+Passivo!K102</f>
        <v>320121.14</v>
      </c>
      <c r="C100" s="11">
        <f>Passivo!G102+Passivo!H102+Passivo!I102</f>
        <v>2177711.5100000002</v>
      </c>
      <c r="D100" s="11">
        <v>718589.57</v>
      </c>
      <c r="E100" s="11">
        <v>436371.77</v>
      </c>
      <c r="F100" s="11">
        <v>415957</v>
      </c>
    </row>
    <row r="101" spans="1:6">
      <c r="A101" s="2">
        <f t="shared" si="1"/>
        <v>42001</v>
      </c>
      <c r="B101" s="10">
        <f>Passivo!C103+Passivo!D103+Passivo!E103+Passivo!K103</f>
        <v>307703.02</v>
      </c>
      <c r="C101" s="11">
        <f>Passivo!G103+Passivo!H103+Passivo!I103</f>
        <v>2159950.69</v>
      </c>
      <c r="D101" s="11">
        <v>727136.55</v>
      </c>
      <c r="E101" s="11">
        <v>424235.15</v>
      </c>
      <c r="F101" s="11">
        <v>395323.94</v>
      </c>
    </row>
    <row r="102" spans="1:6">
      <c r="A102" s="2">
        <f t="shared" si="1"/>
        <v>41971</v>
      </c>
      <c r="B102" s="10">
        <f>Passivo!C104+Passivo!D104+Passivo!E104+Passivo!K104</f>
        <v>309329.77</v>
      </c>
      <c r="C102" s="11">
        <f>Passivo!G104+Passivo!H104+Passivo!I104</f>
        <v>2157638.08</v>
      </c>
      <c r="D102" s="11">
        <v>734064.04</v>
      </c>
      <c r="E102" s="11">
        <v>418102.47</v>
      </c>
      <c r="F102" s="11">
        <v>396786.36</v>
      </c>
    </row>
    <row r="103" spans="1:6">
      <c r="A103" s="2">
        <f t="shared" si="1"/>
        <v>41940</v>
      </c>
      <c r="B103" s="10">
        <f>Passivo!C105+Passivo!D105+Passivo!E105+Passivo!K105</f>
        <v>311268.59999999998</v>
      </c>
      <c r="C103" s="11">
        <f>Passivo!G105+Passivo!H105+Passivo!I105</f>
        <v>2127676.81</v>
      </c>
      <c r="D103" s="11">
        <v>738614.67</v>
      </c>
      <c r="E103" s="11">
        <v>419492.1</v>
      </c>
      <c r="F103" s="11">
        <v>388087.99</v>
      </c>
    </row>
    <row r="104" spans="1:6">
      <c r="A104" s="2">
        <f t="shared" si="1"/>
        <v>41910</v>
      </c>
      <c r="B104" s="10">
        <f>Passivo!C106+Passivo!D106+Passivo!E106+Passivo!K106</f>
        <v>308214.88</v>
      </c>
      <c r="C104" s="11">
        <f>Passivo!G106+Passivo!H106+Passivo!I106</f>
        <v>2121986.8199999998</v>
      </c>
      <c r="D104" s="11">
        <v>765817.05</v>
      </c>
      <c r="E104" s="11">
        <v>419845.83</v>
      </c>
      <c r="F104" s="11">
        <v>392689.54</v>
      </c>
    </row>
    <row r="105" spans="1:6">
      <c r="A105" s="2">
        <f t="shared" si="1"/>
        <v>41879</v>
      </c>
      <c r="B105" s="10">
        <f>Passivo!C107+Passivo!D107+Passivo!E107+Passivo!K107</f>
        <v>304571.92</v>
      </c>
      <c r="C105" s="11">
        <f>Passivo!G107+Passivo!H107+Passivo!I107</f>
        <v>2122118.5399999996</v>
      </c>
      <c r="D105" s="11">
        <v>772270</v>
      </c>
      <c r="E105" s="11">
        <v>416013.38</v>
      </c>
      <c r="F105" s="11">
        <v>377399.97</v>
      </c>
    </row>
    <row r="106" spans="1:6">
      <c r="A106" s="2">
        <f t="shared" si="1"/>
        <v>41848</v>
      </c>
      <c r="B106" s="10">
        <f>Passivo!C108+Passivo!D108+Passivo!E108+Passivo!K108</f>
        <v>313511.89</v>
      </c>
      <c r="C106" s="11">
        <f>Passivo!G108+Passivo!H108+Passivo!I108</f>
        <v>2109780.3400000003</v>
      </c>
      <c r="D106" s="11">
        <v>783566.23</v>
      </c>
      <c r="E106" s="11">
        <v>414959.55</v>
      </c>
      <c r="F106" s="11">
        <v>378077.04</v>
      </c>
    </row>
    <row r="107" spans="1:6">
      <c r="A107" s="2">
        <f t="shared" si="1"/>
        <v>41818</v>
      </c>
      <c r="B107" s="10">
        <f>Passivo!C109+Passivo!D109+Passivo!E109+Passivo!K109</f>
        <v>316061.7</v>
      </c>
      <c r="C107" s="11">
        <f>Passivo!G109+Passivo!H109+Passivo!I109</f>
        <v>2110906.3699999996</v>
      </c>
      <c r="D107" s="11">
        <v>802135.14</v>
      </c>
      <c r="E107" s="11">
        <v>411000.46</v>
      </c>
      <c r="F107" s="11">
        <v>380826.32</v>
      </c>
    </row>
    <row r="108" spans="1:6">
      <c r="A108" s="2">
        <f t="shared" si="1"/>
        <v>41787</v>
      </c>
      <c r="B108" s="10">
        <f>Passivo!C110+Passivo!D110+Passivo!E110+Passivo!K110</f>
        <v>309075.8</v>
      </c>
      <c r="C108" s="11">
        <f>Passivo!G110+Passivo!H110+Passivo!I110</f>
        <v>2104328.63</v>
      </c>
      <c r="D108" s="11">
        <v>813616.35</v>
      </c>
      <c r="E108" s="11">
        <v>404628.63</v>
      </c>
      <c r="F108" s="11">
        <v>363848.7</v>
      </c>
    </row>
    <row r="109" spans="1:6">
      <c r="A109" s="2">
        <f t="shared" si="1"/>
        <v>41757</v>
      </c>
      <c r="B109" s="10">
        <f>Passivo!C111+Passivo!D111+Passivo!E111+Passivo!K111</f>
        <v>304130.42</v>
      </c>
      <c r="C109" s="11">
        <f>Passivo!G111+Passivo!H111+Passivo!I111</f>
        <v>2107658.71</v>
      </c>
      <c r="D109" s="11">
        <v>825388.35</v>
      </c>
      <c r="E109" s="11">
        <v>423070.64</v>
      </c>
      <c r="F109" s="11">
        <v>367562.45</v>
      </c>
    </row>
    <row r="110" spans="1:6">
      <c r="A110" s="2">
        <f t="shared" si="1"/>
        <v>41726</v>
      </c>
      <c r="B110" s="10">
        <f>Passivo!C112+Passivo!D112+Passivo!E112+Passivo!K112</f>
        <v>307779.95999999996</v>
      </c>
      <c r="C110" s="11">
        <f>Passivo!G112+Passivo!H112+Passivo!I112</f>
        <v>2131736.87</v>
      </c>
      <c r="D110" s="11">
        <v>830006.13</v>
      </c>
      <c r="E110" s="11">
        <v>420996.57</v>
      </c>
      <c r="F110" s="11">
        <v>364994.47</v>
      </c>
    </row>
    <row r="111" spans="1:6">
      <c r="A111" s="2">
        <f t="shared" si="1"/>
        <v>41698</v>
      </c>
      <c r="B111" s="10">
        <f>Passivo!C113+Passivo!D113+Passivo!E113+Passivo!K113</f>
        <v>303748.42</v>
      </c>
      <c r="C111" s="11">
        <f>Passivo!G113+Passivo!H113+Passivo!I113</f>
        <v>2113546.85</v>
      </c>
      <c r="D111" s="11">
        <v>861623.1</v>
      </c>
      <c r="E111" s="11">
        <v>405353.65</v>
      </c>
      <c r="F111" s="11">
        <v>369925.59</v>
      </c>
    </row>
    <row r="112" spans="1:6">
      <c r="A112" s="2">
        <f t="shared" si="1"/>
        <v>41667</v>
      </c>
      <c r="B112" s="10">
        <f>Passivo!C114+Passivo!D114+Passivo!E114+Passivo!K114</f>
        <v>321557.19</v>
      </c>
      <c r="C112" s="11">
        <f>Passivo!G114+Passivo!H114+Passivo!I114</f>
        <v>2097871.58</v>
      </c>
      <c r="D112" s="11">
        <v>871451.36</v>
      </c>
      <c r="E112" s="11">
        <v>399693.61</v>
      </c>
      <c r="F112" s="11">
        <v>373934.08000000002</v>
      </c>
    </row>
    <row r="113" spans="1:6">
      <c r="A113" s="2">
        <f t="shared" si="1"/>
        <v>41636</v>
      </c>
      <c r="B113" s="10">
        <f>Passivo!C115+Passivo!D115+Passivo!E115+Passivo!K115</f>
        <v>319828.81</v>
      </c>
      <c r="C113" s="11">
        <f>Passivo!G115+Passivo!H115+Passivo!I115</f>
        <v>2104339.52</v>
      </c>
      <c r="D113" s="11">
        <v>878351.73</v>
      </c>
      <c r="E113" s="11">
        <v>390651.54</v>
      </c>
      <c r="F113" s="11">
        <v>345135.08</v>
      </c>
    </row>
    <row r="114" spans="1:6">
      <c r="A114" s="2">
        <f t="shared" si="1"/>
        <v>41606</v>
      </c>
      <c r="B114" s="10">
        <f>Passivo!C116+Passivo!D116+Passivo!E116+Passivo!K116</f>
        <v>334149.69</v>
      </c>
      <c r="C114" s="11">
        <f>Passivo!G116+Passivo!H116+Passivo!I116</f>
        <v>2128100.2999999998</v>
      </c>
      <c r="D114" s="11">
        <v>886884.06</v>
      </c>
      <c r="E114" s="11">
        <v>387528.22</v>
      </c>
      <c r="F114" s="11">
        <v>361702.83</v>
      </c>
    </row>
    <row r="115" spans="1:6">
      <c r="A115" s="2">
        <f t="shared" si="1"/>
        <v>41575</v>
      </c>
      <c r="B115" s="10">
        <f>Passivo!C117+Passivo!D117+Passivo!E117+Passivo!K117</f>
        <v>343295.47000000003</v>
      </c>
      <c r="C115" s="11">
        <f>Passivo!G117+Passivo!H117+Passivo!I117</f>
        <v>2115231.1100000003</v>
      </c>
      <c r="D115" s="11">
        <v>893560.07</v>
      </c>
      <c r="E115" s="11">
        <v>386560.26</v>
      </c>
      <c r="F115" s="11">
        <v>376348.56</v>
      </c>
    </row>
    <row r="116" spans="1:6">
      <c r="A116" s="2">
        <f t="shared" si="1"/>
        <v>41545</v>
      </c>
      <c r="B116" s="10">
        <f>Passivo!C118+Passivo!D118+Passivo!E118+Passivo!K118</f>
        <v>341400.29</v>
      </c>
      <c r="C116" s="11">
        <f>Passivo!G118+Passivo!H118+Passivo!I118</f>
        <v>2126824.19</v>
      </c>
      <c r="D116" s="11">
        <v>892078.06</v>
      </c>
      <c r="E116" s="11">
        <v>386084.33</v>
      </c>
      <c r="F116" s="11">
        <v>370122.14</v>
      </c>
    </row>
    <row r="117" spans="1:6">
      <c r="A117" s="2">
        <f t="shared" si="1"/>
        <v>41514</v>
      </c>
      <c r="B117" s="10">
        <f>Passivo!C119+Passivo!D119+Passivo!E119+Passivo!K119</f>
        <v>341799.07</v>
      </c>
      <c r="C117" s="11">
        <f>Passivo!G119+Passivo!H119+Passivo!I119</f>
        <v>2133018.33</v>
      </c>
      <c r="D117" s="11">
        <v>899813.68</v>
      </c>
      <c r="E117" s="11">
        <v>383615.45</v>
      </c>
      <c r="F117" s="11">
        <v>348252.66</v>
      </c>
    </row>
    <row r="118" spans="1:6">
      <c r="A118" s="2">
        <f t="shared" si="1"/>
        <v>41483</v>
      </c>
      <c r="B118" s="10">
        <f>Passivo!C120+Passivo!D120+Passivo!E120+Passivo!K120</f>
        <v>349144.16000000003</v>
      </c>
      <c r="C118" s="11">
        <f>Passivo!G120+Passivo!H120+Passivo!I120</f>
        <v>2115523.09</v>
      </c>
      <c r="D118" s="11">
        <v>905003.65</v>
      </c>
      <c r="E118" s="11">
        <v>382690.55</v>
      </c>
      <c r="F118" s="11">
        <v>377907.35</v>
      </c>
    </row>
    <row r="119" spans="1:6">
      <c r="A119" s="2">
        <f t="shared" si="1"/>
        <v>41453</v>
      </c>
      <c r="B119" s="10">
        <f>Passivo!C121+Passivo!D121+Passivo!E121+Passivo!K121</f>
        <v>349239</v>
      </c>
      <c r="C119" s="11">
        <f>Passivo!G121+Passivo!H121+Passivo!I121</f>
        <v>2152208.88</v>
      </c>
      <c r="D119" s="11">
        <v>913512.6</v>
      </c>
      <c r="E119" s="11">
        <v>381892.94</v>
      </c>
      <c r="F119" s="11">
        <v>364222.68</v>
      </c>
    </row>
    <row r="120" spans="1:6">
      <c r="A120" s="2">
        <f t="shared" si="1"/>
        <v>41422</v>
      </c>
      <c r="B120" s="10">
        <f>Passivo!C122+Passivo!D122+Passivo!E122+Passivo!K122</f>
        <v>339430.14</v>
      </c>
      <c r="C120" s="11">
        <f>Passivo!G122+Passivo!H122+Passivo!I122</f>
        <v>2150891.37</v>
      </c>
      <c r="D120" s="11">
        <v>912740.89</v>
      </c>
      <c r="E120" s="11">
        <v>382319.05</v>
      </c>
      <c r="F120" s="11">
        <v>410901.24</v>
      </c>
    </row>
    <row r="121" spans="1:6">
      <c r="A121" s="2">
        <f t="shared" si="1"/>
        <v>41392</v>
      </c>
      <c r="B121" s="10">
        <f>Passivo!C123+Passivo!D123+Passivo!E123+Passivo!K123</f>
        <v>338729.4</v>
      </c>
      <c r="C121" s="11">
        <f>Passivo!G123+Passivo!H123+Passivo!I123</f>
        <v>2160904.3400000003</v>
      </c>
      <c r="D121" s="11">
        <v>913736.96</v>
      </c>
      <c r="E121" s="11">
        <v>382179.36</v>
      </c>
      <c r="F121" s="11">
        <v>430203.12</v>
      </c>
    </row>
    <row r="122" spans="1:6">
      <c r="A122" s="2">
        <f t="shared" si="1"/>
        <v>41361</v>
      </c>
      <c r="B122" s="10">
        <f>Passivo!C124+Passivo!D124+Passivo!E124+Passivo!K124</f>
        <v>336303.52</v>
      </c>
      <c r="C122" s="11">
        <f>Passivo!G124+Passivo!H124+Passivo!I124</f>
        <v>2151787.9800000004</v>
      </c>
      <c r="D122" s="11">
        <v>928879.09</v>
      </c>
      <c r="E122" s="11">
        <v>388025.3</v>
      </c>
      <c r="F122" s="11">
        <v>407966.85</v>
      </c>
    </row>
    <row r="123" spans="1:6">
      <c r="A123" s="2">
        <f t="shared" si="1"/>
        <v>41333</v>
      </c>
      <c r="B123" s="10">
        <f>Passivo!C125+Passivo!D125+Passivo!E125+Passivo!K125</f>
        <v>331529.69999999995</v>
      </c>
      <c r="C123" s="11">
        <f>Passivo!G125+Passivo!H125+Passivo!I125</f>
        <v>2128621.75</v>
      </c>
      <c r="D123" s="11">
        <v>948596.48</v>
      </c>
      <c r="E123" s="11">
        <v>385537.13</v>
      </c>
      <c r="F123" s="11">
        <v>419431.78</v>
      </c>
    </row>
    <row r="124" spans="1:6">
      <c r="A124" s="2">
        <f t="shared" si="1"/>
        <v>41302</v>
      </c>
      <c r="B124" s="10">
        <f>Passivo!C126+Passivo!D126+Passivo!E126+Passivo!K126</f>
        <v>342291.15</v>
      </c>
      <c r="C124" s="11">
        <f>Passivo!G126+Passivo!H126+Passivo!I126</f>
        <v>2086240.67</v>
      </c>
      <c r="D124" s="11">
        <v>960055.34</v>
      </c>
      <c r="E124" s="11">
        <v>380003.47</v>
      </c>
      <c r="F124" s="11">
        <v>414474.45</v>
      </c>
    </row>
    <row r="125" spans="1:6">
      <c r="A125" s="2">
        <f t="shared" si="1"/>
        <v>41271</v>
      </c>
      <c r="B125" s="10">
        <f>Passivo!C127+Passivo!D127+Passivo!E127+Passivo!K127</f>
        <v>344857.91000000003</v>
      </c>
      <c r="C125" s="11">
        <f>Passivo!G127+Passivo!H127+Passivo!I127</f>
        <v>2102596.2600000002</v>
      </c>
      <c r="D125" s="11">
        <v>958332.49</v>
      </c>
      <c r="E125" s="11">
        <v>372907.01</v>
      </c>
      <c r="F125" s="11">
        <v>432321.09</v>
      </c>
    </row>
    <row r="126" spans="1:6">
      <c r="A126" s="2">
        <f t="shared" si="1"/>
        <v>41241</v>
      </c>
      <c r="B126" s="10">
        <f>Passivo!C128+Passivo!D128+Passivo!E128+Passivo!K128</f>
        <v>349901.78</v>
      </c>
      <c r="C126" s="11">
        <f>Passivo!G128+Passivo!H128+Passivo!I128</f>
        <v>2097946.7199999997</v>
      </c>
      <c r="D126" s="11">
        <v>957594.38</v>
      </c>
      <c r="E126" s="11">
        <v>371054.84</v>
      </c>
      <c r="F126" s="11">
        <v>470546.78</v>
      </c>
    </row>
    <row r="127" spans="1:6">
      <c r="A127" s="2">
        <f t="shared" si="1"/>
        <v>41210</v>
      </c>
      <c r="B127" s="10">
        <f>Passivo!C129+Passivo!D129+Passivo!E129+Passivo!K129</f>
        <v>356168.01</v>
      </c>
      <c r="C127" s="11">
        <f>Passivo!G129+Passivo!H129+Passivo!I129</f>
        <v>2099288.91</v>
      </c>
      <c r="D127" s="11">
        <v>961643.54</v>
      </c>
      <c r="E127" s="11">
        <v>371523.09</v>
      </c>
      <c r="F127" s="11">
        <v>435760.65</v>
      </c>
    </row>
    <row r="128" spans="1:6">
      <c r="A128" s="2">
        <f t="shared" si="1"/>
        <v>41180</v>
      </c>
      <c r="B128" s="10">
        <f>Passivo!C130+Passivo!D130+Passivo!E130+Passivo!K130</f>
        <v>351170.69999999995</v>
      </c>
      <c r="C128" s="11">
        <f>Passivo!G130+Passivo!H130+Passivo!I130</f>
        <v>2136530.62</v>
      </c>
      <c r="D128" s="11">
        <v>961827.17</v>
      </c>
      <c r="E128" s="11">
        <v>370794.51</v>
      </c>
      <c r="F128" s="11">
        <v>419136.86</v>
      </c>
    </row>
    <row r="129" spans="1:6">
      <c r="A129" s="2">
        <f t="shared" si="1"/>
        <v>41149</v>
      </c>
      <c r="B129" s="10">
        <f>Passivo!C131+Passivo!D131+Passivo!E131+Passivo!K131</f>
        <v>356082.14999999997</v>
      </c>
      <c r="C129" s="11">
        <f>Passivo!G131+Passivo!H131+Passivo!I131</f>
        <v>2094881.66</v>
      </c>
      <c r="D129" s="11">
        <v>962194.95</v>
      </c>
      <c r="E129" s="11">
        <v>371785.1</v>
      </c>
      <c r="F129" s="11">
        <v>439861.29</v>
      </c>
    </row>
    <row r="130" spans="1:6">
      <c r="A130" s="2">
        <f t="shared" si="1"/>
        <v>41118</v>
      </c>
      <c r="B130" s="10">
        <f>Passivo!C132+Passivo!D132+Passivo!E132+Passivo!K132</f>
        <v>354919.16000000003</v>
      </c>
      <c r="C130" s="11">
        <f>Passivo!G132+Passivo!H132+Passivo!I132</f>
        <v>2096681.5699999998</v>
      </c>
      <c r="D130" s="11">
        <v>966302.09</v>
      </c>
      <c r="E130" s="11">
        <v>371492.72</v>
      </c>
      <c r="F130" s="11">
        <v>452034.22</v>
      </c>
    </row>
    <row r="131" spans="1:6">
      <c r="A131" s="2">
        <f t="shared" si="1"/>
        <v>41088</v>
      </c>
      <c r="B131" s="10">
        <f>Passivo!C133+Passivo!D133+Passivo!E133+Passivo!K133</f>
        <v>365247.51</v>
      </c>
      <c r="C131" s="11">
        <f>Passivo!G133+Passivo!H133+Passivo!I133</f>
        <v>2100856.1</v>
      </c>
      <c r="D131" s="11">
        <v>953322.52</v>
      </c>
      <c r="E131" s="11">
        <v>372321.11</v>
      </c>
      <c r="F131" s="11">
        <v>403668.44</v>
      </c>
    </row>
    <row r="132" spans="1:6">
      <c r="A132" s="2">
        <f t="shared" ref="A132:A195" si="2">EDATE(A131,-1)</f>
        <v>41057</v>
      </c>
      <c r="B132" s="10">
        <f>Passivo!C134+Passivo!D134+Passivo!E134+Passivo!K134</f>
        <v>362696.35</v>
      </c>
      <c r="C132" s="11">
        <f>Passivo!G134+Passivo!H134+Passivo!I134</f>
        <v>2059205.9</v>
      </c>
      <c r="D132" s="11">
        <v>945494.46</v>
      </c>
      <c r="E132" s="11">
        <v>370287</v>
      </c>
      <c r="F132" s="11">
        <v>464932.21</v>
      </c>
    </row>
    <row r="133" spans="1:6">
      <c r="A133" s="2">
        <f t="shared" si="2"/>
        <v>41027</v>
      </c>
      <c r="B133" s="10">
        <f>Passivo!C135+Passivo!D135+Passivo!E135+Passivo!K135</f>
        <v>359253.92</v>
      </c>
      <c r="C133" s="11">
        <f>Passivo!G135+Passivo!H135+Passivo!I135</f>
        <v>2060388.01</v>
      </c>
      <c r="D133" s="11">
        <v>942940.18</v>
      </c>
      <c r="E133" s="11">
        <v>383247</v>
      </c>
      <c r="F133" s="11">
        <v>424191.04</v>
      </c>
    </row>
    <row r="134" spans="1:6">
      <c r="A134" s="2">
        <f t="shared" si="2"/>
        <v>40996</v>
      </c>
      <c r="B134" s="10">
        <f>Passivo!C136+Passivo!D136+Passivo!E136+Passivo!K136</f>
        <v>361149.49</v>
      </c>
      <c r="C134" s="11">
        <f>Passivo!G136+Passivo!H136+Passivo!I136</f>
        <v>2050623.85</v>
      </c>
      <c r="D134" s="11">
        <v>959936.21</v>
      </c>
      <c r="E134" s="11">
        <v>394564</v>
      </c>
      <c r="F134" s="11">
        <v>372990.61</v>
      </c>
    </row>
    <row r="135" spans="1:6">
      <c r="A135" s="2">
        <f t="shared" si="2"/>
        <v>40967</v>
      </c>
      <c r="B135" s="10">
        <f>Passivo!C137+Passivo!D137+Passivo!E137+Passivo!K137</f>
        <v>374508.63</v>
      </c>
      <c r="C135" s="11">
        <f>Passivo!G137+Passivo!H137+Passivo!I137</f>
        <v>1988726.58</v>
      </c>
      <c r="D135" s="11">
        <v>956029</v>
      </c>
      <c r="E135" s="11">
        <v>392568</v>
      </c>
      <c r="F135" s="11">
        <v>402234</v>
      </c>
    </row>
    <row r="136" spans="1:6">
      <c r="A136" s="2">
        <f t="shared" si="2"/>
        <v>40936</v>
      </c>
      <c r="B136" s="10">
        <f>Passivo!C138+Passivo!D138+Passivo!E138+Passivo!K138</f>
        <v>377109.45999999996</v>
      </c>
      <c r="C136" s="11">
        <f>Passivo!G138+Passivo!H138+Passivo!I138</f>
        <v>1969709.65</v>
      </c>
      <c r="D136" s="11">
        <v>940089.17</v>
      </c>
      <c r="E136" s="11">
        <v>390666</v>
      </c>
      <c r="F136" s="11">
        <v>408261</v>
      </c>
    </row>
    <row r="137" spans="1:6">
      <c r="A137" s="2">
        <f t="shared" si="2"/>
        <v>40905</v>
      </c>
      <c r="B137" s="10">
        <f>Passivo!C139+Passivo!D139+Passivo!E139+Passivo!K139</f>
        <v>387616.52</v>
      </c>
      <c r="C137" s="11">
        <f>Passivo!G139+Passivo!H139+Passivo!I139</f>
        <v>1971273.2</v>
      </c>
      <c r="D137" s="11">
        <v>914227.14</v>
      </c>
      <c r="E137" s="11">
        <v>379559</v>
      </c>
      <c r="F137" s="11">
        <v>382071.63</v>
      </c>
    </row>
    <row r="138" spans="1:6">
      <c r="A138" s="2">
        <f t="shared" si="2"/>
        <v>40875</v>
      </c>
      <c r="B138" s="10">
        <f>Passivo!C140+Passivo!D140+Passivo!E140+Passivo!K140</f>
        <v>407501.58999999997</v>
      </c>
      <c r="C138" s="11">
        <f>Passivo!G140+Passivo!H140+Passivo!I140</f>
        <v>1914567.75</v>
      </c>
      <c r="D138" s="11">
        <v>865085.97</v>
      </c>
      <c r="E138" s="11">
        <v>385525.67</v>
      </c>
      <c r="F138" s="11">
        <v>412235.81</v>
      </c>
    </row>
    <row r="139" spans="1:6">
      <c r="A139" s="2">
        <f t="shared" si="2"/>
        <v>40844</v>
      </c>
      <c r="B139" s="10">
        <f>Passivo!C141+Passivo!D141+Passivo!E141+Passivo!K141</f>
        <v>420610.78</v>
      </c>
      <c r="C139" s="11">
        <f>Passivo!G141+Passivo!H141+Passivo!I141</f>
        <v>1907689.08</v>
      </c>
      <c r="D139" s="11">
        <v>858156.62</v>
      </c>
      <c r="E139" s="11">
        <v>383241.31</v>
      </c>
      <c r="F139" s="11">
        <v>377024.43</v>
      </c>
    </row>
    <row r="140" spans="1:6">
      <c r="A140" s="2">
        <f t="shared" si="2"/>
        <v>40814</v>
      </c>
      <c r="B140" s="10">
        <f>Passivo!C142+Passivo!D142+Passivo!E142+Passivo!K142</f>
        <v>423106.97</v>
      </c>
      <c r="C140" s="11">
        <f>Passivo!G142+Passivo!H142+Passivo!I142</f>
        <v>1895498.83</v>
      </c>
      <c r="D140" s="11">
        <v>860453</v>
      </c>
      <c r="E140" s="11">
        <v>383297.58</v>
      </c>
      <c r="F140" s="11">
        <v>389090.9</v>
      </c>
    </row>
    <row r="141" spans="1:6">
      <c r="A141" s="2">
        <f t="shared" si="2"/>
        <v>40783</v>
      </c>
      <c r="B141" s="10">
        <f>Passivo!C143+Passivo!D143+Passivo!E143+Passivo!K143</f>
        <v>421008.36</v>
      </c>
      <c r="C141" s="11">
        <f>Passivo!G143+Passivo!H143+Passivo!I143</f>
        <v>1851688.71</v>
      </c>
      <c r="D141" s="11">
        <v>850394.21</v>
      </c>
      <c r="E141" s="11">
        <v>382362.15</v>
      </c>
      <c r="F141" s="11">
        <v>340174.21</v>
      </c>
    </row>
    <row r="142" spans="1:6">
      <c r="A142" s="2">
        <f t="shared" si="2"/>
        <v>40752</v>
      </c>
      <c r="B142" s="10">
        <f>Passivo!C144+Passivo!D144+Passivo!E144+Passivo!K144</f>
        <v>429592.81</v>
      </c>
      <c r="C142" s="11">
        <f>Passivo!G144+Passivo!H144+Passivo!I144</f>
        <v>1840540.28</v>
      </c>
      <c r="D142" s="11">
        <v>847356.1</v>
      </c>
      <c r="E142" s="11">
        <v>382171.9</v>
      </c>
      <c r="F142" s="11">
        <v>314252.53999999998</v>
      </c>
    </row>
    <row r="143" spans="1:6">
      <c r="A143" s="2">
        <f t="shared" si="2"/>
        <v>40722</v>
      </c>
      <c r="B143" s="10">
        <f>Passivo!C145+Passivo!D145+Passivo!E145+Passivo!K145</f>
        <v>447938.11</v>
      </c>
      <c r="C143" s="11">
        <f>Passivo!G145+Passivo!H145+Passivo!I145</f>
        <v>1796527.24</v>
      </c>
      <c r="D143" s="11">
        <v>844134.19</v>
      </c>
      <c r="E143" s="11">
        <v>379937.19</v>
      </c>
      <c r="F143" s="11">
        <v>310904.31</v>
      </c>
    </row>
    <row r="144" spans="1:6">
      <c r="A144" s="2">
        <f t="shared" si="2"/>
        <v>40691</v>
      </c>
      <c r="B144" s="10">
        <f>Passivo!C146+Passivo!D146+Passivo!E146+Passivo!K146</f>
        <v>452449.17999999993</v>
      </c>
      <c r="C144" s="11">
        <f>Passivo!G146+Passivo!H146+Passivo!I146</f>
        <v>1793155.94</v>
      </c>
      <c r="D144" s="11">
        <v>846070.99</v>
      </c>
      <c r="E144" s="11">
        <v>373876.87</v>
      </c>
      <c r="F144" s="11">
        <v>326180.07</v>
      </c>
    </row>
    <row r="145" spans="1:6">
      <c r="A145" s="2">
        <f t="shared" si="2"/>
        <v>40661</v>
      </c>
      <c r="B145" s="10">
        <f>Passivo!C147+Passivo!D147+Passivo!E147+Passivo!K147</f>
        <v>448022.62</v>
      </c>
      <c r="C145" s="11">
        <f>Passivo!G147+Passivo!H147+Passivo!I147</f>
        <v>1807310.7700000003</v>
      </c>
      <c r="D145" s="11">
        <v>835010.56000000006</v>
      </c>
      <c r="E145" s="11">
        <v>370058.11</v>
      </c>
      <c r="F145" s="11">
        <v>295987.92</v>
      </c>
    </row>
    <row r="146" spans="1:6">
      <c r="A146" s="2">
        <f t="shared" si="2"/>
        <v>40630</v>
      </c>
      <c r="B146" s="10">
        <f>Passivo!C148+Passivo!D148+Passivo!E148+Passivo!K148</f>
        <v>447845.23</v>
      </c>
      <c r="C146" s="11">
        <f>Passivo!G148+Passivo!H148+Passivo!I148</f>
        <v>1793449.52</v>
      </c>
      <c r="D146" s="11">
        <v>832743.8</v>
      </c>
      <c r="E146" s="11">
        <v>368296.3</v>
      </c>
      <c r="F146" s="11">
        <v>313093.81</v>
      </c>
    </row>
    <row r="147" spans="1:6">
      <c r="A147" s="2">
        <f t="shared" si="2"/>
        <v>40602</v>
      </c>
      <c r="B147" s="10">
        <f>Passivo!C149+Passivo!D149+Passivo!E149+Passivo!K149</f>
        <v>444887.74</v>
      </c>
      <c r="C147" s="11">
        <f>Passivo!G149+Passivo!H149+Passivo!I149</f>
        <v>1831597.99</v>
      </c>
      <c r="D147" s="11">
        <v>812390.26</v>
      </c>
      <c r="E147" s="11">
        <v>368463.2</v>
      </c>
      <c r="F147" s="11">
        <v>328019.37</v>
      </c>
    </row>
    <row r="148" spans="1:6">
      <c r="A148" s="2">
        <f t="shared" si="2"/>
        <v>40571</v>
      </c>
      <c r="B148" s="10">
        <f>Passivo!C150+Passivo!D150+Passivo!E150+Passivo!K150</f>
        <v>435251.87</v>
      </c>
      <c r="C148" s="11">
        <f>Passivo!G150+Passivo!H150+Passivo!I150</f>
        <v>1834346.62</v>
      </c>
      <c r="D148" s="11">
        <v>807693.58</v>
      </c>
      <c r="E148" s="11">
        <v>363068.29</v>
      </c>
      <c r="F148" s="11">
        <v>338062.01</v>
      </c>
    </row>
    <row r="149" spans="1:6">
      <c r="A149" s="2">
        <f t="shared" si="2"/>
        <v>40540</v>
      </c>
      <c r="B149" s="10">
        <f>Passivo!C151+Passivo!D151+Passivo!E151+Passivo!K151</f>
        <v>424587.4</v>
      </c>
      <c r="C149" s="11">
        <f>Passivo!G151+Passivo!H151+Passivo!I151</f>
        <v>1852012.94</v>
      </c>
      <c r="D149" s="11">
        <v>807691.36</v>
      </c>
      <c r="E149" s="11">
        <v>349447.08</v>
      </c>
      <c r="F149" s="11">
        <v>325151.95</v>
      </c>
    </row>
    <row r="150" spans="1:6">
      <c r="A150" s="2">
        <f t="shared" si="2"/>
        <v>40510</v>
      </c>
      <c r="B150" s="10">
        <f>Passivo!C152+Passivo!D152+Passivo!E152+Passivo!K152</f>
        <v>433081.04</v>
      </c>
      <c r="C150" s="11">
        <f>Passivo!G152+Passivo!H152+Passivo!I152</f>
        <v>1787185.47</v>
      </c>
      <c r="D150" s="11">
        <v>812320.08</v>
      </c>
      <c r="E150" s="11">
        <v>345781.06</v>
      </c>
      <c r="F150" s="11">
        <v>409777.64</v>
      </c>
    </row>
    <row r="151" spans="1:6">
      <c r="A151" s="2">
        <f t="shared" si="2"/>
        <v>40479</v>
      </c>
      <c r="B151" s="10">
        <f>Passivo!C153+Passivo!D153+Passivo!E153+Passivo!K153</f>
        <v>430845.05000000005</v>
      </c>
      <c r="C151" s="11">
        <f>Passivo!G153+Passivo!H153+Passivo!I153</f>
        <v>1937014.83</v>
      </c>
      <c r="D151" s="11">
        <v>812907.44</v>
      </c>
      <c r="E151" s="11">
        <v>361510.63</v>
      </c>
      <c r="F151" s="11">
        <v>373193.37</v>
      </c>
    </row>
    <row r="152" spans="1:6">
      <c r="A152" s="2">
        <f t="shared" si="2"/>
        <v>40449</v>
      </c>
      <c r="B152" s="10">
        <f>Passivo!C154+Passivo!D154+Passivo!E154+Passivo!K154</f>
        <v>440844.86</v>
      </c>
      <c r="C152" s="11">
        <f>Passivo!G154+Passivo!H154+Passivo!I154</f>
        <v>1931356.75</v>
      </c>
      <c r="D152" s="11">
        <v>815103.41</v>
      </c>
      <c r="E152" s="11">
        <v>361273.96</v>
      </c>
      <c r="F152" s="11">
        <v>410612.91</v>
      </c>
    </row>
    <row r="153" spans="1:6">
      <c r="A153" s="2">
        <f t="shared" si="2"/>
        <v>40418</v>
      </c>
      <c r="B153" s="10">
        <f>Passivo!C155+Passivo!D155+Passivo!E155+Passivo!K155</f>
        <v>442816.68000000005</v>
      </c>
      <c r="C153" s="11">
        <f>Passivo!G155+Passivo!H155+Passivo!I155</f>
        <v>1922869.1400000001</v>
      </c>
      <c r="D153" s="11">
        <v>811148.24</v>
      </c>
      <c r="E153" s="11">
        <v>360868.84</v>
      </c>
      <c r="F153" s="11">
        <v>419077.19</v>
      </c>
    </row>
    <row r="154" spans="1:6">
      <c r="A154" s="2">
        <f t="shared" si="2"/>
        <v>40387</v>
      </c>
      <c r="B154" s="10">
        <f>Passivo!C156+Passivo!D156+Passivo!E156+Passivo!K156</f>
        <v>430257.25</v>
      </c>
      <c r="C154" s="11">
        <f>Passivo!G156+Passivo!H156+Passivo!I156</f>
        <v>1953886.2500000002</v>
      </c>
      <c r="D154" s="11">
        <v>807719.33</v>
      </c>
      <c r="E154" s="11">
        <v>360533.65</v>
      </c>
      <c r="F154" s="11">
        <v>368154.56</v>
      </c>
    </row>
    <row r="155" spans="1:6">
      <c r="A155" s="2">
        <f t="shared" si="2"/>
        <v>40357</v>
      </c>
      <c r="B155" s="10">
        <f>Passivo!C157+Passivo!D157+Passivo!E157+Passivo!K157</f>
        <v>426944.43</v>
      </c>
      <c r="C155" s="11">
        <f>Passivo!G157+Passivo!H157+Passivo!I157</f>
        <v>1965866.6600000001</v>
      </c>
      <c r="D155" s="11">
        <v>806870.12</v>
      </c>
      <c r="E155" s="11">
        <v>359999.16</v>
      </c>
      <c r="F155" s="11">
        <v>384297.26</v>
      </c>
    </row>
    <row r="156" spans="1:6">
      <c r="A156" s="2">
        <f t="shared" si="2"/>
        <v>40326</v>
      </c>
      <c r="B156" s="10">
        <f>Passivo!C158+Passivo!D158+Passivo!E158+Passivo!K158</f>
        <v>444549.11</v>
      </c>
      <c r="C156" s="11">
        <f>Passivo!G158+Passivo!H158+Passivo!I158</f>
        <v>1807256.9900000002</v>
      </c>
      <c r="D156" s="11">
        <v>812850.47</v>
      </c>
      <c r="E156" s="11">
        <v>302850.55</v>
      </c>
      <c r="F156" s="11">
        <v>452799.1</v>
      </c>
    </row>
    <row r="157" spans="1:6">
      <c r="A157" s="2">
        <f t="shared" si="2"/>
        <v>40296</v>
      </c>
      <c r="B157" s="10">
        <f>Passivo!C159+Passivo!D159+Passivo!E159+Passivo!K159</f>
        <v>436576.69</v>
      </c>
      <c r="C157" s="11">
        <f>Passivo!G159+Passivo!H159+Passivo!I159</f>
        <v>1768715.5599999998</v>
      </c>
      <c r="D157" s="11">
        <v>814030.31</v>
      </c>
      <c r="E157" s="11">
        <v>302062.21000000002</v>
      </c>
      <c r="F157" s="11">
        <v>420307.53</v>
      </c>
    </row>
    <row r="158" spans="1:6">
      <c r="A158" s="2">
        <f t="shared" si="2"/>
        <v>40265</v>
      </c>
      <c r="B158" s="10">
        <f>Passivo!C160+Passivo!D160+Passivo!E160+Passivo!K160</f>
        <v>437174.25</v>
      </c>
      <c r="C158" s="11">
        <f>Passivo!G160+Passivo!H160+Passivo!I160</f>
        <v>1756600.19</v>
      </c>
      <c r="D158" s="11">
        <v>815560.39</v>
      </c>
      <c r="E158" s="11">
        <v>299057.40000000002</v>
      </c>
      <c r="F158" s="11">
        <v>407328.98</v>
      </c>
    </row>
    <row r="159" spans="1:6">
      <c r="A159" s="2">
        <f t="shared" si="2"/>
        <v>40237</v>
      </c>
      <c r="B159" s="10">
        <f>Passivo!C161+Passivo!D161+Passivo!E161+Passivo!K161</f>
        <v>435730.17999999993</v>
      </c>
      <c r="C159" s="11">
        <f>Passivo!G161+Passivo!H161+Passivo!I161</f>
        <v>1761405.66</v>
      </c>
      <c r="D159" s="11">
        <v>815076.43</v>
      </c>
      <c r="E159" s="11">
        <v>298559.28000000003</v>
      </c>
      <c r="F159" s="11">
        <v>407722.49</v>
      </c>
    </row>
    <row r="160" spans="1:6">
      <c r="A160" s="2">
        <f t="shared" si="2"/>
        <v>40206</v>
      </c>
      <c r="B160" s="10">
        <f>Passivo!C162+Passivo!D162+Passivo!E162+Passivo!K162</f>
        <v>427975.37</v>
      </c>
      <c r="C160" s="11">
        <f>Passivo!G162+Passivo!H162+Passivo!I162</f>
        <v>1767021.9900000002</v>
      </c>
      <c r="D160" s="11">
        <v>820718.58</v>
      </c>
      <c r="E160" s="11">
        <v>298453.7</v>
      </c>
      <c r="F160" s="11">
        <v>394979.04</v>
      </c>
    </row>
    <row r="161" spans="1:6">
      <c r="A161" s="2">
        <f t="shared" si="2"/>
        <v>40175</v>
      </c>
      <c r="B161" s="10">
        <f>Passivo!C163+Passivo!D163+Passivo!E163+Passivo!K163</f>
        <v>425936.02</v>
      </c>
      <c r="C161" s="11">
        <f>Passivo!G163+Passivo!H163+Passivo!I163</f>
        <v>1771198.7499999998</v>
      </c>
      <c r="D161" s="11">
        <v>819600.7</v>
      </c>
      <c r="E161" s="11">
        <v>293935.99</v>
      </c>
      <c r="F161" s="11">
        <v>380020.86</v>
      </c>
    </row>
    <row r="162" spans="1:6">
      <c r="A162" s="2">
        <f t="shared" si="2"/>
        <v>40145</v>
      </c>
      <c r="B162" s="10">
        <f>Passivo!C164+Passivo!D164+Passivo!E164+Passivo!K164</f>
        <v>431145.42</v>
      </c>
      <c r="C162" s="11">
        <f>Passivo!G164+Passivo!H164+Passivo!I164</f>
        <v>1741265.4400000002</v>
      </c>
      <c r="D162" s="11">
        <v>815811.34</v>
      </c>
      <c r="E162" s="11">
        <v>291753.62</v>
      </c>
      <c r="F162" s="11">
        <v>441931.44</v>
      </c>
    </row>
    <row r="163" spans="1:6">
      <c r="A163" s="2">
        <f t="shared" si="2"/>
        <v>40114</v>
      </c>
      <c r="B163" s="10">
        <f>Passivo!C165+Passivo!D165+Passivo!E165+Passivo!K165</f>
        <v>444651.54</v>
      </c>
      <c r="C163" s="11">
        <f>Passivo!G165+Passivo!H165+Passivo!I165</f>
        <v>1728446.43</v>
      </c>
      <c r="D163" s="11">
        <v>811687.85</v>
      </c>
      <c r="E163" s="11">
        <v>290656.48</v>
      </c>
      <c r="F163" s="11">
        <v>395268.05</v>
      </c>
    </row>
    <row r="164" spans="1:6">
      <c r="A164" s="2">
        <f t="shared" si="2"/>
        <v>40084</v>
      </c>
      <c r="B164" s="10">
        <f>Passivo!C166+Passivo!D166+Passivo!E166+Passivo!K166</f>
        <v>452978.29000000004</v>
      </c>
      <c r="C164" s="11">
        <f>Passivo!G166+Passivo!H166+Passivo!I166</f>
        <v>1708014.67</v>
      </c>
      <c r="D164" s="11">
        <v>815744.4</v>
      </c>
      <c r="E164" s="11">
        <v>292094.18</v>
      </c>
      <c r="F164" s="11">
        <v>401850.15</v>
      </c>
    </row>
    <row r="165" spans="1:6">
      <c r="A165" s="2">
        <f t="shared" si="2"/>
        <v>40053</v>
      </c>
      <c r="B165" s="10">
        <f>Passivo!C167+Passivo!D167+Passivo!E167+Passivo!K167</f>
        <v>461512.70999999996</v>
      </c>
      <c r="C165" s="11">
        <f>Passivo!G167+Passivo!H167+Passivo!I167</f>
        <v>1690468.5099999998</v>
      </c>
      <c r="D165" s="11">
        <v>814406.71</v>
      </c>
      <c r="E165" s="11">
        <v>291029.45</v>
      </c>
      <c r="F165" s="11">
        <v>395302.81</v>
      </c>
    </row>
    <row r="166" spans="1:6">
      <c r="A166" s="2">
        <f t="shared" si="2"/>
        <v>40022</v>
      </c>
      <c r="B166" s="10">
        <f>Passivo!C168+Passivo!D168+Passivo!E168+Passivo!K168</f>
        <v>473674.79</v>
      </c>
      <c r="C166" s="11">
        <f>Passivo!G168+Passivo!H168+Passivo!I168</f>
        <v>1698598.52</v>
      </c>
      <c r="D166" s="11">
        <v>812123.98</v>
      </c>
      <c r="E166" s="11">
        <v>290970.52</v>
      </c>
      <c r="F166" s="11">
        <v>406753.86</v>
      </c>
    </row>
    <row r="167" spans="1:6">
      <c r="A167" s="2">
        <f t="shared" si="2"/>
        <v>39992</v>
      </c>
      <c r="B167" s="10">
        <f>Passivo!C169+Passivo!D169+Passivo!E169+Passivo!K169</f>
        <v>483438.12</v>
      </c>
      <c r="C167" s="11">
        <f>Passivo!G169+Passivo!H169+Passivo!I169</f>
        <v>1711376.1500000001</v>
      </c>
      <c r="D167" s="11">
        <v>808490.05</v>
      </c>
      <c r="E167" s="11">
        <v>289417.83</v>
      </c>
      <c r="F167" s="11">
        <v>401118.77</v>
      </c>
    </row>
    <row r="168" spans="1:6">
      <c r="A168" s="2">
        <f t="shared" si="2"/>
        <v>39961</v>
      </c>
      <c r="B168" s="10">
        <f>Passivo!C170+Passivo!D170+Passivo!E170+Passivo!K170</f>
        <v>473429.80000000005</v>
      </c>
      <c r="C168" s="11">
        <f>Passivo!G170+Passivo!H170+Passivo!I170</f>
        <v>1703637.8099999998</v>
      </c>
      <c r="D168" s="11">
        <v>804493.56</v>
      </c>
      <c r="E168" s="11">
        <v>288318.62</v>
      </c>
      <c r="F168" s="11">
        <v>415254.81</v>
      </c>
    </row>
    <row r="169" spans="1:6">
      <c r="A169" s="2">
        <f t="shared" si="2"/>
        <v>39931</v>
      </c>
      <c r="B169" s="10">
        <f>Passivo!C171+Passivo!D171+Passivo!E171+Passivo!K171</f>
        <v>478276.74</v>
      </c>
      <c r="C169" s="11">
        <f>Passivo!G171+Passivo!H171+Passivo!I171</f>
        <v>1703845.8099999998</v>
      </c>
      <c r="D169" s="11">
        <v>799401.63</v>
      </c>
      <c r="E169" s="11">
        <v>287670.88</v>
      </c>
      <c r="F169" s="11">
        <v>422153.72</v>
      </c>
    </row>
    <row r="170" spans="1:6">
      <c r="A170" s="2">
        <f t="shared" si="2"/>
        <v>39900</v>
      </c>
      <c r="B170" s="10">
        <f>Passivo!C172+Passivo!D172+Passivo!E172+Passivo!K172</f>
        <v>480403.73</v>
      </c>
      <c r="C170" s="11">
        <f>Passivo!G172+Passivo!H172+Passivo!I172</f>
        <v>1713157.67</v>
      </c>
      <c r="D170" s="11">
        <v>788018.54</v>
      </c>
      <c r="E170" s="11">
        <v>279611.55</v>
      </c>
      <c r="F170" s="11">
        <v>447617.75</v>
      </c>
    </row>
    <row r="171" spans="1:6">
      <c r="A171" s="2">
        <f t="shared" si="2"/>
        <v>39872</v>
      </c>
      <c r="B171" s="10">
        <f>Passivo!C173+Passivo!D173+Passivo!E173+Passivo!K173</f>
        <v>490834.73000000004</v>
      </c>
      <c r="C171" s="11">
        <f>Passivo!G173+Passivo!H173+Passivo!I173</f>
        <v>1701133.31</v>
      </c>
      <c r="D171" s="11">
        <v>767629.56</v>
      </c>
      <c r="E171" s="11">
        <v>279750.58</v>
      </c>
      <c r="F171" s="11">
        <v>415175</v>
      </c>
    </row>
    <row r="172" spans="1:6">
      <c r="A172" s="2">
        <f t="shared" si="2"/>
        <v>39841</v>
      </c>
      <c r="B172" s="10">
        <f>Passivo!C174+Passivo!D174+Passivo!E174+Passivo!K174</f>
        <v>487711.85</v>
      </c>
      <c r="C172" s="11">
        <f>Passivo!G174+Passivo!H174+Passivo!I174</f>
        <v>1712968.67</v>
      </c>
      <c r="D172" s="11">
        <v>745532.44</v>
      </c>
      <c r="E172" s="11">
        <v>276296.21999999997</v>
      </c>
      <c r="F172" s="11">
        <v>412966</v>
      </c>
    </row>
    <row r="173" spans="1:6">
      <c r="A173" s="2">
        <f t="shared" si="2"/>
        <v>39810</v>
      </c>
      <c r="B173" s="10">
        <f>Passivo!C175+Passivo!D175+Passivo!E175+Passivo!K175</f>
        <v>470540.19</v>
      </c>
      <c r="C173" s="11">
        <f>Passivo!G175+Passivo!H175+Passivo!I175</f>
        <v>1711864.87</v>
      </c>
      <c r="D173" s="11">
        <v>740520.55</v>
      </c>
      <c r="E173" s="11">
        <v>276426.86</v>
      </c>
      <c r="F173" s="11">
        <v>435211.84</v>
      </c>
    </row>
    <row r="174" spans="1:6">
      <c r="A174" s="2">
        <f t="shared" si="2"/>
        <v>39780</v>
      </c>
      <c r="B174" s="10">
        <f>Passivo!C176+Passivo!D176+Passivo!E176+Passivo!K176</f>
        <v>495113.83999999997</v>
      </c>
      <c r="C174" s="11">
        <f>Passivo!G176+Passivo!H176+Passivo!I176</f>
        <v>1733274.3599999999</v>
      </c>
      <c r="D174" s="11">
        <v>740191.9</v>
      </c>
      <c r="E174" s="11">
        <v>275868.44</v>
      </c>
      <c r="F174" s="11">
        <v>470775.76</v>
      </c>
    </row>
    <row r="175" spans="1:6">
      <c r="A175" s="2">
        <f t="shared" si="2"/>
        <v>39749</v>
      </c>
      <c r="B175" s="10">
        <f>Passivo!C177+Passivo!D177+Passivo!E177+Passivo!K177</f>
        <v>505861.53</v>
      </c>
      <c r="C175" s="11">
        <f>Passivo!G177+Passivo!H177+Passivo!I177</f>
        <v>1872266.2999999998</v>
      </c>
      <c r="D175" s="11">
        <v>733444.56</v>
      </c>
      <c r="E175" s="11">
        <v>278021.73</v>
      </c>
      <c r="F175" s="11">
        <v>429061.4</v>
      </c>
    </row>
    <row r="176" spans="1:6">
      <c r="A176" s="2">
        <f t="shared" si="2"/>
        <v>39719</v>
      </c>
      <c r="B176" s="10">
        <f>Passivo!C178+Passivo!D178+Passivo!E178+Passivo!K178</f>
        <v>536892.54</v>
      </c>
      <c r="C176" s="11">
        <f>Passivo!G178+Passivo!H178+Passivo!I178</f>
        <v>1613208.56</v>
      </c>
      <c r="D176" s="11">
        <v>717944.48</v>
      </c>
      <c r="E176" s="11">
        <v>277765.17</v>
      </c>
      <c r="F176" s="11">
        <v>418483.82</v>
      </c>
    </row>
    <row r="177" spans="1:6">
      <c r="A177" s="2">
        <f t="shared" si="2"/>
        <v>39688</v>
      </c>
      <c r="B177" s="10">
        <f>Passivo!C179+Passivo!D179+Passivo!E179+Passivo!K179</f>
        <v>539452.59</v>
      </c>
      <c r="C177" s="11">
        <f>Passivo!G179+Passivo!H179+Passivo!I179</f>
        <v>1579451.04</v>
      </c>
      <c r="D177" s="11">
        <v>709892.41</v>
      </c>
      <c r="E177" s="11">
        <v>278813.21999999997</v>
      </c>
      <c r="F177" s="11">
        <v>397608.91</v>
      </c>
    </row>
    <row r="178" spans="1:6">
      <c r="A178" s="2">
        <f t="shared" si="2"/>
        <v>39657</v>
      </c>
      <c r="B178" s="10">
        <f>Passivo!C180+Passivo!D180+Passivo!E180+Passivo!K180</f>
        <v>526965.36999999988</v>
      </c>
      <c r="C178" s="11">
        <f>Passivo!G180+Passivo!H180+Passivo!I180</f>
        <v>1571462.24</v>
      </c>
      <c r="D178" s="11">
        <v>707212.65</v>
      </c>
      <c r="E178" s="11">
        <v>278315.28999999998</v>
      </c>
      <c r="F178" s="11">
        <v>415609.63</v>
      </c>
    </row>
    <row r="179" spans="1:6">
      <c r="A179" s="2">
        <f t="shared" si="2"/>
        <v>39627</v>
      </c>
      <c r="B179" s="10">
        <f>Passivo!C181+Passivo!D181+Passivo!E181+Passivo!K181</f>
        <v>531452.54</v>
      </c>
      <c r="C179" s="11">
        <f>Passivo!G181+Passivo!H181+Passivo!I181</f>
        <v>1574701.76</v>
      </c>
      <c r="D179" s="11">
        <v>702953.4</v>
      </c>
      <c r="E179" s="11">
        <v>278436.84000000003</v>
      </c>
      <c r="F179" s="11">
        <v>429871.24</v>
      </c>
    </row>
    <row r="180" spans="1:6">
      <c r="A180" s="2">
        <f t="shared" si="2"/>
        <v>39596</v>
      </c>
      <c r="B180" s="10">
        <f>Passivo!C182+Passivo!D182+Passivo!E182+Passivo!K182</f>
        <v>532594.15</v>
      </c>
      <c r="C180" s="11">
        <f>Passivo!G182+Passivo!H182+Passivo!I182</f>
        <v>1607124.3</v>
      </c>
      <c r="D180" s="11">
        <v>687709.62</v>
      </c>
      <c r="E180" s="11">
        <v>278429.15999999997</v>
      </c>
      <c r="F180" s="11">
        <v>422785.57</v>
      </c>
    </row>
    <row r="181" spans="1:6">
      <c r="A181" s="2">
        <f t="shared" si="2"/>
        <v>39566</v>
      </c>
      <c r="B181" s="10">
        <f>Passivo!C183+Passivo!D183+Passivo!E183+Passivo!K183</f>
        <v>509794.35</v>
      </c>
      <c r="C181" s="11">
        <f>Passivo!G183+Passivo!H183+Passivo!I183</f>
        <v>1547462.28</v>
      </c>
      <c r="D181" s="11">
        <v>669372.03</v>
      </c>
      <c r="E181" s="11">
        <v>272414.61</v>
      </c>
      <c r="F181" s="11">
        <v>424620.9</v>
      </c>
    </row>
    <row r="182" spans="1:6">
      <c r="A182" s="2">
        <f t="shared" si="2"/>
        <v>39535</v>
      </c>
      <c r="B182" s="10">
        <f>Passivo!C184+Passivo!D184+Passivo!E184+Passivo!K184</f>
        <v>505034.08999999997</v>
      </c>
      <c r="C182" s="11">
        <f>Passivo!G184+Passivo!H184+Passivo!I184</f>
        <v>1522228.71</v>
      </c>
      <c r="D182" s="11">
        <v>657984.06000000006</v>
      </c>
      <c r="E182" s="11">
        <v>272810.06</v>
      </c>
      <c r="F182" s="11">
        <v>429592.58</v>
      </c>
    </row>
    <row r="183" spans="1:6">
      <c r="A183" s="2">
        <f t="shared" si="2"/>
        <v>39506</v>
      </c>
      <c r="B183" s="10">
        <f>Passivo!C185+Passivo!D185+Passivo!E185+Passivo!K185</f>
        <v>512448.70000000007</v>
      </c>
      <c r="C183" s="11">
        <f>Passivo!G185+Passivo!H185+Passivo!I185</f>
        <v>1516833.92</v>
      </c>
      <c r="D183" s="11">
        <v>649368.72</v>
      </c>
      <c r="E183" s="11">
        <v>266457.01</v>
      </c>
      <c r="F183" s="11">
        <v>422944.96</v>
      </c>
    </row>
    <row r="184" spans="1:6">
      <c r="A184" s="2">
        <f t="shared" si="2"/>
        <v>39475</v>
      </c>
      <c r="B184" s="10">
        <f>Passivo!C186+Passivo!D186+Passivo!E186+Passivo!K186</f>
        <v>513285.59</v>
      </c>
      <c r="C184" s="11">
        <f>Passivo!G186+Passivo!H186+Passivo!I186</f>
        <v>1497889.9500000002</v>
      </c>
      <c r="D184" s="11">
        <v>628340.07999999996</v>
      </c>
      <c r="E184" s="11">
        <v>265927.12</v>
      </c>
      <c r="F184" s="11">
        <v>433697.87</v>
      </c>
    </row>
    <row r="185" spans="1:6">
      <c r="A185" s="2">
        <f t="shared" si="2"/>
        <v>39444</v>
      </c>
      <c r="B185" s="10">
        <f>Passivo!C187+Passivo!D187+Passivo!E187+Passivo!K187</f>
        <v>506489.93000000005</v>
      </c>
      <c r="C185" s="11">
        <f>Passivo!G187+Passivo!H187+Passivo!I187</f>
        <v>1515472.8000000003</v>
      </c>
      <c r="D185" s="11">
        <v>618054.15</v>
      </c>
      <c r="E185" s="11">
        <v>264678.90999999997</v>
      </c>
      <c r="F185" s="11">
        <v>427132.47</v>
      </c>
    </row>
    <row r="186" spans="1:6">
      <c r="A186" s="2">
        <f t="shared" si="2"/>
        <v>39414</v>
      </c>
      <c r="B186" s="10">
        <f>Passivo!C188+Passivo!D188+Passivo!E188+Passivo!K188</f>
        <v>531025.73</v>
      </c>
      <c r="C186" s="11">
        <f>Passivo!G188+Passivo!H188+Passivo!I188</f>
        <v>1461982.28</v>
      </c>
      <c r="D186" s="11">
        <v>608516.98</v>
      </c>
      <c r="E186" s="11">
        <v>259077.46</v>
      </c>
      <c r="F186" s="11">
        <v>464577.03</v>
      </c>
    </row>
    <row r="187" spans="1:6">
      <c r="A187" s="2">
        <f t="shared" si="2"/>
        <v>39383</v>
      </c>
      <c r="B187" s="10">
        <f>Passivo!C189+Passivo!D189+Passivo!E189+Passivo!K189</f>
        <v>538062.42000000004</v>
      </c>
      <c r="C187" s="11">
        <f>Passivo!G189+Passivo!H189+Passivo!I189</f>
        <v>1467500.3199999998</v>
      </c>
      <c r="D187" s="11">
        <v>604025.61</v>
      </c>
      <c r="E187" s="11">
        <v>258435.13</v>
      </c>
      <c r="F187" s="11">
        <v>434197.79</v>
      </c>
    </row>
    <row r="188" spans="1:6">
      <c r="A188" s="2">
        <f t="shared" si="2"/>
        <v>39353</v>
      </c>
      <c r="B188" s="10">
        <f>Passivo!C190+Passivo!D190+Passivo!E190+Passivo!K190</f>
        <v>500648.92</v>
      </c>
      <c r="C188" s="11">
        <f>Passivo!G190+Passivo!H190+Passivo!I190</f>
        <v>1307769.1199999999</v>
      </c>
      <c r="D188" s="11">
        <v>583724.97</v>
      </c>
      <c r="E188" s="11">
        <v>242245.15</v>
      </c>
      <c r="F188" s="11">
        <v>399122</v>
      </c>
    </row>
    <row r="189" spans="1:6">
      <c r="A189" s="2">
        <f t="shared" si="2"/>
        <v>39322</v>
      </c>
      <c r="B189" s="10">
        <f>Passivo!C191+Passivo!D191+Passivo!E191+Passivo!K191</f>
        <v>508850.45000000007</v>
      </c>
      <c r="C189" s="11">
        <f>Passivo!G191+Passivo!H191+Passivo!I191</f>
        <v>1290674.6200000001</v>
      </c>
      <c r="D189" s="11">
        <v>585466.85</v>
      </c>
      <c r="E189" s="11">
        <v>241562.68</v>
      </c>
      <c r="F189" s="11">
        <v>380519.18</v>
      </c>
    </row>
    <row r="190" spans="1:6">
      <c r="A190" s="2">
        <f t="shared" si="2"/>
        <v>39291</v>
      </c>
      <c r="B190" s="10">
        <f>Passivo!C192+Passivo!D192+Passivo!E192+Passivo!K192</f>
        <v>512789.67000000004</v>
      </c>
      <c r="C190" s="11">
        <f>Passivo!G192+Passivo!H192+Passivo!I192</f>
        <v>1304013.4500000002</v>
      </c>
      <c r="D190" s="11">
        <v>582697.4</v>
      </c>
      <c r="E190" s="11">
        <v>241633.78</v>
      </c>
      <c r="F190" s="11">
        <v>392972.1</v>
      </c>
    </row>
    <row r="191" spans="1:6">
      <c r="A191" s="2">
        <f t="shared" si="2"/>
        <v>39261</v>
      </c>
      <c r="B191" s="10">
        <f>Passivo!C193+Passivo!D193+Passivo!E193+Passivo!K193</f>
        <v>508494.67</v>
      </c>
      <c r="C191" s="11">
        <f>Passivo!G193+Passivo!H193+Passivo!I193</f>
        <v>1302759</v>
      </c>
      <c r="D191" s="11">
        <v>581731.62</v>
      </c>
      <c r="E191" s="11">
        <v>235859.48</v>
      </c>
      <c r="F191" s="11">
        <v>388964.27</v>
      </c>
    </row>
    <row r="192" spans="1:6">
      <c r="A192" s="2">
        <f t="shared" si="2"/>
        <v>39230</v>
      </c>
      <c r="B192" s="10">
        <f>Passivo!C194+Passivo!D194+Passivo!E194+Passivo!K194</f>
        <v>498677.35</v>
      </c>
      <c r="C192" s="11">
        <f>Passivo!G194+Passivo!H194+Passivo!I194</f>
        <v>1297302.6099999999</v>
      </c>
      <c r="D192" s="11">
        <v>578823.94999999995</v>
      </c>
      <c r="E192" s="11">
        <v>235398.44</v>
      </c>
      <c r="F192" s="11">
        <v>385104.3</v>
      </c>
    </row>
    <row r="193" spans="1:6">
      <c r="A193" s="2">
        <f t="shared" si="2"/>
        <v>39200</v>
      </c>
      <c r="B193" s="10">
        <f>Passivo!C195+Passivo!D195+Passivo!E195+Passivo!K195</f>
        <v>472031.79000000004</v>
      </c>
      <c r="C193" s="11">
        <f>Passivo!G195+Passivo!H195+Passivo!I195</f>
        <v>1273149.1099999999</v>
      </c>
      <c r="D193" s="11">
        <v>570832.18999999994</v>
      </c>
      <c r="E193" s="11">
        <v>238387.39</v>
      </c>
      <c r="F193" s="11">
        <v>384269.2</v>
      </c>
    </row>
    <row r="194" spans="1:6">
      <c r="A194" s="2">
        <f t="shared" si="2"/>
        <v>39169</v>
      </c>
      <c r="B194" s="10">
        <f>Passivo!C196+Passivo!D196+Passivo!E196+Passivo!K196</f>
        <v>455960.04000000004</v>
      </c>
      <c r="C194" s="11">
        <f>Passivo!G196+Passivo!H196+Passivo!I196</f>
        <v>1277000.81</v>
      </c>
      <c r="D194" s="11">
        <v>566362.31999999995</v>
      </c>
      <c r="E194" s="11">
        <v>230085.74</v>
      </c>
      <c r="F194" s="11">
        <v>363335.46</v>
      </c>
    </row>
    <row r="195" spans="1:6">
      <c r="A195" s="2">
        <f t="shared" si="2"/>
        <v>39141</v>
      </c>
      <c r="B195" s="10">
        <f>Passivo!C197+Passivo!D197+Passivo!E197+Passivo!K197</f>
        <v>446796.43000000005</v>
      </c>
      <c r="C195" s="11">
        <f>Passivo!G197+Passivo!H197+Passivo!I197</f>
        <v>1247449.2</v>
      </c>
      <c r="D195" s="11">
        <v>560366.91</v>
      </c>
      <c r="E195" s="11">
        <v>197959.88</v>
      </c>
      <c r="F195" s="11">
        <v>365078.79</v>
      </c>
    </row>
    <row r="196" spans="1:6">
      <c r="A196" s="2">
        <f t="shared" ref="A196:A259" si="3">EDATE(A195,-1)</f>
        <v>39110</v>
      </c>
      <c r="B196" s="10">
        <f>Passivo!C198+Passivo!D198+Passivo!E198+Passivo!K198</f>
        <v>439171.10000000003</v>
      </c>
      <c r="C196" s="11">
        <f>Passivo!G198+Passivo!H198+Passivo!I198</f>
        <v>1250261.3700000001</v>
      </c>
      <c r="D196" s="11">
        <v>547169.35</v>
      </c>
      <c r="E196" s="11">
        <v>196864.88</v>
      </c>
      <c r="F196" s="11">
        <v>365878.49</v>
      </c>
    </row>
    <row r="197" spans="1:6">
      <c r="A197" s="2">
        <f t="shared" si="3"/>
        <v>39079</v>
      </c>
      <c r="B197" s="10">
        <f>Passivo!C199+Passivo!D199+Passivo!E199+Passivo!K199</f>
        <v>420066.94999999995</v>
      </c>
      <c r="C197" s="11">
        <f>Passivo!G199+Passivo!H199+Passivo!I199</f>
        <v>1275942.74</v>
      </c>
      <c r="D197" s="11">
        <v>544743.72</v>
      </c>
      <c r="E197" s="11">
        <v>195371.78</v>
      </c>
      <c r="F197" s="11">
        <v>357119.46</v>
      </c>
    </row>
    <row r="198" spans="1:6">
      <c r="A198" s="2">
        <f t="shared" si="3"/>
        <v>39049</v>
      </c>
      <c r="B198" s="10">
        <f>Passivo!C200+Passivo!D200+Passivo!E200+Passivo!K200</f>
        <v>428939.56</v>
      </c>
      <c r="C198" s="11">
        <f>Passivo!G200+Passivo!H200+Passivo!I200</f>
        <v>1231311.19</v>
      </c>
      <c r="D198" s="11">
        <v>538570.62</v>
      </c>
      <c r="E198" s="11">
        <v>197173.76000000001</v>
      </c>
      <c r="F198" s="11">
        <v>383820.5</v>
      </c>
    </row>
    <row r="199" spans="1:6">
      <c r="A199" s="2">
        <f t="shared" si="3"/>
        <v>39018</v>
      </c>
      <c r="B199" s="10">
        <f>Passivo!C201+Passivo!D201+Passivo!E201+Passivo!K201</f>
        <v>418085.94000000006</v>
      </c>
      <c r="C199" s="11">
        <f>Passivo!G201+Passivo!H201+Passivo!I201</f>
        <v>1215596.05</v>
      </c>
      <c r="D199" s="11">
        <v>531930.21</v>
      </c>
      <c r="E199" s="11">
        <v>197030.98</v>
      </c>
      <c r="F199" s="11">
        <v>331967.63</v>
      </c>
    </row>
    <row r="200" spans="1:6">
      <c r="A200" s="2">
        <f t="shared" si="3"/>
        <v>38988</v>
      </c>
      <c r="B200" s="10">
        <f>Passivo!C202+Passivo!D202+Passivo!E202+Passivo!K202</f>
        <v>407395.04000000004</v>
      </c>
      <c r="C200" s="11">
        <f>Passivo!G202+Passivo!H202+Passivo!I202</f>
        <v>1218699.1100000001</v>
      </c>
      <c r="D200" s="11">
        <v>523922.27</v>
      </c>
      <c r="E200" s="11">
        <v>196911.22</v>
      </c>
      <c r="F200" s="11">
        <v>324967.69</v>
      </c>
    </row>
    <row r="201" spans="1:6">
      <c r="A201" s="2">
        <f t="shared" si="3"/>
        <v>38957</v>
      </c>
      <c r="B201" s="10">
        <f>Passivo!C203+Passivo!D203+Passivo!E203+Passivo!K203</f>
        <v>397315.32</v>
      </c>
      <c r="C201" s="11">
        <f>Passivo!G203+Passivo!H203+Passivo!I203</f>
        <v>1184976.01</v>
      </c>
      <c r="D201" s="11">
        <v>521446.16</v>
      </c>
      <c r="E201" s="11">
        <v>198580.31</v>
      </c>
      <c r="F201" s="11">
        <v>317660.89</v>
      </c>
    </row>
    <row r="202" spans="1:6">
      <c r="A202" s="2">
        <f t="shared" si="3"/>
        <v>38926</v>
      </c>
      <c r="B202" s="10">
        <f>Passivo!C204+Passivo!D204+Passivo!E204+Passivo!K204</f>
        <v>390098.06999999995</v>
      </c>
      <c r="C202" s="11">
        <f>Passivo!G204+Passivo!H204+Passivo!I204</f>
        <v>1195479.76</v>
      </c>
      <c r="D202" s="11">
        <v>519239.12</v>
      </c>
      <c r="E202" s="11">
        <v>198521.76</v>
      </c>
      <c r="F202" s="11">
        <v>321925.09999999998</v>
      </c>
    </row>
    <row r="203" spans="1:6">
      <c r="A203" s="2">
        <f t="shared" si="3"/>
        <v>38896</v>
      </c>
      <c r="B203" s="10">
        <f>Passivo!C205+Passivo!D205+Passivo!E205+Passivo!K205</f>
        <v>376055.45999999996</v>
      </c>
      <c r="C203" s="11">
        <f>Passivo!G205+Passivo!H205+Passivo!I205</f>
        <v>1181913.1300000001</v>
      </c>
      <c r="D203" s="11">
        <v>516788.75</v>
      </c>
      <c r="E203" s="11">
        <v>196966.25</v>
      </c>
      <c r="F203" s="11">
        <v>322922.23999999999</v>
      </c>
    </row>
    <row r="204" spans="1:6">
      <c r="A204" s="2">
        <f t="shared" si="3"/>
        <v>38865</v>
      </c>
      <c r="B204" s="10">
        <f>Passivo!C206+Passivo!D206+Passivo!E206+Passivo!K206</f>
        <v>376779.87</v>
      </c>
      <c r="C204" s="11">
        <f>Passivo!G206+Passivo!H206+Passivo!I206</f>
        <v>1193250.82</v>
      </c>
      <c r="D204" s="11">
        <v>512154.39</v>
      </c>
      <c r="E204" s="11">
        <v>198368.06</v>
      </c>
      <c r="F204" s="11">
        <v>329260.57</v>
      </c>
    </row>
    <row r="205" spans="1:6">
      <c r="A205" s="2">
        <f t="shared" si="3"/>
        <v>38835</v>
      </c>
      <c r="B205" s="10">
        <f>Passivo!C207+Passivo!D207+Passivo!E207+Passivo!K207</f>
        <v>370407.92000000004</v>
      </c>
      <c r="C205" s="11">
        <f>Passivo!G207+Passivo!H207+Passivo!I207</f>
        <v>1174428.5</v>
      </c>
      <c r="D205" s="11">
        <v>507952.2</v>
      </c>
      <c r="E205" s="11">
        <v>197129.5</v>
      </c>
      <c r="F205" s="11">
        <v>327164.57</v>
      </c>
    </row>
    <row r="206" spans="1:6">
      <c r="A206" s="2">
        <f t="shared" si="3"/>
        <v>38804</v>
      </c>
      <c r="B206" s="10">
        <f>Passivo!C208+Passivo!D208+Passivo!E208+Passivo!K208</f>
        <v>369965.83999999997</v>
      </c>
      <c r="C206" s="11">
        <f>Passivo!G208+Passivo!H208+Passivo!I208</f>
        <v>1147898.8299999998</v>
      </c>
      <c r="D206" s="11">
        <v>504488.72</v>
      </c>
      <c r="E206" s="11">
        <v>195905.96</v>
      </c>
      <c r="F206" s="11">
        <v>330300.28000000003</v>
      </c>
    </row>
    <row r="207" spans="1:6">
      <c r="A207" s="2">
        <f t="shared" si="3"/>
        <v>38776</v>
      </c>
      <c r="B207" s="10">
        <f>Passivo!C209+Passivo!D209+Passivo!E209+Passivo!K209</f>
        <v>360114.58</v>
      </c>
      <c r="C207" s="11">
        <f>Passivo!G209+Passivo!H209+Passivo!I209</f>
        <v>1132605.01</v>
      </c>
      <c r="D207" s="11">
        <v>495697.21</v>
      </c>
      <c r="E207" s="11">
        <v>193850.8</v>
      </c>
      <c r="F207" s="11">
        <v>332927.01</v>
      </c>
    </row>
    <row r="208" spans="1:6">
      <c r="A208" s="2">
        <f t="shared" si="3"/>
        <v>38745</v>
      </c>
      <c r="B208" s="10">
        <f>Passivo!C210+Passivo!D210+Passivo!E210+Passivo!K210</f>
        <v>367914.69</v>
      </c>
      <c r="C208" s="11">
        <f>Passivo!G210+Passivo!H210+Passivo!I210</f>
        <v>1152549.48</v>
      </c>
      <c r="D208" s="11">
        <v>483651.72</v>
      </c>
      <c r="E208" s="11">
        <v>193785.07</v>
      </c>
      <c r="F208" s="11">
        <v>340262.44</v>
      </c>
    </row>
    <row r="209" spans="1:6">
      <c r="A209" s="2">
        <f t="shared" si="3"/>
        <v>38714</v>
      </c>
      <c r="B209" s="10">
        <f>Passivo!C211+Passivo!D211+Passivo!E211+Passivo!K211</f>
        <v>340999.79</v>
      </c>
      <c r="C209" s="11">
        <f>Passivo!G211+Passivo!H211+Passivo!I211</f>
        <v>1162965.48</v>
      </c>
      <c r="D209" s="11">
        <v>484416.31</v>
      </c>
      <c r="E209" s="11">
        <v>191406.54</v>
      </c>
      <c r="F209" s="11">
        <v>329647</v>
      </c>
    </row>
    <row r="210" spans="1:6">
      <c r="A210" s="2">
        <f t="shared" si="3"/>
        <v>38684</v>
      </c>
      <c r="B210" s="10">
        <f>Passivo!C212+Passivo!D212+Passivo!E212+Passivo!K212</f>
        <v>355671.14</v>
      </c>
      <c r="C210" s="11">
        <f>Passivo!G212+Passivo!H212+Passivo!I212</f>
        <v>1124975.4000000001</v>
      </c>
      <c r="D210" s="11">
        <v>476526.19</v>
      </c>
      <c r="E210" s="11">
        <v>190920.57</v>
      </c>
      <c r="F210" s="11">
        <v>373726.22</v>
      </c>
    </row>
    <row r="211" spans="1:6">
      <c r="A211" s="2">
        <f t="shared" si="3"/>
        <v>38653</v>
      </c>
      <c r="B211" s="10">
        <f>Passivo!C213+Passivo!D213+Passivo!E213+Passivo!K213</f>
        <v>360901.86</v>
      </c>
      <c r="C211" s="11">
        <f>Passivo!G213+Passivo!H213+Passivo!I213</f>
        <v>1134801.1600000001</v>
      </c>
      <c r="D211" s="11">
        <v>474024.94</v>
      </c>
      <c r="E211" s="11">
        <v>175699.19</v>
      </c>
      <c r="F211" s="11">
        <v>334090</v>
      </c>
    </row>
    <row r="212" spans="1:6">
      <c r="A212" s="2">
        <f t="shared" si="3"/>
        <v>38623</v>
      </c>
      <c r="B212" s="10">
        <f>Passivo!C214+Passivo!D214+Passivo!E214+Passivo!K214</f>
        <v>345924.76</v>
      </c>
      <c r="C212" s="11">
        <f>Passivo!G214+Passivo!H214+Passivo!I214</f>
        <v>1119111.45</v>
      </c>
      <c r="D212" s="11">
        <v>470643.76</v>
      </c>
      <c r="E212" s="11">
        <v>175071.25</v>
      </c>
      <c r="F212" s="11">
        <v>338937.81</v>
      </c>
    </row>
    <row r="213" spans="1:6">
      <c r="A213" s="2">
        <f t="shared" si="3"/>
        <v>38592</v>
      </c>
      <c r="B213" s="10">
        <f>Passivo!C215+Passivo!D215+Passivo!E215+Passivo!K215</f>
        <v>340710.71</v>
      </c>
      <c r="C213" s="11">
        <f>Passivo!G215+Passivo!H215+Passivo!I215</f>
        <v>1103453.04</v>
      </c>
      <c r="D213" s="11">
        <v>467899</v>
      </c>
      <c r="E213" s="11">
        <v>174943</v>
      </c>
      <c r="F213" s="11">
        <v>324852</v>
      </c>
    </row>
    <row r="214" spans="1:6">
      <c r="A214" s="2">
        <f t="shared" si="3"/>
        <v>38561</v>
      </c>
      <c r="B214" s="10">
        <f>Passivo!C216+Passivo!D216+Passivo!E216+Passivo!K216</f>
        <v>331422.41000000003</v>
      </c>
      <c r="C214" s="11">
        <f>Passivo!G216+Passivo!H216+Passivo!I216</f>
        <v>1112890.7500000002</v>
      </c>
      <c r="D214" s="11">
        <v>470169.02</v>
      </c>
      <c r="E214" s="11">
        <v>175412</v>
      </c>
      <c r="F214" s="11">
        <v>329582</v>
      </c>
    </row>
    <row r="215" spans="1:6">
      <c r="A215" s="2">
        <f t="shared" si="3"/>
        <v>38531</v>
      </c>
      <c r="B215" s="10">
        <f>Passivo!C217+Passivo!D217+Passivo!E217+Passivo!K217</f>
        <v>338653.42000000004</v>
      </c>
      <c r="C215" s="11">
        <f>Passivo!G217+Passivo!H217+Passivo!I217</f>
        <v>1120888.3</v>
      </c>
      <c r="D215" s="11">
        <v>471047.41</v>
      </c>
      <c r="E215" s="11">
        <v>171244.05</v>
      </c>
      <c r="F215" s="11">
        <v>343097</v>
      </c>
    </row>
    <row r="216" spans="1:6">
      <c r="A216" s="2">
        <f t="shared" si="3"/>
        <v>38500</v>
      </c>
      <c r="B216" s="10">
        <f>Passivo!C218+Passivo!D218+Passivo!E218+Passivo!K218</f>
        <v>337317.68</v>
      </c>
      <c r="C216" s="11">
        <f>Passivo!G218+Passivo!H218+Passivo!I218</f>
        <v>1112096.1599999999</v>
      </c>
      <c r="D216" s="11">
        <v>464568.81</v>
      </c>
      <c r="E216" s="11">
        <v>170435.89</v>
      </c>
      <c r="F216" s="11">
        <v>332932.94</v>
      </c>
    </row>
    <row r="217" spans="1:6">
      <c r="A217" s="2">
        <f t="shared" si="3"/>
        <v>38470</v>
      </c>
      <c r="B217" s="10">
        <f>Passivo!C219+Passivo!D219+Passivo!E219+Passivo!K219</f>
        <v>329350.58999999997</v>
      </c>
      <c r="C217" s="11">
        <f>Passivo!G219+Passivo!H219+Passivo!I219</f>
        <v>1080982.8699999999</v>
      </c>
      <c r="D217" s="11">
        <v>460336.67</v>
      </c>
      <c r="E217" s="11">
        <v>168748.69</v>
      </c>
      <c r="F217" s="11">
        <v>316572</v>
      </c>
    </row>
    <row r="218" spans="1:6">
      <c r="A218" s="2">
        <f t="shared" si="3"/>
        <v>38439</v>
      </c>
      <c r="B218" s="10">
        <f>Passivo!C220+Passivo!D220+Passivo!E220+Passivo!K220</f>
        <v>316995.95</v>
      </c>
      <c r="C218" s="11">
        <f>Passivo!G220+Passivo!H220+Passivo!I220</f>
        <v>1068350.7300000002</v>
      </c>
      <c r="D218" s="11">
        <v>458198.32</v>
      </c>
      <c r="E218" s="11">
        <v>166902.94</v>
      </c>
      <c r="F218" s="11">
        <v>319119.83</v>
      </c>
    </row>
    <row r="219" spans="1:6">
      <c r="A219" s="2">
        <f t="shared" si="3"/>
        <v>38411</v>
      </c>
      <c r="B219" s="10">
        <f>Passivo!C221+Passivo!D221+Passivo!E221+Passivo!K221</f>
        <v>316101.63</v>
      </c>
      <c r="C219" s="11">
        <f>Passivo!G221+Passivo!H221+Passivo!I221</f>
        <v>1050593.6299999999</v>
      </c>
      <c r="D219" s="11">
        <v>451423.28</v>
      </c>
      <c r="E219" s="11">
        <v>165142.07</v>
      </c>
      <c r="F219" s="11">
        <v>308559.01</v>
      </c>
    </row>
    <row r="220" spans="1:6">
      <c r="A220" s="2">
        <f t="shared" si="3"/>
        <v>38380</v>
      </c>
      <c r="B220" s="10">
        <f>Passivo!C222+Passivo!D222+Passivo!E222+Passivo!K222</f>
        <v>312245.98</v>
      </c>
      <c r="C220" s="11">
        <f>Passivo!G222+Passivo!H222+Passivo!I222</f>
        <v>1058772.6399999999</v>
      </c>
      <c r="D220" s="11">
        <v>442681.83</v>
      </c>
      <c r="E220" s="11">
        <v>165153.93</v>
      </c>
      <c r="F220" s="11">
        <v>311763.12</v>
      </c>
    </row>
    <row r="221" spans="1:6">
      <c r="A221" s="2">
        <f t="shared" si="3"/>
        <v>38349</v>
      </c>
      <c r="B221" s="10">
        <f>Passivo!C223+Passivo!D223+Passivo!E223+Passivo!K223</f>
        <v>296554.82999999996</v>
      </c>
      <c r="C221" s="11">
        <f>Passivo!G223+Passivo!H223+Passivo!I223</f>
        <v>1075263.6700000002</v>
      </c>
      <c r="D221" s="11">
        <v>442994.1</v>
      </c>
      <c r="E221" s="11">
        <v>163181.10999999999</v>
      </c>
      <c r="F221" s="11">
        <v>297636.08</v>
      </c>
    </row>
    <row r="222" spans="1:6">
      <c r="A222" s="2">
        <f t="shared" si="3"/>
        <v>38319</v>
      </c>
      <c r="B222" s="10">
        <f>Passivo!C224+Passivo!D224+Passivo!E224+Passivo!K224</f>
        <v>302752.48</v>
      </c>
      <c r="C222" s="11">
        <f>Passivo!G224+Passivo!H224+Passivo!I224</f>
        <v>1036337.3300000001</v>
      </c>
      <c r="D222" s="11">
        <v>438181.07</v>
      </c>
      <c r="E222" s="11">
        <v>162393.97</v>
      </c>
      <c r="F222" s="11">
        <v>324162.03999999998</v>
      </c>
    </row>
    <row r="223" spans="1:6">
      <c r="A223" s="2">
        <f t="shared" si="3"/>
        <v>38288</v>
      </c>
      <c r="B223" s="10">
        <f>Passivo!C225+Passivo!D225+Passivo!E225+Passivo!K225</f>
        <v>285696.28000000003</v>
      </c>
      <c r="C223" s="11">
        <f>Passivo!G225+Passivo!H225+Passivo!I225</f>
        <v>1053682.55</v>
      </c>
      <c r="D223" s="11">
        <v>437176.93</v>
      </c>
      <c r="E223" s="11">
        <v>161854.47</v>
      </c>
      <c r="F223" s="11">
        <v>284455.92</v>
      </c>
    </row>
    <row r="224" spans="1:6">
      <c r="A224" s="2">
        <f t="shared" si="3"/>
        <v>38258</v>
      </c>
      <c r="B224" s="10">
        <f>Passivo!C226+Passivo!D226+Passivo!E226+Passivo!K226</f>
        <v>290502.38</v>
      </c>
      <c r="C224" s="11">
        <f>Passivo!G226+Passivo!H226+Passivo!I226</f>
        <v>1036361.11</v>
      </c>
      <c r="D224" s="11">
        <v>431000.51</v>
      </c>
      <c r="E224" s="11">
        <v>161669.19</v>
      </c>
      <c r="F224" s="11">
        <v>284028.87</v>
      </c>
    </row>
    <row r="225" spans="1:6">
      <c r="A225" s="2">
        <f t="shared" si="3"/>
        <v>38227</v>
      </c>
      <c r="B225" s="10">
        <f>Passivo!C227+Passivo!D227+Passivo!E227+Passivo!K227</f>
        <v>304529.58</v>
      </c>
      <c r="C225" s="11">
        <f>Passivo!G227+Passivo!H227+Passivo!I227</f>
        <v>1026735.4999999999</v>
      </c>
      <c r="D225" s="11">
        <v>423527.08</v>
      </c>
      <c r="E225" s="11">
        <v>161462.68</v>
      </c>
      <c r="F225" s="11">
        <v>267742.55</v>
      </c>
    </row>
    <row r="226" spans="1:6">
      <c r="A226" s="2">
        <f t="shared" si="3"/>
        <v>38196</v>
      </c>
      <c r="B226" s="10">
        <f>Passivo!C228+Passivo!D228+Passivo!E228+Passivo!K228</f>
        <v>300129.76</v>
      </c>
      <c r="C226" s="11">
        <f>Passivo!G228+Passivo!H228+Passivo!I228</f>
        <v>1039757.9700000001</v>
      </c>
      <c r="D226" s="11">
        <v>421826.21</v>
      </c>
      <c r="E226" s="11">
        <v>161468.62</v>
      </c>
      <c r="F226" s="11">
        <v>272625.53999999998</v>
      </c>
    </row>
    <row r="227" spans="1:6">
      <c r="A227" s="2">
        <f t="shared" si="3"/>
        <v>38166</v>
      </c>
      <c r="B227" s="10">
        <f>Passivo!C229+Passivo!D229+Passivo!E229+Passivo!K229</f>
        <v>298277.39</v>
      </c>
      <c r="C227" s="11">
        <f>Passivo!G229+Passivo!H229+Passivo!I229</f>
        <v>1021333.8500000001</v>
      </c>
      <c r="D227" s="11">
        <v>419267.09</v>
      </c>
      <c r="E227" s="11">
        <v>161630.41</v>
      </c>
      <c r="F227" s="11">
        <v>290067.88</v>
      </c>
    </row>
    <row r="228" spans="1:6">
      <c r="A228" s="2">
        <f t="shared" si="3"/>
        <v>38135</v>
      </c>
      <c r="B228" s="10">
        <f>Passivo!C230+Passivo!D230+Passivo!E230+Passivo!K230</f>
        <v>299539.74</v>
      </c>
      <c r="C228" s="11">
        <f>Passivo!G230+Passivo!H230+Passivo!I230</f>
        <v>1024537.0399999999</v>
      </c>
      <c r="D228" s="11">
        <v>419993.62</v>
      </c>
      <c r="E228" s="11">
        <v>161517.70000000001</v>
      </c>
      <c r="F228" s="11">
        <v>281575.26</v>
      </c>
    </row>
    <row r="229" spans="1:6">
      <c r="A229" s="2">
        <f t="shared" si="3"/>
        <v>38105</v>
      </c>
      <c r="B229" s="10">
        <f>Passivo!C231+Passivo!D231+Passivo!E231+Passivo!K231</f>
        <v>296564.13</v>
      </c>
      <c r="C229" s="11">
        <f>Passivo!G231+Passivo!H231+Passivo!I231</f>
        <v>1023366.6900000001</v>
      </c>
      <c r="D229" s="11">
        <v>413977.5</v>
      </c>
      <c r="E229" s="11">
        <v>161437.81</v>
      </c>
      <c r="F229" s="11">
        <v>286210.37</v>
      </c>
    </row>
    <row r="230" spans="1:6">
      <c r="A230" s="2">
        <f t="shared" si="3"/>
        <v>38074</v>
      </c>
      <c r="B230" s="10">
        <f>Passivo!C232+Passivo!D232+Passivo!E232+Passivo!K232</f>
        <v>304952.87</v>
      </c>
      <c r="C230" s="11">
        <f>Passivo!G232+Passivo!H232+Passivo!I232</f>
        <v>1018078.2200000001</v>
      </c>
      <c r="D230" s="11">
        <v>411170.93</v>
      </c>
      <c r="E230" s="11">
        <v>160934.23000000001</v>
      </c>
      <c r="F230" s="11">
        <v>296836.38</v>
      </c>
    </row>
    <row r="231" spans="1:6">
      <c r="A231" s="2">
        <f t="shared" si="3"/>
        <v>38045</v>
      </c>
      <c r="B231" s="10">
        <f>Passivo!C233+Passivo!D233+Passivo!E233+Passivo!K233</f>
        <v>297738.45</v>
      </c>
      <c r="C231" s="11">
        <f>Passivo!G233+Passivo!H233+Passivo!I233</f>
        <v>1002286.19</v>
      </c>
      <c r="D231" s="11">
        <v>402231.46</v>
      </c>
      <c r="E231" s="11">
        <v>158980.26</v>
      </c>
      <c r="F231" s="11">
        <v>284303.83</v>
      </c>
    </row>
    <row r="232" spans="1:6">
      <c r="A232" s="2">
        <f t="shared" si="3"/>
        <v>38014</v>
      </c>
      <c r="B232" s="10">
        <f>Passivo!C234+Passivo!D234+Passivo!E234+Passivo!K234</f>
        <v>297424.07</v>
      </c>
      <c r="C232" s="11">
        <f>Passivo!G234+Passivo!H234+Passivo!I234</f>
        <v>1010049.16</v>
      </c>
      <c r="D232" s="11">
        <v>399519.37</v>
      </c>
      <c r="E232" s="11">
        <v>158496.28</v>
      </c>
      <c r="F232" s="11">
        <v>292234.92</v>
      </c>
    </row>
    <row r="233" spans="1:6">
      <c r="A233" s="2">
        <f t="shared" si="3"/>
        <v>37983</v>
      </c>
      <c r="B233" s="10">
        <f>Passivo!C235+Passivo!D235+Passivo!E235+Passivo!K235</f>
        <v>287440.63</v>
      </c>
      <c r="C233" s="11">
        <f>Passivo!G235+Passivo!H235+Passivo!I235</f>
        <v>1013248.86</v>
      </c>
      <c r="D233" s="11">
        <v>399958.48</v>
      </c>
      <c r="E233" s="11">
        <v>156725.99</v>
      </c>
      <c r="F233" s="11">
        <v>267992.88</v>
      </c>
    </row>
    <row r="234" spans="1:6">
      <c r="A234" s="2">
        <f t="shared" si="3"/>
        <v>37953</v>
      </c>
      <c r="B234" s="10">
        <f>Passivo!C236+Passivo!D236+Passivo!E236+Passivo!K236</f>
        <v>291348.44</v>
      </c>
      <c r="C234" s="11">
        <f>Passivo!G236+Passivo!H236+Passivo!I236</f>
        <v>989593.28</v>
      </c>
      <c r="D234" s="11">
        <v>388692.36</v>
      </c>
      <c r="E234" s="11">
        <v>153986.16</v>
      </c>
      <c r="F234" s="11">
        <v>266948.13</v>
      </c>
    </row>
    <row r="235" spans="1:6">
      <c r="A235" s="2">
        <f t="shared" si="3"/>
        <v>37922</v>
      </c>
      <c r="B235" s="10">
        <f>Passivo!C237+Passivo!D237+Passivo!E237+Passivo!K237</f>
        <v>286701.5</v>
      </c>
      <c r="C235" s="11">
        <f>Passivo!G237+Passivo!H237+Passivo!I237</f>
        <v>987540.17999999993</v>
      </c>
      <c r="D235" s="11">
        <v>386890.43</v>
      </c>
      <c r="E235" s="11">
        <v>153793.99</v>
      </c>
      <c r="F235" s="11">
        <v>262314.15999999997</v>
      </c>
    </row>
    <row r="236" spans="1:6">
      <c r="A236" s="2">
        <f t="shared" si="3"/>
        <v>37892</v>
      </c>
      <c r="B236" s="10">
        <f>Passivo!C238+Passivo!D238+Passivo!E238+Passivo!K238</f>
        <v>287799.84999999998</v>
      </c>
      <c r="C236" s="11">
        <f>Passivo!G238+Passivo!H238+Passivo!I238</f>
        <v>981539.64</v>
      </c>
      <c r="D236" s="11">
        <v>383934.41</v>
      </c>
      <c r="E236" s="11">
        <v>153926.04999999999</v>
      </c>
      <c r="F236" s="11">
        <v>271372.55</v>
      </c>
    </row>
    <row r="237" spans="1:6">
      <c r="A237" s="2">
        <f t="shared" si="3"/>
        <v>37861</v>
      </c>
      <c r="B237" s="10">
        <f>Passivo!C239+Passivo!D239+Passivo!E239+Passivo!K239</f>
        <v>293259.91000000003</v>
      </c>
      <c r="C237" s="11">
        <f>Passivo!G239+Passivo!H239+Passivo!I239</f>
        <v>963784.47</v>
      </c>
      <c r="D237" s="11">
        <v>381445.18</v>
      </c>
      <c r="E237" s="11">
        <v>153421.01999999999</v>
      </c>
      <c r="F237" s="11">
        <v>248412.64</v>
      </c>
    </row>
    <row r="238" spans="1:6">
      <c r="A238" s="2">
        <f t="shared" si="3"/>
        <v>37830</v>
      </c>
      <c r="B238" s="10">
        <f>Passivo!C240+Passivo!D240+Passivo!E240+Passivo!K240</f>
        <v>286665.28000000003</v>
      </c>
      <c r="C238" s="11">
        <f>Passivo!G240+Passivo!H240+Passivo!I240</f>
        <v>966087.60000000009</v>
      </c>
      <c r="D238" s="11">
        <v>380378.34</v>
      </c>
      <c r="E238" s="11">
        <v>153269.78</v>
      </c>
      <c r="F238" s="11">
        <v>271582.49</v>
      </c>
    </row>
    <row r="239" spans="1:6">
      <c r="A239" s="2">
        <f t="shared" si="3"/>
        <v>37800</v>
      </c>
      <c r="B239" s="10">
        <f>Passivo!C241+Passivo!D241+Passivo!E241+Passivo!K241</f>
        <v>290720.16000000003</v>
      </c>
      <c r="C239" s="11">
        <f>Passivo!G241+Passivo!H241+Passivo!I241</f>
        <v>963586.35000000009</v>
      </c>
      <c r="D239" s="11">
        <v>380512.41</v>
      </c>
      <c r="E239" s="11">
        <v>149845.59</v>
      </c>
      <c r="F239" s="11">
        <v>290433.84000000003</v>
      </c>
    </row>
    <row r="240" spans="1:6">
      <c r="A240" s="2">
        <f t="shared" si="3"/>
        <v>37769</v>
      </c>
      <c r="B240" s="10">
        <f>Passivo!C242+Passivo!D242+Passivo!E242+Passivo!K242</f>
        <v>283181.25</v>
      </c>
      <c r="C240" s="11">
        <f>Passivo!G242+Passivo!H242+Passivo!I242</f>
        <v>959416.93</v>
      </c>
      <c r="D240" s="11">
        <v>379615.31</v>
      </c>
      <c r="E240" s="11">
        <v>149826.76999999999</v>
      </c>
      <c r="F240" s="11">
        <v>285832.96999999997</v>
      </c>
    </row>
    <row r="241" spans="1:6">
      <c r="A241" s="2">
        <f t="shared" si="3"/>
        <v>37739</v>
      </c>
      <c r="B241" s="10">
        <f>Passivo!C243+Passivo!D243+Passivo!E243+Passivo!K243</f>
        <v>281498.82999999996</v>
      </c>
      <c r="C241" s="11">
        <f>Passivo!G243+Passivo!H243+Passivo!I243</f>
        <v>949702.58000000007</v>
      </c>
      <c r="D241" s="11">
        <v>375522.75</v>
      </c>
      <c r="E241" s="11">
        <v>149092.01999999999</v>
      </c>
      <c r="F241" s="11">
        <v>277174.2</v>
      </c>
    </row>
    <row r="242" spans="1:6">
      <c r="A242" s="2">
        <f t="shared" si="3"/>
        <v>37708</v>
      </c>
      <c r="B242" s="10">
        <f>Passivo!C244+Passivo!D244+Passivo!E244+Passivo!K244</f>
        <v>291634.15000000002</v>
      </c>
      <c r="C242" s="11">
        <f>Passivo!G244+Passivo!H244+Passivo!I244</f>
        <v>949971.3899999999</v>
      </c>
      <c r="D242" s="11">
        <v>373332.1</v>
      </c>
      <c r="E242" s="11">
        <v>147815.14000000001</v>
      </c>
      <c r="F242" s="11">
        <v>276280.65000000002</v>
      </c>
    </row>
    <row r="243" spans="1:6">
      <c r="A243" s="2">
        <f t="shared" si="3"/>
        <v>37680</v>
      </c>
      <c r="B243" s="10">
        <f>Passivo!C245+Passivo!D245+Passivo!E245+Passivo!K245</f>
        <v>296215.25</v>
      </c>
      <c r="C243" s="11">
        <f>Passivo!G245+Passivo!H245+Passivo!I245</f>
        <v>951742.35</v>
      </c>
      <c r="D243" s="11">
        <v>368647.65</v>
      </c>
      <c r="E243" s="11">
        <v>146877.76999999999</v>
      </c>
      <c r="F243" s="11">
        <v>271538.77</v>
      </c>
    </row>
    <row r="244" spans="1:6">
      <c r="A244" s="2">
        <f t="shared" si="3"/>
        <v>37649</v>
      </c>
      <c r="B244" s="10">
        <f>Passivo!C246+Passivo!D246+Passivo!E246+Passivo!K246</f>
        <v>282438</v>
      </c>
      <c r="C244" s="11">
        <f>Passivo!G246+Passivo!H246+Passivo!I246</f>
        <v>952067.59</v>
      </c>
      <c r="D244" s="11">
        <v>367583.86</v>
      </c>
      <c r="E244" s="11">
        <v>147115.21</v>
      </c>
      <c r="F244" s="11">
        <v>271707.63</v>
      </c>
    </row>
    <row r="245" spans="1:6">
      <c r="A245" s="2">
        <f t="shared" si="3"/>
        <v>37618</v>
      </c>
      <c r="B245" s="10">
        <f>Passivo!C247+Passivo!D247+Passivo!E247+Passivo!K247</f>
        <v>266967.75</v>
      </c>
      <c r="C245" s="11">
        <f>Passivo!G247+Passivo!H247+Passivo!I247</f>
        <v>981452.57</v>
      </c>
      <c r="D245" s="11">
        <v>367969.15</v>
      </c>
      <c r="E245" s="11">
        <v>146172.38</v>
      </c>
      <c r="F245" s="11">
        <v>261594.59</v>
      </c>
    </row>
    <row r="246" spans="1:6">
      <c r="A246" s="2">
        <f t="shared" si="3"/>
        <v>37588</v>
      </c>
      <c r="B246" s="10">
        <f>Passivo!C248+Passivo!D248+Passivo!E248+Passivo!K248</f>
        <v>271921.86</v>
      </c>
      <c r="C246" s="11">
        <f>Passivo!G248+Passivo!H248+Passivo!I248</f>
        <v>911200.03999999992</v>
      </c>
      <c r="D246" s="11">
        <v>364817.35</v>
      </c>
      <c r="E246" s="11">
        <v>147019.20000000001</v>
      </c>
      <c r="F246" s="11">
        <v>261700</v>
      </c>
    </row>
    <row r="247" spans="1:6">
      <c r="A247" s="2">
        <f t="shared" si="3"/>
        <v>37557</v>
      </c>
      <c r="B247" s="10">
        <f>Passivo!C249+Passivo!D249+Passivo!E249+Passivo!K249</f>
        <v>269303.83</v>
      </c>
      <c r="C247" s="11">
        <f>Passivo!G249+Passivo!H249+Passivo!I249</f>
        <v>893780.44</v>
      </c>
      <c r="D247" s="11">
        <v>364076.96</v>
      </c>
      <c r="E247" s="11">
        <v>147720.06</v>
      </c>
      <c r="F247" s="11">
        <v>247919.5</v>
      </c>
    </row>
    <row r="248" spans="1:6">
      <c r="A248" s="2">
        <f t="shared" si="3"/>
        <v>37527</v>
      </c>
      <c r="B248" s="10">
        <f>Passivo!C250+Passivo!D250+Passivo!E250+Passivo!K250</f>
        <v>264729.31</v>
      </c>
      <c r="C248" s="11">
        <f>Passivo!G250+Passivo!H250+Passivo!I250</f>
        <v>876492.73</v>
      </c>
      <c r="D248" s="11">
        <v>362979.95</v>
      </c>
      <c r="E248" s="11">
        <v>146215.53</v>
      </c>
      <c r="F248" s="11">
        <v>250360.03</v>
      </c>
    </row>
    <row r="249" spans="1:6">
      <c r="A249" s="2">
        <f t="shared" si="3"/>
        <v>37496</v>
      </c>
      <c r="B249" s="10">
        <f>Passivo!C251+Passivo!D251+Passivo!E251+Passivo!K251</f>
        <v>264655.67</v>
      </c>
      <c r="C249" s="11">
        <f>Passivo!G251+Passivo!H251+Passivo!I251</f>
        <v>874625.48</v>
      </c>
      <c r="D249" s="11">
        <v>359830.19</v>
      </c>
      <c r="E249" s="11">
        <v>145718.98000000001</v>
      </c>
      <c r="F249" s="11">
        <v>242269.47</v>
      </c>
    </row>
    <row r="250" spans="1:6">
      <c r="A250" s="2">
        <f t="shared" si="3"/>
        <v>37465</v>
      </c>
      <c r="B250" s="10">
        <f>Passivo!C252+Passivo!D252+Passivo!E252+Passivo!K252</f>
        <v>267897.33999999997</v>
      </c>
      <c r="C250" s="11">
        <f>Passivo!G252+Passivo!H252+Passivo!I252</f>
        <v>875882.00999999989</v>
      </c>
      <c r="D250" s="11">
        <v>357820.86</v>
      </c>
      <c r="E250" s="11">
        <v>145747.20000000001</v>
      </c>
      <c r="F250" s="11">
        <v>262904.98</v>
      </c>
    </row>
    <row r="251" spans="1:6">
      <c r="A251" s="2">
        <f t="shared" si="3"/>
        <v>37435</v>
      </c>
      <c r="B251" s="10">
        <f>Passivo!C253+Passivo!D253+Passivo!E253+Passivo!K253</f>
        <v>277608.32000000001</v>
      </c>
      <c r="C251" s="11">
        <f>Passivo!G253+Passivo!H253+Passivo!I253</f>
        <v>854267.51</v>
      </c>
      <c r="D251" s="11">
        <v>358665.95</v>
      </c>
      <c r="E251" s="11">
        <v>138908.92000000001</v>
      </c>
      <c r="F251" s="11">
        <v>255305.74</v>
      </c>
    </row>
    <row r="252" spans="1:6">
      <c r="A252" s="2">
        <f t="shared" si="3"/>
        <v>37404</v>
      </c>
      <c r="B252" s="10">
        <f>Passivo!C254+Passivo!D254+Passivo!E254+Passivo!K254</f>
        <v>281061.62</v>
      </c>
      <c r="C252" s="11">
        <f>Passivo!G254+Passivo!H254+Passivo!I254</f>
        <v>868341.12</v>
      </c>
      <c r="D252" s="11">
        <v>352295.99</v>
      </c>
      <c r="E252" s="11">
        <v>138183.07999999999</v>
      </c>
      <c r="F252" s="11">
        <v>251156.71</v>
      </c>
    </row>
    <row r="253" spans="1:6">
      <c r="A253" s="2">
        <f t="shared" si="3"/>
        <v>37374</v>
      </c>
      <c r="B253" s="10">
        <f>Passivo!C255+Passivo!D255+Passivo!E255+Passivo!K255</f>
        <v>283537.32</v>
      </c>
      <c r="C253" s="11">
        <f>Passivo!G255+Passivo!H255+Passivo!I255</f>
        <v>851282.24000000011</v>
      </c>
      <c r="D253" s="11">
        <v>347323.95</v>
      </c>
      <c r="E253" s="11">
        <v>138215.78</v>
      </c>
      <c r="F253" s="11">
        <v>257944.8</v>
      </c>
    </row>
    <row r="254" spans="1:6">
      <c r="A254" s="2">
        <f t="shared" si="3"/>
        <v>37343</v>
      </c>
      <c r="B254" s="10">
        <f>Passivo!C256+Passivo!D256+Passivo!E256+Passivo!K256</f>
        <v>286811.53999999998</v>
      </c>
      <c r="C254" s="11">
        <f>Passivo!G256+Passivo!H256+Passivo!I256</f>
        <v>840167.86</v>
      </c>
      <c r="D254" s="11">
        <v>344767.8</v>
      </c>
      <c r="E254" s="11">
        <v>136712.26999999999</v>
      </c>
      <c r="F254" s="11">
        <v>256820.31</v>
      </c>
    </row>
    <row r="255" spans="1:6">
      <c r="A255" s="2">
        <f t="shared" si="3"/>
        <v>37315</v>
      </c>
      <c r="B255" s="10">
        <f>Passivo!C257+Passivo!D257+Passivo!E257+Passivo!K257</f>
        <v>280889.48</v>
      </c>
      <c r="C255" s="11">
        <f>Passivo!G257+Passivo!H257+Passivo!I257</f>
        <v>817220.84</v>
      </c>
      <c r="D255" s="11">
        <v>340214.22</v>
      </c>
      <c r="E255" s="11">
        <v>136181.26</v>
      </c>
      <c r="F255" s="11">
        <v>260673.73</v>
      </c>
    </row>
    <row r="256" spans="1:6">
      <c r="A256" s="2">
        <f t="shared" si="3"/>
        <v>37284</v>
      </c>
      <c r="B256" s="10">
        <f>Passivo!C258+Passivo!D258+Passivo!E258+Passivo!K258</f>
        <v>293892.32</v>
      </c>
      <c r="C256" s="11">
        <f>Passivo!G258+Passivo!H258+Passivo!I258</f>
        <v>808691.01</v>
      </c>
      <c r="D256" s="11">
        <v>336452.75</v>
      </c>
      <c r="E256" s="11">
        <v>136122.74</v>
      </c>
      <c r="F256" s="11">
        <v>280847.71999999997</v>
      </c>
    </row>
    <row r="257" spans="1:6">
      <c r="A257" s="2">
        <f t="shared" si="3"/>
        <v>37253</v>
      </c>
      <c r="B257" s="10">
        <f>Passivo!C259+Passivo!D259+Passivo!E259+Passivo!K259</f>
        <v>286508.45</v>
      </c>
      <c r="C257" s="11">
        <f>Passivo!G259+Passivo!H259+Passivo!I259</f>
        <v>836804.86</v>
      </c>
      <c r="D257" s="11">
        <v>334672.34999999998</v>
      </c>
      <c r="E257" s="11">
        <v>133633.20000000001</v>
      </c>
      <c r="F257" s="11">
        <v>260372.21</v>
      </c>
    </row>
    <row r="258" spans="1:6">
      <c r="A258" s="2">
        <f t="shared" si="3"/>
        <v>37223</v>
      </c>
      <c r="B258" s="10">
        <f>Passivo!C260+Passivo!D260+Passivo!E260+Passivo!K260</f>
        <v>293335.83</v>
      </c>
      <c r="C258" s="11">
        <f>Passivo!G260+Passivo!H260+Passivo!I260</f>
        <v>808282.52000000014</v>
      </c>
      <c r="D258" s="11">
        <v>331111.03999999998</v>
      </c>
      <c r="E258" s="11">
        <v>133071.53</v>
      </c>
      <c r="F258" s="11">
        <v>281119.3</v>
      </c>
    </row>
    <row r="259" spans="1:6">
      <c r="A259" s="2">
        <f t="shared" si="3"/>
        <v>37192</v>
      </c>
      <c r="B259" s="10">
        <f>Passivo!C261+Passivo!D261+Passivo!E261+Passivo!K261</f>
        <v>292240.90000000002</v>
      </c>
      <c r="C259" s="11">
        <f>Passivo!G261+Passivo!H261+Passivo!I261</f>
        <v>807022.03</v>
      </c>
      <c r="D259" s="11">
        <v>327829.15000000002</v>
      </c>
      <c r="E259" s="11">
        <v>133015.44</v>
      </c>
      <c r="F259" s="11">
        <v>254579.19</v>
      </c>
    </row>
    <row r="260" spans="1:6">
      <c r="A260" s="2">
        <f t="shared" ref="A260:A292" si="4">EDATE(A259,-1)</f>
        <v>37162</v>
      </c>
      <c r="B260" s="10">
        <f>Passivo!C262+Passivo!D262+Passivo!E262+Passivo!K262</f>
        <v>299633.73</v>
      </c>
      <c r="C260" s="11">
        <f>Passivo!G262+Passivo!H262+Passivo!I262</f>
        <v>799483.53</v>
      </c>
      <c r="D260" s="11">
        <v>327487.94</v>
      </c>
      <c r="E260" s="11">
        <v>132584.35</v>
      </c>
      <c r="F260" s="11">
        <v>247298.2</v>
      </c>
    </row>
    <row r="261" spans="1:6">
      <c r="A261" s="2">
        <f t="shared" si="4"/>
        <v>37131</v>
      </c>
      <c r="B261" s="10">
        <f>Passivo!C263+Passivo!D263+Passivo!E263+Passivo!K263</f>
        <v>296100.78999999998</v>
      </c>
      <c r="C261" s="11">
        <f>Passivo!G263+Passivo!H263+Passivo!I263</f>
        <v>791489.16999999993</v>
      </c>
      <c r="D261" s="11">
        <v>325303.31</v>
      </c>
      <c r="E261" s="11">
        <v>132553.53</v>
      </c>
      <c r="F261" s="11">
        <v>228722.39</v>
      </c>
    </row>
    <row r="262" spans="1:6">
      <c r="A262" s="2">
        <f t="shared" si="4"/>
        <v>37100</v>
      </c>
      <c r="B262" s="10">
        <f>Passivo!C264+Passivo!D264+Passivo!E264+Passivo!K264</f>
        <v>300652.86</v>
      </c>
      <c r="C262" s="11">
        <f>Passivo!G264+Passivo!H264+Passivo!I264</f>
        <v>797523.09000000008</v>
      </c>
      <c r="D262" s="11">
        <v>322814.57</v>
      </c>
      <c r="E262" s="11">
        <v>131991.9</v>
      </c>
      <c r="F262" s="11">
        <v>249204.82</v>
      </c>
    </row>
    <row r="263" spans="1:6">
      <c r="A263" s="2">
        <f t="shared" si="4"/>
        <v>37070</v>
      </c>
      <c r="B263" s="10">
        <f>Passivo!C265+Passivo!D265+Passivo!E265+Passivo!K265</f>
        <v>312594.78000000003</v>
      </c>
      <c r="C263" s="11">
        <f>Passivo!G265+Passivo!H265+Passivo!I265</f>
        <v>804562.14999999991</v>
      </c>
      <c r="D263" s="11">
        <v>319911.21999999997</v>
      </c>
      <c r="E263" s="11">
        <v>131744.81</v>
      </c>
      <c r="F263" s="11">
        <v>251531.71</v>
      </c>
    </row>
    <row r="264" spans="1:6">
      <c r="A264" s="2">
        <f t="shared" si="4"/>
        <v>37039</v>
      </c>
      <c r="B264" s="10">
        <f>Passivo!C266+Passivo!D266+Passivo!E266+Passivo!K266</f>
        <v>303777.37</v>
      </c>
      <c r="C264" s="11">
        <f>Passivo!G266+Passivo!H266+Passivo!I266</f>
        <v>802512.08</v>
      </c>
      <c r="D264" s="11">
        <v>316901.26</v>
      </c>
      <c r="E264" s="11">
        <v>130071.38</v>
      </c>
      <c r="F264" s="11">
        <v>246289</v>
      </c>
    </row>
    <row r="265" spans="1:6">
      <c r="A265" s="2">
        <f t="shared" si="4"/>
        <v>37009</v>
      </c>
      <c r="B265" s="10">
        <f>Passivo!C267+Passivo!D267+Passivo!E267+Passivo!K267</f>
        <v>310709.08999999997</v>
      </c>
      <c r="C265" s="11">
        <f>Passivo!G267+Passivo!H267+Passivo!I267</f>
        <v>772686.08</v>
      </c>
      <c r="D265" s="11">
        <v>314992.2</v>
      </c>
      <c r="E265" s="11">
        <v>131997.39000000001</v>
      </c>
      <c r="F265" s="11">
        <v>261232</v>
      </c>
    </row>
    <row r="266" spans="1:6">
      <c r="A266" s="2">
        <f t="shared" si="4"/>
        <v>36978</v>
      </c>
      <c r="B266" s="10">
        <f>Passivo!C268+Passivo!D268+Passivo!E268+Passivo!K268</f>
        <v>304734.51</v>
      </c>
      <c r="C266" s="11">
        <f>Passivo!G268+Passivo!H268+Passivo!I268</f>
        <v>782160.02999999991</v>
      </c>
      <c r="D266" s="11">
        <v>312612.47999999998</v>
      </c>
      <c r="E266" s="11">
        <v>128430.41</v>
      </c>
      <c r="F266" s="11">
        <v>268156</v>
      </c>
    </row>
    <row r="267" spans="1:6">
      <c r="A267" s="2">
        <f t="shared" si="4"/>
        <v>36950</v>
      </c>
      <c r="B267" s="10">
        <f>Passivo!C269+Passivo!D269+Passivo!E269+Passivo!K269</f>
        <v>287117.17000000004</v>
      </c>
      <c r="C267" s="11">
        <f>Passivo!G269+Passivo!H269+Passivo!I269</f>
        <v>756092.01</v>
      </c>
      <c r="D267" s="11">
        <v>306752.77</v>
      </c>
      <c r="E267" s="11">
        <v>126790.39</v>
      </c>
      <c r="F267" s="11">
        <v>252786.04</v>
      </c>
    </row>
    <row r="268" spans="1:6">
      <c r="A268" s="2">
        <f t="shared" si="4"/>
        <v>36919</v>
      </c>
      <c r="B268" s="10">
        <f>Passivo!C270+Passivo!D270+Passivo!E270+Passivo!K270</f>
        <v>282460.78999999998</v>
      </c>
      <c r="C268" s="11">
        <f>Passivo!G270+Passivo!H270+Passivo!I270</f>
        <v>764517.68</v>
      </c>
      <c r="D268" s="11">
        <v>302741.78000000003</v>
      </c>
      <c r="E268" s="11">
        <v>125840.78</v>
      </c>
      <c r="F268" s="11">
        <v>261224.8</v>
      </c>
    </row>
    <row r="269" spans="1:6">
      <c r="A269" s="2">
        <f t="shared" si="4"/>
        <v>36888</v>
      </c>
      <c r="B269" s="10">
        <f>Passivo!C271+Passivo!D271+Passivo!E271+Passivo!K271</f>
        <v>272380.95</v>
      </c>
      <c r="C269" s="11">
        <f>Passivo!G271+Passivo!H271+Passivo!I271</f>
        <v>811440.55999999994</v>
      </c>
      <c r="D269" s="11">
        <v>302480.77</v>
      </c>
      <c r="E269" s="11">
        <v>123930</v>
      </c>
      <c r="F269" s="11">
        <v>260894</v>
      </c>
    </row>
    <row r="270" spans="1:6">
      <c r="A270" s="2">
        <f t="shared" si="4"/>
        <v>36858</v>
      </c>
      <c r="B270" s="10">
        <f>Passivo!C272+Passivo!D272+Passivo!E272+Passivo!K272</f>
        <v>276347.07999999996</v>
      </c>
      <c r="C270" s="11">
        <f>Passivo!G272+Passivo!H272+Passivo!I272</f>
        <v>776839.47000000009</v>
      </c>
      <c r="D270" s="11">
        <v>296669.55</v>
      </c>
      <c r="E270" s="11">
        <v>127761.18</v>
      </c>
      <c r="F270" s="11">
        <v>285146.90999999997</v>
      </c>
    </row>
    <row r="271" spans="1:6">
      <c r="A271" s="2">
        <f t="shared" si="4"/>
        <v>36827</v>
      </c>
      <c r="B271" s="10">
        <f>Passivo!C273+Passivo!D273+Passivo!E273+Passivo!K273</f>
        <v>282940.48</v>
      </c>
      <c r="C271" s="11">
        <f>Passivo!G273+Passivo!H273+Passivo!I273</f>
        <v>779718.33</v>
      </c>
      <c r="D271" s="11">
        <v>294624.11</v>
      </c>
      <c r="E271" s="11">
        <v>127543</v>
      </c>
      <c r="F271" s="11">
        <v>266593.82</v>
      </c>
    </row>
    <row r="272" spans="1:6">
      <c r="A272" s="2">
        <f t="shared" si="4"/>
        <v>36797</v>
      </c>
      <c r="B272" s="10">
        <f>Passivo!C274+Passivo!D274+Passivo!E274+Passivo!K274</f>
        <v>270355.94</v>
      </c>
      <c r="C272" s="11">
        <f>Passivo!G274+Passivo!H274+Passivo!I274</f>
        <v>764713.27000000014</v>
      </c>
      <c r="D272" s="11">
        <v>293992.05</v>
      </c>
      <c r="E272" s="11">
        <v>127652.61</v>
      </c>
      <c r="F272" s="11">
        <v>252124.38</v>
      </c>
    </row>
    <row r="273" spans="1:6">
      <c r="A273" s="2">
        <f t="shared" si="4"/>
        <v>36766</v>
      </c>
      <c r="B273" s="10">
        <f>Passivo!C275+Passivo!D275+Passivo!E275+Passivo!K275</f>
        <v>263897.67</v>
      </c>
      <c r="C273" s="11">
        <f>Passivo!G275+Passivo!H275+Passivo!I275</f>
        <v>768181.19000000006</v>
      </c>
      <c r="D273" s="11">
        <v>289957.08</v>
      </c>
      <c r="E273" s="11">
        <v>127368.8</v>
      </c>
      <c r="F273" s="11">
        <v>237779.09</v>
      </c>
    </row>
    <row r="274" spans="1:6">
      <c r="A274" s="2">
        <f t="shared" si="4"/>
        <v>36735</v>
      </c>
      <c r="B274" s="10">
        <f>Passivo!C276+Passivo!D276+Passivo!E276+Passivo!K276</f>
        <v>249142.16999999998</v>
      </c>
      <c r="C274" s="11">
        <f>Passivo!G276+Passivo!H276+Passivo!I276</f>
        <v>787366.66</v>
      </c>
      <c r="D274" s="11">
        <v>288143.57</v>
      </c>
      <c r="E274" s="11">
        <v>127259.88</v>
      </c>
      <c r="F274" s="11">
        <v>254924.59</v>
      </c>
    </row>
    <row r="275" spans="1:6">
      <c r="A275" s="2">
        <f t="shared" si="4"/>
        <v>36705</v>
      </c>
      <c r="B275" s="10">
        <f>Passivo!C277+Passivo!D277+Passivo!E277+Passivo!K277</f>
        <v>252994.63</v>
      </c>
      <c r="C275" s="11">
        <f>Passivo!G277+Passivo!H277+Passivo!I277</f>
        <v>804789.32</v>
      </c>
      <c r="D275" s="11">
        <v>289153.57</v>
      </c>
      <c r="E275" s="11">
        <v>126530.15</v>
      </c>
      <c r="F275" s="11">
        <v>257373.75</v>
      </c>
    </row>
    <row r="276" spans="1:6">
      <c r="A276" s="2">
        <f t="shared" si="4"/>
        <v>36674</v>
      </c>
      <c r="B276" s="10">
        <f>Passivo!C278+Passivo!D278+Passivo!E278+Passivo!K278</f>
        <v>256149.05</v>
      </c>
      <c r="C276" s="11">
        <f>Passivo!G278+Passivo!H278+Passivo!I278</f>
        <v>797489.39999999991</v>
      </c>
      <c r="D276" s="11">
        <v>288065.65999999997</v>
      </c>
      <c r="E276" s="11">
        <v>126583.55</v>
      </c>
      <c r="F276" s="11">
        <v>251939</v>
      </c>
    </row>
    <row r="277" spans="1:6">
      <c r="A277" s="2">
        <f t="shared" si="4"/>
        <v>36644</v>
      </c>
      <c r="B277" s="10">
        <f>Passivo!C279+Passivo!D279+Passivo!E279+Passivo!K279</f>
        <v>249331.1</v>
      </c>
      <c r="C277" s="11">
        <f>Passivo!G279+Passivo!H279+Passivo!I279</f>
        <v>782376.95999999996</v>
      </c>
      <c r="D277" s="11">
        <v>286331.53999999998</v>
      </c>
      <c r="E277" s="11">
        <v>126076.43</v>
      </c>
      <c r="F277" s="11">
        <v>257745.42</v>
      </c>
    </row>
    <row r="278" spans="1:6">
      <c r="A278" s="2">
        <f t="shared" si="4"/>
        <v>36613</v>
      </c>
      <c r="B278" s="10">
        <f>Passivo!C280+Passivo!D280+Passivo!E280+Passivo!K280</f>
        <v>253484.4</v>
      </c>
      <c r="C278" s="11">
        <f>Passivo!G280+Passivo!H280+Passivo!I280</f>
        <v>770254.14</v>
      </c>
      <c r="D278" s="11">
        <v>284381.43</v>
      </c>
      <c r="E278" s="11">
        <v>124822.68</v>
      </c>
      <c r="F278" s="11">
        <v>256904.22</v>
      </c>
    </row>
    <row r="279" spans="1:6">
      <c r="A279" s="2">
        <f t="shared" si="4"/>
        <v>36584</v>
      </c>
      <c r="B279" s="10">
        <f>Passivo!C281+Passivo!D281+Passivo!E281+Passivo!K281</f>
        <v>244280.52000000002</v>
      </c>
      <c r="C279" s="11">
        <f>Passivo!G281+Passivo!H281+Passivo!I281</f>
        <v>758933.94</v>
      </c>
      <c r="D279" s="11">
        <v>277720.52</v>
      </c>
      <c r="E279" s="11">
        <v>123734.85</v>
      </c>
      <c r="F279" s="11">
        <v>257303.72</v>
      </c>
    </row>
    <row r="280" spans="1:6">
      <c r="A280" s="2">
        <f t="shared" si="4"/>
        <v>36553</v>
      </c>
      <c r="B280" s="10">
        <f>Passivo!C282+Passivo!D282+Passivo!E282+Passivo!K282</f>
        <v>246154.71</v>
      </c>
      <c r="C280" s="11">
        <f>Passivo!G282+Passivo!H282+Passivo!I282</f>
        <v>755634.57000000007</v>
      </c>
      <c r="D280" s="11">
        <v>273806.46000000002</v>
      </c>
      <c r="E280" s="11">
        <v>121672.33</v>
      </c>
      <c r="F280" s="11">
        <v>260512.43</v>
      </c>
    </row>
    <row r="281" spans="1:6">
      <c r="A281" s="2">
        <f t="shared" si="4"/>
        <v>36522</v>
      </c>
      <c r="B281" s="10">
        <f>Passivo!C283+Passivo!D283+Passivo!E283+Passivo!K283</f>
        <v>240562.65999999997</v>
      </c>
      <c r="C281" s="11">
        <f>Passivo!G283+Passivo!H283+Passivo!I283</f>
        <v>764786.20000000007</v>
      </c>
      <c r="D281" s="11">
        <v>271553.24</v>
      </c>
      <c r="E281" s="11">
        <v>118264.8</v>
      </c>
      <c r="F281" s="11">
        <v>233637.47</v>
      </c>
    </row>
    <row r="282" spans="1:6">
      <c r="A282" s="2">
        <f t="shared" si="4"/>
        <v>36492</v>
      </c>
      <c r="B282" s="10">
        <f>Passivo!C284+Passivo!D284+Passivo!E284+Passivo!K284</f>
        <v>245020.59</v>
      </c>
      <c r="C282" s="11">
        <f>Passivo!G284+Passivo!H284+Passivo!I284</f>
        <v>709575.33</v>
      </c>
      <c r="D282" s="11">
        <v>269808.09999999998</v>
      </c>
      <c r="E282" s="11">
        <v>114581.47</v>
      </c>
      <c r="F282" s="11">
        <v>269104.31</v>
      </c>
    </row>
    <row r="283" spans="1:6">
      <c r="A283" s="2">
        <f t="shared" si="4"/>
        <v>36461</v>
      </c>
      <c r="B283" s="10">
        <f>Passivo!C285+Passivo!D285+Passivo!E285+Passivo!K285</f>
        <v>236516.55000000002</v>
      </c>
      <c r="C283" s="11">
        <f>Passivo!G285+Passivo!H285+Passivo!I285</f>
        <v>721160.94000000006</v>
      </c>
      <c r="D283" s="11">
        <v>266438.31</v>
      </c>
      <c r="E283" s="11">
        <v>114595.86</v>
      </c>
      <c r="F283" s="11">
        <v>243225.85</v>
      </c>
    </row>
    <row r="284" spans="1:6">
      <c r="A284" s="2">
        <f t="shared" si="4"/>
        <v>36431</v>
      </c>
      <c r="B284" s="10">
        <f>Passivo!C286+Passivo!D286+Passivo!E286+Passivo!K286</f>
        <v>233669.12</v>
      </c>
      <c r="C284" s="11">
        <f>Passivo!G286+Passivo!H286+Passivo!I286</f>
        <v>714724.62</v>
      </c>
      <c r="D284" s="11">
        <v>264552.55</v>
      </c>
      <c r="E284" s="11">
        <v>115178.55</v>
      </c>
      <c r="F284" s="11">
        <v>235020.19</v>
      </c>
    </row>
    <row r="285" spans="1:6">
      <c r="A285" s="2">
        <f t="shared" si="4"/>
        <v>36400</v>
      </c>
      <c r="B285" s="10">
        <f>Passivo!C287+Passivo!D287+Passivo!E287+Passivo!K287</f>
        <v>239145.27000000002</v>
      </c>
      <c r="C285" s="11">
        <f>Passivo!G287+Passivo!H287+Passivo!I287</f>
        <v>711629.85000000009</v>
      </c>
      <c r="D285" s="11">
        <v>264088.09999999998</v>
      </c>
      <c r="E285" s="11">
        <v>115168.88</v>
      </c>
      <c r="F285" s="11">
        <v>230409.35</v>
      </c>
    </row>
    <row r="286" spans="1:6">
      <c r="A286" s="2">
        <f t="shared" si="4"/>
        <v>36369</v>
      </c>
      <c r="B286" s="10">
        <f>Passivo!C288+Passivo!D288+Passivo!E288+Passivo!K288</f>
        <v>237642.96999999997</v>
      </c>
      <c r="C286" s="11">
        <f>Passivo!G288+Passivo!H288+Passivo!I288</f>
        <v>715767.91</v>
      </c>
      <c r="D286" s="11">
        <v>263247.40000000002</v>
      </c>
      <c r="E286" s="11">
        <v>115160.76</v>
      </c>
      <c r="F286" s="11">
        <v>246363.71</v>
      </c>
    </row>
    <row r="287" spans="1:6">
      <c r="A287" s="2">
        <f t="shared" si="4"/>
        <v>36339</v>
      </c>
      <c r="B287" s="10">
        <f>Passivo!C289+Passivo!D289+Passivo!E289+Passivo!K289</f>
        <v>228425.39</v>
      </c>
      <c r="C287" s="11">
        <f>Passivo!G289+Passivo!H289+Passivo!I289</f>
        <v>737374.01</v>
      </c>
      <c r="D287" s="11">
        <v>263757.94</v>
      </c>
      <c r="E287" s="11">
        <v>115073.81</v>
      </c>
      <c r="F287" s="11">
        <v>268076.5</v>
      </c>
    </row>
    <row r="288" spans="1:6">
      <c r="A288" s="2">
        <f t="shared" si="4"/>
        <v>36308</v>
      </c>
      <c r="B288" s="10">
        <f>Passivo!C290+Passivo!D290+Passivo!E290+Passivo!K290</f>
        <v>228590.21</v>
      </c>
      <c r="C288" s="11">
        <f>Passivo!G290+Passivo!H290+Passivo!I290</f>
        <v>713347.54999999993</v>
      </c>
      <c r="D288" s="11">
        <v>261715.39</v>
      </c>
      <c r="E288" s="11">
        <v>112780.87</v>
      </c>
      <c r="F288" s="11">
        <v>254602.41</v>
      </c>
    </row>
    <row r="289" spans="1:6">
      <c r="A289" s="2">
        <f t="shared" si="4"/>
        <v>36278</v>
      </c>
      <c r="B289" s="10">
        <f>Passivo!C291+Passivo!D291+Passivo!E291+Passivo!K291</f>
        <v>224016.13</v>
      </c>
      <c r="C289" s="11">
        <f>Passivo!G291+Passivo!H291+Passivo!I291</f>
        <v>708056.89</v>
      </c>
      <c r="D289" s="11">
        <v>258517.63</v>
      </c>
      <c r="E289" s="11">
        <v>112136.83</v>
      </c>
      <c r="F289" s="11">
        <v>257779.12</v>
      </c>
    </row>
    <row r="290" spans="1:6">
      <c r="A290" s="2">
        <f t="shared" si="4"/>
        <v>36247</v>
      </c>
      <c r="B290" s="10">
        <f>Passivo!C292+Passivo!D292+Passivo!E292+Passivo!K292</f>
        <v>227727.03</v>
      </c>
      <c r="C290" s="11">
        <f>Passivo!G292+Passivo!H292+Passivo!I292</f>
        <v>696149.5</v>
      </c>
      <c r="D290" s="11">
        <v>256560.43</v>
      </c>
      <c r="E290" s="11">
        <v>111101.52</v>
      </c>
      <c r="F290" s="11">
        <v>254974.34</v>
      </c>
    </row>
    <row r="291" spans="1:6">
      <c r="A291" s="2">
        <f t="shared" si="4"/>
        <v>36219</v>
      </c>
      <c r="B291" s="10">
        <f>Passivo!C293+Passivo!D293+Passivo!E293+Passivo!K293</f>
        <v>228647.96999999997</v>
      </c>
      <c r="C291" s="11">
        <f>Passivo!G293+Passivo!H293+Passivo!I293</f>
        <v>714066.16</v>
      </c>
      <c r="D291" s="11">
        <v>254315.51999999999</v>
      </c>
      <c r="E291" s="11">
        <v>110496.6</v>
      </c>
      <c r="F291" s="11">
        <v>265848.74</v>
      </c>
    </row>
    <row r="292" spans="1:6">
      <c r="A292" s="2">
        <f t="shared" si="4"/>
        <v>36188</v>
      </c>
      <c r="B292" s="10">
        <f>Passivo!C294+Passivo!D294+Passivo!E294+Passivo!K294</f>
        <v>233847.59999999998</v>
      </c>
      <c r="C292" s="11">
        <f>Passivo!G294+Passivo!H294+Passivo!I294</f>
        <v>713480.58</v>
      </c>
      <c r="D292" s="11">
        <v>251157.05</v>
      </c>
      <c r="E292" s="11">
        <v>110458.52</v>
      </c>
      <c r="F292" s="11">
        <v>289974.12</v>
      </c>
    </row>
    <row r="293" spans="1:6">
      <c r="A293" s="2"/>
      <c r="B293" s="10"/>
      <c r="C293" s="11"/>
      <c r="D293" s="12"/>
      <c r="E293" s="12"/>
      <c r="F293" s="12"/>
    </row>
    <row r="294" spans="1:6">
      <c r="A294" s="2"/>
      <c r="B294" s="10"/>
      <c r="C294" s="11"/>
      <c r="D294" s="12"/>
      <c r="E294" s="12"/>
      <c r="F294" s="12"/>
    </row>
    <row r="295" spans="1:6">
      <c r="A295" s="2"/>
      <c r="B295" s="10"/>
      <c r="C295" s="11"/>
      <c r="D295" s="12"/>
      <c r="E295" s="12"/>
      <c r="F295" s="12"/>
    </row>
    <row r="296" spans="1:6">
      <c r="A296" s="2"/>
      <c r="B296" s="10"/>
      <c r="C296" s="11"/>
      <c r="D296" s="12"/>
      <c r="E296" s="12"/>
      <c r="F296" s="12"/>
    </row>
    <row r="297" spans="1:6">
      <c r="A297" s="2"/>
      <c r="B297" s="10"/>
      <c r="C297" s="11"/>
      <c r="D297" s="12"/>
      <c r="E297" s="12"/>
      <c r="F297" s="12"/>
    </row>
    <row r="298" spans="1:6">
      <c r="A298" s="2"/>
      <c r="B298" s="10"/>
      <c r="C298" s="11"/>
      <c r="D298" s="12"/>
      <c r="E298" s="12"/>
      <c r="F298" s="12"/>
    </row>
    <row r="299" spans="1:6">
      <c r="A299" s="2"/>
      <c r="B299" s="10"/>
      <c r="C299" s="11"/>
      <c r="D299" s="12"/>
      <c r="E299" s="12"/>
      <c r="F299" s="12"/>
    </row>
    <row r="300" spans="1:6">
      <c r="A300" s="2"/>
      <c r="B300" s="10"/>
      <c r="C300" s="11"/>
      <c r="D300" s="12"/>
      <c r="E300" s="12"/>
      <c r="F300" s="12"/>
    </row>
    <row r="301" spans="1:6">
      <c r="A301" s="2"/>
      <c r="B301" s="10"/>
      <c r="C301" s="11"/>
      <c r="D301" s="12"/>
      <c r="E301" s="12"/>
      <c r="F301" s="12"/>
    </row>
    <row r="302" spans="1:6">
      <c r="A302" s="2"/>
      <c r="B302" s="10"/>
      <c r="C302" s="11"/>
      <c r="D302" s="12"/>
      <c r="E302" s="12"/>
      <c r="F302" s="12"/>
    </row>
    <row r="303" spans="1:6">
      <c r="A303" s="2"/>
      <c r="B303" s="10"/>
      <c r="C303" s="11"/>
      <c r="D303" s="12"/>
      <c r="E303" s="12"/>
      <c r="F303" s="12"/>
    </row>
    <row r="304" spans="1:6">
      <c r="A304" s="2"/>
      <c r="B304" s="10"/>
      <c r="C304" s="11"/>
      <c r="D304" s="12"/>
      <c r="E304" s="12"/>
      <c r="F304" s="12"/>
    </row>
    <row r="305" spans="1:6">
      <c r="A305" s="2"/>
      <c r="B305" s="10"/>
      <c r="C305" s="11"/>
      <c r="D305" s="12"/>
      <c r="E305" s="12"/>
      <c r="F305" s="12"/>
    </row>
    <row r="306" spans="1:6">
      <c r="A306" s="2"/>
      <c r="B306" s="10"/>
      <c r="C306" s="11"/>
      <c r="D306" s="12"/>
      <c r="E306" s="12"/>
      <c r="F306" s="12"/>
    </row>
    <row r="307" spans="1:6">
      <c r="A307" s="2"/>
      <c r="B307" s="10"/>
      <c r="C307" s="11"/>
      <c r="D307" s="12"/>
      <c r="E307" s="12"/>
      <c r="F307" s="12"/>
    </row>
    <row r="308" spans="1:6">
      <c r="A308" s="2"/>
      <c r="B308" s="10"/>
      <c r="C308" s="11"/>
      <c r="D308" s="12"/>
      <c r="E308" s="12"/>
      <c r="F308" s="12"/>
    </row>
    <row r="309" spans="1:6">
      <c r="A309" s="2"/>
      <c r="B309" s="10"/>
      <c r="C309" s="11"/>
      <c r="D309" s="12"/>
      <c r="E309" s="12"/>
      <c r="F309" s="12"/>
    </row>
    <row r="310" spans="1:6">
      <c r="A310" s="2"/>
      <c r="B310" s="10"/>
      <c r="C310" s="11"/>
      <c r="D310" s="12"/>
      <c r="E310" s="12"/>
      <c r="F310" s="12"/>
    </row>
    <row r="311" spans="1:6">
      <c r="A311" s="2"/>
      <c r="B311" s="10"/>
      <c r="C311" s="11"/>
      <c r="D311" s="12"/>
      <c r="E311" s="12"/>
      <c r="F311" s="12"/>
    </row>
    <row r="312" spans="1:6">
      <c r="A312" s="2"/>
      <c r="B312" s="10"/>
      <c r="C312" s="11"/>
      <c r="D312" s="12"/>
      <c r="E312" s="12"/>
      <c r="F312" s="12"/>
    </row>
    <row r="313" spans="1:6">
      <c r="A313" s="2"/>
      <c r="B313" s="10"/>
      <c r="C313" s="11"/>
      <c r="D313" s="12"/>
      <c r="E313" s="12"/>
      <c r="F313" s="12"/>
    </row>
    <row r="314" spans="1:6">
      <c r="A314" s="2"/>
      <c r="B314" s="10"/>
      <c r="C314" s="11"/>
      <c r="D314" s="12"/>
      <c r="E314" s="12"/>
      <c r="F314" s="12"/>
    </row>
    <row r="315" spans="1:6">
      <c r="A315" s="2"/>
      <c r="B315" s="10"/>
      <c r="C315" s="11"/>
      <c r="D315" s="12"/>
      <c r="E315" s="12"/>
      <c r="F315" s="12"/>
    </row>
    <row r="316" spans="1:6">
      <c r="A316" s="2"/>
      <c r="B316" s="10"/>
      <c r="C316" s="11"/>
      <c r="D316" s="12"/>
      <c r="E316" s="12"/>
      <c r="F316" s="12"/>
    </row>
    <row r="317" spans="1:6">
      <c r="A317" s="2"/>
      <c r="B317" s="10"/>
      <c r="C317" s="11"/>
      <c r="D317" s="12"/>
      <c r="E317" s="12"/>
      <c r="F317" s="12"/>
    </row>
    <row r="318" spans="1:6">
      <c r="A318" s="2"/>
      <c r="B318" s="10"/>
      <c r="C318" s="11"/>
      <c r="D318" s="12"/>
      <c r="E318" s="12"/>
      <c r="F318" s="12"/>
    </row>
    <row r="319" spans="1:6">
      <c r="A319" s="2"/>
      <c r="B319" s="10"/>
      <c r="C319" s="11"/>
      <c r="D319" s="12"/>
      <c r="E319" s="12"/>
      <c r="F319" s="12"/>
    </row>
    <row r="320" spans="1:6">
      <c r="A320" s="2"/>
      <c r="B320" s="10"/>
      <c r="C320" s="11"/>
      <c r="D320" s="12"/>
      <c r="E320" s="12"/>
      <c r="F320" s="12"/>
    </row>
    <row r="321" spans="1:6">
      <c r="A321" s="2"/>
      <c r="B321" s="10"/>
      <c r="C321" s="11"/>
      <c r="D321" s="12"/>
      <c r="E321" s="12"/>
      <c r="F321" s="12"/>
    </row>
    <row r="322" spans="1:6">
      <c r="A322" s="2"/>
      <c r="B322" s="10"/>
      <c r="C322" s="11"/>
      <c r="D322" s="12"/>
      <c r="E322" s="12"/>
      <c r="F322" s="12"/>
    </row>
    <row r="323" spans="1:6">
      <c r="A323" s="2"/>
      <c r="B323" s="10"/>
      <c r="C323" s="11"/>
      <c r="D323" s="12"/>
      <c r="E323" s="12"/>
      <c r="F323" s="12"/>
    </row>
    <row r="324" spans="1:6">
      <c r="A324" s="2"/>
      <c r="B324" s="10"/>
      <c r="C324" s="11"/>
      <c r="D324" s="12"/>
      <c r="E324" s="12"/>
      <c r="F324" s="12"/>
    </row>
    <row r="325" spans="1:6">
      <c r="A325" s="2"/>
      <c r="B325" s="10"/>
      <c r="C325" s="11"/>
      <c r="D325" s="12"/>
      <c r="E325" s="12"/>
      <c r="F325" s="12"/>
    </row>
    <row r="326" spans="1:6">
      <c r="A326" s="2"/>
      <c r="B326" s="10"/>
      <c r="C326" s="11"/>
      <c r="D326" s="12"/>
      <c r="E326" s="12"/>
      <c r="F326" s="12"/>
    </row>
    <row r="327" spans="1:6">
      <c r="A327" s="2"/>
      <c r="B327" s="10"/>
      <c r="C327" s="11"/>
      <c r="D327" s="12"/>
      <c r="E327" s="12"/>
      <c r="F327" s="12"/>
    </row>
    <row r="328" spans="1:6">
      <c r="A328" s="2"/>
      <c r="B328" s="10"/>
      <c r="C328" s="11"/>
      <c r="D328" s="12"/>
      <c r="E328" s="12"/>
      <c r="F328" s="12"/>
    </row>
    <row r="329" spans="1:6">
      <c r="A329" s="2"/>
      <c r="B329" s="10"/>
      <c r="C329" s="11"/>
      <c r="D329" s="12"/>
      <c r="E329" s="12"/>
      <c r="F329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A2AC-4FF0-3C49-AEB3-117822445405}">
  <dimension ref="A1:C329"/>
  <sheetViews>
    <sheetView zoomScale="164" workbookViewId="0">
      <selection activeCell="G16" sqref="G16"/>
    </sheetView>
  </sheetViews>
  <sheetFormatPr baseColWidth="10" defaultRowHeight="15"/>
  <sheetData>
    <row r="1" spans="1:3" ht="28">
      <c r="A1" s="1" t="s">
        <v>22</v>
      </c>
      <c r="B1" s="1" t="s">
        <v>34</v>
      </c>
      <c r="C1" s="1" t="s">
        <v>35</v>
      </c>
    </row>
    <row r="2" spans="1:3">
      <c r="A2" s="2">
        <v>45016</v>
      </c>
      <c r="B2">
        <v>0.99580888516345345</v>
      </c>
      <c r="C2">
        <f>1/PRODUCT(B2:$B$39)</f>
        <v>0.86616161616161624</v>
      </c>
    </row>
    <row r="3" spans="1:3">
      <c r="A3" s="2">
        <f>EDATE(A2,-1)</f>
        <v>44985</v>
      </c>
      <c r="B3">
        <v>1.0016792611251051</v>
      </c>
      <c r="C3">
        <f>1/PRODUCT(B3:$B$39)</f>
        <v>0.86253143336127358</v>
      </c>
    </row>
    <row r="4" spans="1:3">
      <c r="A4" s="2">
        <f t="shared" ref="A4:A67" si="0">EDATE(A3,-1)</f>
        <v>44954</v>
      </c>
      <c r="B4">
        <v>1.0008403361344538</v>
      </c>
      <c r="C4">
        <f>1/PRODUCT(B4:$B$39)</f>
        <v>0.86397984886649837</v>
      </c>
    </row>
    <row r="5" spans="1:3">
      <c r="A5" s="2">
        <f t="shared" si="0"/>
        <v>44923</v>
      </c>
      <c r="B5">
        <v>1.0025273799494523</v>
      </c>
      <c r="C5">
        <f>1/PRODUCT(B5:$B$39)</f>
        <v>0.86470588235294088</v>
      </c>
    </row>
    <row r="6" spans="1:3">
      <c r="A6" s="2">
        <f t="shared" si="0"/>
        <v>44893</v>
      </c>
      <c r="B6">
        <v>1.0050804403048266</v>
      </c>
      <c r="C6">
        <f>1/PRODUCT(B6:$B$39)</f>
        <v>0.86689132266217317</v>
      </c>
    </row>
    <row r="7" spans="1:3">
      <c r="A7" s="2">
        <f t="shared" si="0"/>
        <v>44862</v>
      </c>
      <c r="B7">
        <v>1.0341506129597198</v>
      </c>
      <c r="C7">
        <f>1/PRODUCT(B7:$B$39)</f>
        <v>0.8712955122777305</v>
      </c>
    </row>
    <row r="8" spans="1:3">
      <c r="A8" s="2">
        <f t="shared" si="0"/>
        <v>44832</v>
      </c>
      <c r="B8">
        <v>1.0026338893766462</v>
      </c>
      <c r="C8">
        <f>1/PRODUCT(B8:$B$39)</f>
        <v>0.90105078809106831</v>
      </c>
    </row>
    <row r="9" spans="1:3">
      <c r="A9" s="2">
        <f t="shared" si="0"/>
        <v>44801</v>
      </c>
      <c r="B9">
        <v>1.0079646017699115</v>
      </c>
      <c r="C9">
        <f>1/PRODUCT(B9:$B$39)</f>
        <v>0.90342405618963961</v>
      </c>
    </row>
    <row r="10" spans="1:3">
      <c r="A10" s="2">
        <f t="shared" si="0"/>
        <v>44770</v>
      </c>
      <c r="B10">
        <v>1.0044444444444445</v>
      </c>
      <c r="C10">
        <f>1/PRODUCT(B10:$B$39)</f>
        <v>0.91061946902654856</v>
      </c>
    </row>
    <row r="11" spans="1:3">
      <c r="A11" s="2">
        <f t="shared" si="0"/>
        <v>44740</v>
      </c>
      <c r="B11">
        <v>1.0116906474820144</v>
      </c>
      <c r="C11">
        <f>1/PRODUCT(B11:$B$39)</f>
        <v>0.91466666666666641</v>
      </c>
    </row>
    <row r="12" spans="1:3">
      <c r="A12" s="2">
        <f t="shared" si="0"/>
        <v>44709</v>
      </c>
      <c r="B12">
        <v>1.0081595648232096</v>
      </c>
      <c r="C12">
        <f>1/PRODUCT(B12:$B$39)</f>
        <v>0.92535971223021563</v>
      </c>
    </row>
    <row r="13" spans="1:3">
      <c r="A13" s="2">
        <f t="shared" si="0"/>
        <v>44679</v>
      </c>
      <c r="B13">
        <v>0.99909420289855067</v>
      </c>
      <c r="C13">
        <f>1/PRODUCT(B13:$B$39)</f>
        <v>0.93291024478694429</v>
      </c>
    </row>
    <row r="14" spans="1:3">
      <c r="A14" s="2">
        <f t="shared" si="0"/>
        <v>44648</v>
      </c>
      <c r="B14">
        <v>1.0100640439158282</v>
      </c>
      <c r="C14">
        <f>1/PRODUCT(B14:$B$39)</f>
        <v>0.93206521739130455</v>
      </c>
    </row>
    <row r="15" spans="1:3">
      <c r="A15" s="2">
        <f t="shared" si="0"/>
        <v>44620</v>
      </c>
      <c r="B15">
        <v>1.0092336103416435</v>
      </c>
      <c r="C15">
        <f>1/PRODUCT(B15:$B$39)</f>
        <v>0.94144556267154633</v>
      </c>
    </row>
    <row r="16" spans="1:3">
      <c r="A16" s="2">
        <f t="shared" si="0"/>
        <v>44589</v>
      </c>
      <c r="B16">
        <v>1.0159474671669795</v>
      </c>
      <c r="C16">
        <f>1/PRODUCT(B16:$B$39)</f>
        <v>0.95013850415512469</v>
      </c>
    </row>
    <row r="17" spans="1:3">
      <c r="A17" s="2">
        <f t="shared" si="0"/>
        <v>44558</v>
      </c>
      <c r="B17">
        <v>1.0037664783427493</v>
      </c>
      <c r="C17">
        <f>1/PRODUCT(B17:$B$39)</f>
        <v>0.9652908067542213</v>
      </c>
    </row>
    <row r="18" spans="1:3">
      <c r="A18" s="2">
        <f t="shared" si="0"/>
        <v>44528</v>
      </c>
      <c r="B18">
        <v>1.0056818181818183</v>
      </c>
      <c r="C18">
        <f>1/PRODUCT(B18:$B$39)</f>
        <v>0.96892655367231639</v>
      </c>
    </row>
    <row r="19" spans="1:3">
      <c r="A19" s="2">
        <f t="shared" si="0"/>
        <v>44497</v>
      </c>
      <c r="B19">
        <v>1.0066730219256435</v>
      </c>
      <c r="C19">
        <f>1/PRODUCT(B19:$B$39)</f>
        <v>0.97443181818181879</v>
      </c>
    </row>
    <row r="20" spans="1:3">
      <c r="A20" s="2">
        <f t="shared" si="0"/>
        <v>44467</v>
      </c>
      <c r="B20">
        <v>0.99809705042816377</v>
      </c>
      <c r="C20">
        <f>1/PRODUCT(B20:$B$39)</f>
        <v>0.98093422306959033</v>
      </c>
    </row>
    <row r="21" spans="1:3">
      <c r="A21" s="2">
        <f t="shared" si="0"/>
        <v>44436</v>
      </c>
      <c r="B21">
        <v>1.0038204393505252</v>
      </c>
      <c r="C21">
        <f>1/PRODUCT(B21:$B$39)</f>
        <v>0.97906755470980034</v>
      </c>
    </row>
    <row r="22" spans="1:3">
      <c r="A22" s="2">
        <f t="shared" si="0"/>
        <v>44405</v>
      </c>
      <c r="B22">
        <v>1.0047984644913628</v>
      </c>
      <c r="C22">
        <f>1/PRODUCT(B22:$B$39)</f>
        <v>0.98280802292263636</v>
      </c>
    </row>
    <row r="23" spans="1:3">
      <c r="A23" s="2">
        <f t="shared" si="0"/>
        <v>44375</v>
      </c>
      <c r="B23">
        <v>1.000960614793468</v>
      </c>
      <c r="C23">
        <f>1/PRODUCT(B23:$B$39)</f>
        <v>0.98752399232245636</v>
      </c>
    </row>
    <row r="24" spans="1:3">
      <c r="A24" s="2">
        <f t="shared" si="0"/>
        <v>44344</v>
      </c>
      <c r="B24">
        <v>1</v>
      </c>
      <c r="C24">
        <f>1/PRODUCT(B24:$B$39)</f>
        <v>0.98847262247838641</v>
      </c>
    </row>
    <row r="25" spans="1:3">
      <c r="A25" s="2">
        <f t="shared" si="0"/>
        <v>44314</v>
      </c>
      <c r="B25">
        <v>1.0038572806171648</v>
      </c>
      <c r="C25">
        <f>1/PRODUCT(B25:$B$39)</f>
        <v>0.98847262247838641</v>
      </c>
    </row>
    <row r="26" spans="1:3">
      <c r="A26" s="2">
        <f t="shared" si="0"/>
        <v>44283</v>
      </c>
      <c r="B26">
        <v>1.0029013539651837</v>
      </c>
      <c r="C26">
        <f>1/PRODUCT(B26:$B$39)</f>
        <v>0.99228543876567044</v>
      </c>
    </row>
    <row r="27" spans="1:3">
      <c r="A27" s="2">
        <f t="shared" si="0"/>
        <v>44255</v>
      </c>
      <c r="B27">
        <v>1.000968054211036</v>
      </c>
      <c r="C27">
        <f>1/PRODUCT(B27:$B$39)</f>
        <v>0.99516441005802714</v>
      </c>
    </row>
    <row r="28" spans="1:3">
      <c r="A28" s="2">
        <f t="shared" si="0"/>
        <v>44224</v>
      </c>
      <c r="B28">
        <v>1.00682261208577</v>
      </c>
      <c r="C28">
        <f>1/PRODUCT(B28:$B$39)</f>
        <v>0.99612778315585704</v>
      </c>
    </row>
    <row r="29" spans="1:3">
      <c r="A29" s="2">
        <f t="shared" si="0"/>
        <v>44193</v>
      </c>
      <c r="B29">
        <v>1.0019531249999998</v>
      </c>
      <c r="C29">
        <f>1/PRODUCT(B29:$B$39)</f>
        <v>1.0029239766081874</v>
      </c>
    </row>
    <row r="30" spans="1:3">
      <c r="A30" s="2">
        <f t="shared" si="0"/>
        <v>44163</v>
      </c>
      <c r="B30">
        <v>0.99902439024390255</v>
      </c>
      <c r="C30">
        <f>1/PRODUCT(B30:$B$39)</f>
        <v>1.0048828125000002</v>
      </c>
    </row>
    <row r="31" spans="1:3">
      <c r="A31" s="2">
        <f t="shared" si="0"/>
        <v>44132</v>
      </c>
      <c r="B31">
        <v>1.0019550342130987</v>
      </c>
      <c r="C31">
        <f>1/PRODUCT(B31:$B$39)</f>
        <v>1.0039024390243905</v>
      </c>
    </row>
    <row r="32" spans="1:3">
      <c r="A32" s="2">
        <f t="shared" si="0"/>
        <v>44102</v>
      </c>
      <c r="B32">
        <v>0.99320388349514566</v>
      </c>
      <c r="C32">
        <f>1/PRODUCT(B32:$B$39)</f>
        <v>1.0058651026392962</v>
      </c>
    </row>
    <row r="33" spans="1:3">
      <c r="A33" s="2">
        <f t="shared" si="0"/>
        <v>44071</v>
      </c>
      <c r="B33">
        <v>1.0029211295034079</v>
      </c>
      <c r="C33">
        <f>1/PRODUCT(B33:$B$39)</f>
        <v>0.99902912621359241</v>
      </c>
    </row>
    <row r="34" spans="1:3">
      <c r="A34" s="2">
        <f t="shared" si="0"/>
        <v>44040</v>
      </c>
      <c r="B34">
        <v>0.99805636540330411</v>
      </c>
      <c r="C34">
        <f>1/PRODUCT(B34:$B$39)</f>
        <v>1.0019474196689389</v>
      </c>
    </row>
    <row r="35" spans="1:3">
      <c r="A35" s="2">
        <f t="shared" si="0"/>
        <v>44010</v>
      </c>
      <c r="B35">
        <v>1.0009727626459144</v>
      </c>
      <c r="C35">
        <f>1/PRODUCT(B35:$B$39)</f>
        <v>1</v>
      </c>
    </row>
    <row r="36" spans="1:3">
      <c r="A36" s="2">
        <f t="shared" si="0"/>
        <v>43979</v>
      </c>
      <c r="B36">
        <v>0.99805825242718449</v>
      </c>
      <c r="C36">
        <f>1/PRODUCT(B36:$B$39)</f>
        <v>1.0009727626459144</v>
      </c>
    </row>
    <row r="37" spans="1:3">
      <c r="A37" s="2">
        <f t="shared" si="0"/>
        <v>43949</v>
      </c>
      <c r="B37">
        <v>1.0009718172983479</v>
      </c>
      <c r="C37">
        <f>1/PRODUCT(B37:$B$39)</f>
        <v>0.99902912621359219</v>
      </c>
    </row>
    <row r="38" spans="1:3">
      <c r="A38" s="2">
        <f t="shared" si="0"/>
        <v>43918</v>
      </c>
      <c r="B38">
        <v>1.0009727626459144</v>
      </c>
      <c r="C38">
        <f>1/PRODUCT(B38:$B$39)</f>
        <v>1</v>
      </c>
    </row>
    <row r="39" spans="1:3">
      <c r="A39" s="2">
        <f t="shared" si="0"/>
        <v>43889</v>
      </c>
      <c r="B39">
        <v>0.99902818270165206</v>
      </c>
      <c r="C39">
        <f>1/PRODUCT(B39:$B$39)</f>
        <v>1.0009727626459144</v>
      </c>
    </row>
    <row r="40" spans="1:3">
      <c r="A40" s="14">
        <f t="shared" si="0"/>
        <v>43858</v>
      </c>
      <c r="B40" s="15">
        <v>1.0009727626459144</v>
      </c>
      <c r="C40" s="15">
        <v>1</v>
      </c>
    </row>
    <row r="41" spans="1:3">
      <c r="A41" s="2">
        <f t="shared" si="0"/>
        <v>43827</v>
      </c>
      <c r="B41">
        <v>1.0019493177387915</v>
      </c>
      <c r="C41">
        <f>PRODUCT(B$41:$B41)</f>
        <v>1.0019493177387915</v>
      </c>
    </row>
    <row r="42" spans="1:3">
      <c r="A42" s="2">
        <f t="shared" si="0"/>
        <v>43797</v>
      </c>
      <c r="B42">
        <v>0.99805447470817121</v>
      </c>
      <c r="C42">
        <f>PRODUCT(B$41:$B42)</f>
        <v>1</v>
      </c>
    </row>
    <row r="43" spans="1:3">
      <c r="A43" s="2">
        <f t="shared" si="0"/>
        <v>43766</v>
      </c>
      <c r="B43">
        <v>0.99902818270165206</v>
      </c>
      <c r="C43">
        <f>PRODUCT(B$41:$B43)</f>
        <v>0.99902818270165206</v>
      </c>
    </row>
    <row r="44" spans="1:3">
      <c r="A44" s="2">
        <f t="shared" si="0"/>
        <v>43736</v>
      </c>
      <c r="B44">
        <v>0.99420289855072475</v>
      </c>
      <c r="C44">
        <f>PRODUCT(B$41:$B44)</f>
        <v>0.99323671497584554</v>
      </c>
    </row>
    <row r="45" spans="1:3">
      <c r="A45" s="2">
        <f t="shared" si="0"/>
        <v>43705</v>
      </c>
      <c r="B45">
        <v>1.0038797284190106</v>
      </c>
      <c r="C45">
        <f>PRODUCT(B$41:$B45)</f>
        <v>0.99709020368574208</v>
      </c>
    </row>
    <row r="46" spans="1:3">
      <c r="A46" s="2">
        <f t="shared" si="0"/>
        <v>43674</v>
      </c>
      <c r="B46">
        <v>1</v>
      </c>
      <c r="C46">
        <f>PRODUCT(B$41:$B46)</f>
        <v>0.99709020368574208</v>
      </c>
    </row>
    <row r="47" spans="1:3">
      <c r="A47" s="2">
        <f t="shared" si="0"/>
        <v>43644</v>
      </c>
      <c r="B47">
        <v>1.0009708737864078</v>
      </c>
      <c r="C47">
        <f>PRODUCT(B$41:$B47)</f>
        <v>0.9980582524271846</v>
      </c>
    </row>
    <row r="48" spans="1:3">
      <c r="A48" s="2">
        <f t="shared" si="0"/>
        <v>43613</v>
      </c>
      <c r="B48">
        <v>1</v>
      </c>
      <c r="C48">
        <f>PRODUCT(B$41:$B48)</f>
        <v>0.9980582524271846</v>
      </c>
    </row>
    <row r="49" spans="1:3">
      <c r="A49" s="2">
        <f t="shared" si="0"/>
        <v>43583</v>
      </c>
      <c r="B49">
        <v>1.0019455252918288</v>
      </c>
      <c r="C49">
        <f>PRODUCT(B$41:$B49)</f>
        <v>1.0000000000000002</v>
      </c>
    </row>
    <row r="50" spans="1:3">
      <c r="A50" s="2">
        <f t="shared" si="0"/>
        <v>43552</v>
      </c>
      <c r="B50">
        <v>1.0029268292682927</v>
      </c>
      <c r="C50">
        <f>PRODUCT(B$41:$B50)</f>
        <v>1.0029268292682929</v>
      </c>
    </row>
    <row r="51" spans="1:3">
      <c r="A51" s="2">
        <f t="shared" si="0"/>
        <v>43524</v>
      </c>
      <c r="B51">
        <v>1.0009765625</v>
      </c>
      <c r="C51">
        <f>PRODUCT(B$41:$B51)</f>
        <v>1.0039062500000002</v>
      </c>
    </row>
    <row r="52" spans="1:3">
      <c r="A52" s="2">
        <f t="shared" si="0"/>
        <v>43493</v>
      </c>
      <c r="B52">
        <v>1.0009775171065494</v>
      </c>
      <c r="C52">
        <f>PRODUCT(B$41:$B52)</f>
        <v>1.004887585532747</v>
      </c>
    </row>
    <row r="53" spans="1:3">
      <c r="A53" s="2">
        <f t="shared" si="0"/>
        <v>43462</v>
      </c>
      <c r="B53">
        <v>0.99902343749999989</v>
      </c>
      <c r="C53">
        <f>PRODUCT(B$41:$B53)</f>
        <v>1.00390625</v>
      </c>
    </row>
    <row r="54" spans="1:3">
      <c r="A54" s="2">
        <f t="shared" si="0"/>
        <v>43432</v>
      </c>
      <c r="B54">
        <v>0.99805068226120863</v>
      </c>
      <c r="C54">
        <f>PRODUCT(B$41:$B54)</f>
        <v>1.0019493177387915</v>
      </c>
    </row>
    <row r="55" spans="1:3">
      <c r="A55" s="2">
        <f t="shared" si="0"/>
        <v>43401</v>
      </c>
      <c r="B55">
        <v>1</v>
      </c>
      <c r="C55">
        <f>PRODUCT(B$41:$B55)</f>
        <v>1.0019493177387915</v>
      </c>
    </row>
    <row r="56" spans="1:3">
      <c r="A56" s="2">
        <f t="shared" si="0"/>
        <v>43371</v>
      </c>
      <c r="B56">
        <v>0.99515033947623666</v>
      </c>
      <c r="C56">
        <f>PRODUCT(B$41:$B56)</f>
        <v>0.99709020368574208</v>
      </c>
    </row>
    <row r="57" spans="1:3">
      <c r="A57" s="2">
        <f t="shared" si="0"/>
        <v>43340</v>
      </c>
      <c r="B57">
        <v>1.0038948393378773</v>
      </c>
      <c r="C57">
        <f>PRODUCT(B$41:$B57)</f>
        <v>1.0009737098344693</v>
      </c>
    </row>
    <row r="58" spans="1:3">
      <c r="A58" s="2">
        <f t="shared" si="0"/>
        <v>43309</v>
      </c>
      <c r="B58">
        <v>1.0029296875</v>
      </c>
      <c r="C58">
        <f>PRODUCT(B$41:$B58)</f>
        <v>1.00390625</v>
      </c>
    </row>
    <row r="59" spans="1:3">
      <c r="A59" s="2">
        <f t="shared" si="0"/>
        <v>43279</v>
      </c>
      <c r="B59">
        <v>1.0019569471624266</v>
      </c>
      <c r="C59">
        <f>PRODUCT(B$41:$B59)</f>
        <v>1.0058708414872797</v>
      </c>
    </row>
    <row r="60" spans="1:3">
      <c r="A60" s="2">
        <f t="shared" si="0"/>
        <v>43248</v>
      </c>
      <c r="B60">
        <v>1.0029440628066733</v>
      </c>
      <c r="C60">
        <f>PRODUCT(B$41:$B60)</f>
        <v>1.0088321884200195</v>
      </c>
    </row>
    <row r="61" spans="1:3">
      <c r="A61" s="2">
        <f t="shared" si="0"/>
        <v>43218</v>
      </c>
      <c r="B61">
        <v>1.0009823182711199</v>
      </c>
      <c r="C61">
        <f>PRODUCT(B$41:$B61)</f>
        <v>1.0098231827111985</v>
      </c>
    </row>
    <row r="62" spans="1:3">
      <c r="A62" s="2">
        <f t="shared" si="0"/>
        <v>43187</v>
      </c>
      <c r="B62">
        <v>1.0029556650246305</v>
      </c>
      <c r="C62">
        <f>PRODUCT(B$41:$B62)</f>
        <v>1.0128078817733992</v>
      </c>
    </row>
    <row r="63" spans="1:3">
      <c r="A63" s="2">
        <f t="shared" si="0"/>
        <v>43159</v>
      </c>
      <c r="B63">
        <v>1</v>
      </c>
      <c r="C63">
        <f>PRODUCT(B$41:$B63)</f>
        <v>1.0128078817733992</v>
      </c>
    </row>
    <row r="64" spans="1:3">
      <c r="A64" s="2">
        <f t="shared" si="0"/>
        <v>43128</v>
      </c>
      <c r="B64">
        <v>1.0029644268774702</v>
      </c>
      <c r="C64">
        <f>PRODUCT(B$41:$B64)</f>
        <v>1.015810276679842</v>
      </c>
    </row>
    <row r="65" spans="1:3">
      <c r="A65" s="2">
        <f t="shared" si="0"/>
        <v>43097</v>
      </c>
      <c r="B65">
        <v>1.003968253968254</v>
      </c>
      <c r="C65">
        <f>PRODUCT(B$41:$B65)</f>
        <v>1.01984126984127</v>
      </c>
    </row>
    <row r="66" spans="1:3">
      <c r="A66" s="2">
        <f t="shared" si="0"/>
        <v>43067</v>
      </c>
      <c r="B66">
        <v>0.99801980198019802</v>
      </c>
      <c r="C66">
        <f>PRODUCT(B$41:$B66)</f>
        <v>1.0178217821782181</v>
      </c>
    </row>
    <row r="67" spans="1:3">
      <c r="A67" s="2">
        <f t="shared" si="0"/>
        <v>43036</v>
      </c>
      <c r="B67">
        <v>0.99802371541501977</v>
      </c>
      <c r="C67">
        <f>PRODUCT(B$41:$B67)</f>
        <v>1.0158102766798423</v>
      </c>
    </row>
    <row r="68" spans="1:3">
      <c r="A68" s="2">
        <f t="shared" ref="A68:A131" si="1">EDATE(A67,-1)</f>
        <v>43006</v>
      </c>
      <c r="B68">
        <v>0.99704433497536948</v>
      </c>
      <c r="C68">
        <f>PRODUCT(B$41:$B68)</f>
        <v>1.0128078817733994</v>
      </c>
    </row>
    <row r="69" spans="1:3">
      <c r="A69" s="2">
        <f t="shared" si="1"/>
        <v>42975</v>
      </c>
      <c r="B69">
        <v>1.0029644268774702</v>
      </c>
      <c r="C69">
        <f>PRODUCT(B$41:$B69)</f>
        <v>1.0158102766798423</v>
      </c>
    </row>
    <row r="70" spans="1:3">
      <c r="A70" s="2">
        <f t="shared" si="1"/>
        <v>42944</v>
      </c>
      <c r="B70">
        <v>1.0009891196834817</v>
      </c>
      <c r="C70">
        <f>PRODUCT(B$41:$B70)</f>
        <v>1.0168150346191893</v>
      </c>
    </row>
    <row r="71" spans="1:3">
      <c r="A71" s="2">
        <f t="shared" si="1"/>
        <v>42914</v>
      </c>
      <c r="B71">
        <v>0.99901185770750978</v>
      </c>
      <c r="C71">
        <f>PRODUCT(B$41:$B71)</f>
        <v>1.0158102766798423</v>
      </c>
    </row>
    <row r="72" spans="1:3">
      <c r="A72" s="2">
        <f t="shared" si="1"/>
        <v>42883</v>
      </c>
      <c r="B72">
        <v>0.99802761341222879</v>
      </c>
      <c r="C72">
        <f>PRODUCT(B$41:$B72)</f>
        <v>1.0138067061143987</v>
      </c>
    </row>
    <row r="73" spans="1:3">
      <c r="A73" s="2">
        <f t="shared" si="1"/>
        <v>42853</v>
      </c>
      <c r="B73">
        <v>1.003960396039604</v>
      </c>
      <c r="C73">
        <f>PRODUCT(B$41:$B73)</f>
        <v>1.0178217821782181</v>
      </c>
    </row>
    <row r="74" spans="1:3">
      <c r="A74" s="2">
        <f t="shared" si="1"/>
        <v>42822</v>
      </c>
      <c r="B74">
        <v>1</v>
      </c>
      <c r="C74">
        <f>PRODUCT(B$41:$B74)</f>
        <v>1.0178217821782181</v>
      </c>
    </row>
    <row r="75" spans="1:3">
      <c r="A75" s="2">
        <f t="shared" si="1"/>
        <v>42794</v>
      </c>
      <c r="B75">
        <v>1.0039761431411531</v>
      </c>
      <c r="C75">
        <f>PRODUCT(B$41:$B75)</f>
        <v>1.0218687872763423</v>
      </c>
    </row>
    <row r="76" spans="1:3">
      <c r="A76" s="2">
        <f t="shared" si="1"/>
        <v>42763</v>
      </c>
      <c r="B76">
        <v>1.0029910269192421</v>
      </c>
      <c r="C76">
        <f>PRODUCT(B$41:$B76)</f>
        <v>1.0249252243270193</v>
      </c>
    </row>
    <row r="77" spans="1:3">
      <c r="A77" s="2">
        <f t="shared" si="1"/>
        <v>42732</v>
      </c>
      <c r="B77">
        <v>1.0040040040040039</v>
      </c>
      <c r="C77">
        <f>PRODUCT(B$41:$B77)</f>
        <v>1.0290290290290294</v>
      </c>
    </row>
    <row r="78" spans="1:3">
      <c r="A78" s="2">
        <f t="shared" si="1"/>
        <v>42702</v>
      </c>
      <c r="B78">
        <v>0.99900000000000011</v>
      </c>
      <c r="C78">
        <f>PRODUCT(B$41:$B78)</f>
        <v>1.0280000000000005</v>
      </c>
    </row>
    <row r="79" spans="1:3">
      <c r="A79" s="2">
        <f t="shared" si="1"/>
        <v>42671</v>
      </c>
      <c r="B79">
        <v>0.99900099900099903</v>
      </c>
      <c r="C79">
        <f>PRODUCT(B$41:$B79)</f>
        <v>1.0269730269730275</v>
      </c>
    </row>
    <row r="80" spans="1:3">
      <c r="A80" s="2">
        <f t="shared" si="1"/>
        <v>42641</v>
      </c>
      <c r="B80">
        <v>0.9980059820538385</v>
      </c>
      <c r="C80">
        <f>PRODUCT(B$41:$B80)</f>
        <v>1.0249252243270195</v>
      </c>
    </row>
    <row r="81" spans="1:3">
      <c r="A81" s="2">
        <f t="shared" si="1"/>
        <v>42610</v>
      </c>
      <c r="B81">
        <v>1.0019980019980019</v>
      </c>
      <c r="C81">
        <f>PRODUCT(B$41:$B81)</f>
        <v>1.0269730269730275</v>
      </c>
    </row>
    <row r="82" spans="1:3">
      <c r="A82" s="2">
        <f t="shared" si="1"/>
        <v>42579</v>
      </c>
      <c r="B82">
        <v>1.002002002002002</v>
      </c>
      <c r="C82">
        <f>PRODUCT(B$41:$B82)</f>
        <v>1.0290290290290296</v>
      </c>
    </row>
    <row r="83" spans="1:3">
      <c r="A83" s="2">
        <f t="shared" si="1"/>
        <v>42549</v>
      </c>
      <c r="B83">
        <v>1.0010020040080161</v>
      </c>
      <c r="C83">
        <f>PRODUCT(B$41:$B83)</f>
        <v>1.0300601202404815</v>
      </c>
    </row>
    <row r="84" spans="1:3">
      <c r="A84" s="2">
        <f t="shared" si="1"/>
        <v>42518</v>
      </c>
      <c r="B84">
        <v>1.0030150753768845</v>
      </c>
      <c r="C84">
        <f>PRODUCT(B$41:$B84)</f>
        <v>1.0331658291457293</v>
      </c>
    </row>
    <row r="85" spans="1:3">
      <c r="A85" s="2">
        <f t="shared" si="1"/>
        <v>42488</v>
      </c>
      <c r="B85">
        <v>0.99899598393574307</v>
      </c>
      <c r="C85">
        <f>PRODUCT(B$41:$B85)</f>
        <v>1.0321285140562257</v>
      </c>
    </row>
    <row r="86" spans="1:3">
      <c r="A86" s="2">
        <f t="shared" si="1"/>
        <v>42457</v>
      </c>
      <c r="B86">
        <v>1.0020120724346075</v>
      </c>
      <c r="C86">
        <f>PRODUCT(B$41:$B86)</f>
        <v>1.0342052313883308</v>
      </c>
    </row>
    <row r="87" spans="1:3">
      <c r="A87" s="2">
        <f t="shared" si="1"/>
        <v>42428</v>
      </c>
      <c r="B87">
        <v>0.99799196787148603</v>
      </c>
      <c r="C87">
        <f>PRODUCT(B$41:$B87)</f>
        <v>1.0321285140562257</v>
      </c>
    </row>
    <row r="88" spans="1:3">
      <c r="A88" s="2">
        <f t="shared" si="1"/>
        <v>42397</v>
      </c>
      <c r="B88">
        <v>0.9978564771668218</v>
      </c>
      <c r="C88">
        <f>PRODUCT(B$41:$B88)</f>
        <v>1.0299161230195719</v>
      </c>
    </row>
    <row r="89" spans="1:3">
      <c r="A89" s="2">
        <f t="shared" si="1"/>
        <v>42366</v>
      </c>
      <c r="B89">
        <v>1</v>
      </c>
      <c r="C89">
        <f>PRODUCT(B$41:$B89)</f>
        <v>1.0299161230195719</v>
      </c>
    </row>
    <row r="90" spans="1:3">
      <c r="A90" s="2">
        <f t="shared" si="1"/>
        <v>42336</v>
      </c>
      <c r="B90">
        <v>0.99628597957288678</v>
      </c>
      <c r="C90">
        <f>PRODUCT(B$41:$B90)</f>
        <v>1.0260909935004641</v>
      </c>
    </row>
    <row r="91" spans="1:3">
      <c r="A91" s="2">
        <f t="shared" si="1"/>
        <v>42305</v>
      </c>
      <c r="B91">
        <v>1.0018604651162801</v>
      </c>
      <c r="C91">
        <f>PRODUCT(B$41:$B91)</f>
        <v>1.0280000000000009</v>
      </c>
    </row>
    <row r="92" spans="1:3">
      <c r="A92" s="2">
        <f t="shared" si="1"/>
        <v>42275</v>
      </c>
      <c r="B92">
        <v>0.9962928637627414</v>
      </c>
      <c r="C92">
        <f>PRODUCT(B$41:$B92)</f>
        <v>1.0241890639480991</v>
      </c>
    </row>
    <row r="93" spans="1:3">
      <c r="A93" s="2">
        <f t="shared" si="1"/>
        <v>42244</v>
      </c>
      <c r="B93">
        <v>1.0018570102135571</v>
      </c>
      <c r="C93">
        <f>PRODUCT(B$41:$B93)</f>
        <v>1.0260909935004641</v>
      </c>
    </row>
    <row r="94" spans="1:3">
      <c r="A94" s="2">
        <f t="shared" si="1"/>
        <v>42213</v>
      </c>
      <c r="B94">
        <v>0.99907235621521295</v>
      </c>
      <c r="C94">
        <f>PRODUCT(B$41:$B94)</f>
        <v>1.0251391465677173</v>
      </c>
    </row>
    <row r="95" spans="1:3">
      <c r="A95" s="2">
        <f t="shared" si="1"/>
        <v>42183</v>
      </c>
      <c r="B95">
        <v>1.0018587360594804</v>
      </c>
      <c r="C95">
        <f>PRODUCT(B$41:$B95)</f>
        <v>1.0270446096654278</v>
      </c>
    </row>
    <row r="96" spans="1:3">
      <c r="A96" s="2">
        <f t="shared" si="1"/>
        <v>42152</v>
      </c>
      <c r="B96">
        <v>1.00093023255814</v>
      </c>
      <c r="C96">
        <f>PRODUCT(B$41:$B96)</f>
        <v>1.0280000000000007</v>
      </c>
    </row>
    <row r="97" spans="1:3">
      <c r="A97" s="2">
        <f t="shared" si="1"/>
        <v>42122</v>
      </c>
      <c r="B97">
        <v>1.0018639328984156</v>
      </c>
      <c r="C97">
        <f>PRODUCT(B$41:$B97)</f>
        <v>1.0299161230195719</v>
      </c>
    </row>
    <row r="98" spans="1:3">
      <c r="A98" s="2">
        <f t="shared" si="1"/>
        <v>42091</v>
      </c>
      <c r="B98">
        <v>1.0009328358208951</v>
      </c>
      <c r="C98">
        <f>PRODUCT(B$41:$B98)</f>
        <v>1.0308768656716421</v>
      </c>
    </row>
    <row r="99" spans="1:3">
      <c r="A99" s="2">
        <f t="shared" si="1"/>
        <v>42063</v>
      </c>
      <c r="B99">
        <v>1.0037453183520597</v>
      </c>
      <c r="C99">
        <f>PRODUCT(B$41:$B99)</f>
        <v>1.0347378277153558</v>
      </c>
    </row>
    <row r="100" spans="1:3">
      <c r="A100" s="2">
        <f t="shared" si="1"/>
        <v>42032</v>
      </c>
      <c r="B100">
        <v>0.99626865671641807</v>
      </c>
      <c r="C100">
        <f>PRODUCT(B$41:$B100)</f>
        <v>1.0308768656716421</v>
      </c>
    </row>
    <row r="101" spans="1:3">
      <c r="A101" s="2">
        <f t="shared" si="1"/>
        <v>42001</v>
      </c>
      <c r="B101">
        <v>1</v>
      </c>
      <c r="C101">
        <f>PRODUCT(B$41:$B101)</f>
        <v>1.0308768656716421</v>
      </c>
    </row>
    <row r="102" spans="1:3">
      <c r="A102" s="2">
        <f t="shared" si="1"/>
        <v>41971</v>
      </c>
      <c r="B102">
        <v>0.99813780260707752</v>
      </c>
      <c r="C102">
        <f>PRODUCT(B$41:$B102)</f>
        <v>1.0289571694599642</v>
      </c>
    </row>
    <row r="103" spans="1:3">
      <c r="A103" s="2">
        <f t="shared" si="1"/>
        <v>41940</v>
      </c>
      <c r="B103">
        <v>1.0009319664492071</v>
      </c>
      <c r="C103">
        <f>PRODUCT(B$41:$B103)</f>
        <v>1.0299161230195719</v>
      </c>
    </row>
    <row r="104" spans="1:3">
      <c r="A104" s="2">
        <f t="shared" si="1"/>
        <v>41910</v>
      </c>
      <c r="B104">
        <v>0.99628597957288678</v>
      </c>
      <c r="C104">
        <f>PRODUCT(B$41:$B104)</f>
        <v>1.0260909935004641</v>
      </c>
    </row>
    <row r="105" spans="1:3">
      <c r="A105" s="2">
        <f t="shared" si="1"/>
        <v>41879</v>
      </c>
      <c r="B105">
        <v>1.0018604651162801</v>
      </c>
      <c r="C105">
        <f>PRODUCT(B$41:$B105)</f>
        <v>1.0280000000000009</v>
      </c>
    </row>
    <row r="106" spans="1:3">
      <c r="A106" s="2">
        <f t="shared" si="1"/>
        <v>41848</v>
      </c>
      <c r="B106">
        <v>0.99907063197025969</v>
      </c>
      <c r="C106">
        <f>PRODUCT(B$41:$B106)</f>
        <v>1.0270446096654278</v>
      </c>
    </row>
    <row r="107" spans="1:3">
      <c r="A107" s="2">
        <f t="shared" si="1"/>
        <v>41818</v>
      </c>
      <c r="B107">
        <v>1.00093023255814</v>
      </c>
      <c r="C107">
        <f>PRODUCT(B$41:$B107)</f>
        <v>1.0280000000000007</v>
      </c>
    </row>
    <row r="108" spans="1:3">
      <c r="A108" s="2">
        <f t="shared" si="1"/>
        <v>41787</v>
      </c>
      <c r="B108">
        <v>0.99907063197025969</v>
      </c>
      <c r="C108">
        <f>PRODUCT(B$41:$B108)</f>
        <v>1.0270446096654275</v>
      </c>
    </row>
    <row r="109" spans="1:3">
      <c r="A109" s="2">
        <f t="shared" si="1"/>
        <v>41757</v>
      </c>
      <c r="B109">
        <v>1.0018621973929247</v>
      </c>
      <c r="C109">
        <f>PRODUCT(B$41:$B109)</f>
        <v>1.028957169459964</v>
      </c>
    </row>
    <row r="110" spans="1:3">
      <c r="A110" s="2">
        <f t="shared" si="1"/>
        <v>41726</v>
      </c>
      <c r="B110">
        <v>1.0009319664492071</v>
      </c>
      <c r="C110">
        <f>PRODUCT(B$41:$B110)</f>
        <v>1.0299161230195717</v>
      </c>
    </row>
    <row r="111" spans="1:3">
      <c r="A111" s="2">
        <f t="shared" si="1"/>
        <v>41698</v>
      </c>
      <c r="B111">
        <v>0.99906890130353876</v>
      </c>
      <c r="C111">
        <f>PRODUCT(B$41:$B111)</f>
        <v>1.0289571694599637</v>
      </c>
    </row>
    <row r="112" spans="1:3">
      <c r="A112" s="2">
        <f t="shared" si="1"/>
        <v>41667</v>
      </c>
      <c r="B112">
        <v>1.00186567164179</v>
      </c>
      <c r="C112">
        <f>PRODUCT(B$41:$B112)</f>
        <v>1.0308768656716416</v>
      </c>
    </row>
    <row r="113" spans="1:3">
      <c r="A113" s="2">
        <f t="shared" si="1"/>
        <v>41636</v>
      </c>
      <c r="B113">
        <v>1.0018691588785056</v>
      </c>
      <c r="C113">
        <f>PRODUCT(B$41:$B113)</f>
        <v>1.0328037383177577</v>
      </c>
    </row>
    <row r="114" spans="1:3">
      <c r="A114" s="2">
        <f t="shared" si="1"/>
        <v>41606</v>
      </c>
      <c r="B114">
        <v>0.99720410065237597</v>
      </c>
      <c r="C114">
        <f>PRODUCT(B$41:$B114)</f>
        <v>1.0299161230195715</v>
      </c>
    </row>
    <row r="115" spans="1:3">
      <c r="A115" s="2">
        <f t="shared" si="1"/>
        <v>41575</v>
      </c>
      <c r="B115">
        <v>0.99813953488372109</v>
      </c>
      <c r="C115">
        <f>PRODUCT(B$41:$B115)</f>
        <v>1.0280000000000002</v>
      </c>
    </row>
    <row r="116" spans="1:3">
      <c r="A116" s="2">
        <f t="shared" si="1"/>
        <v>41545</v>
      </c>
      <c r="B116">
        <v>0.99721706864563875</v>
      </c>
      <c r="C116">
        <f>PRODUCT(B$41:$B116)</f>
        <v>1.0251391465677169</v>
      </c>
    </row>
    <row r="117" spans="1:3">
      <c r="A117" s="2">
        <f t="shared" si="1"/>
        <v>41514</v>
      </c>
      <c r="B117">
        <v>1.0037243947858492</v>
      </c>
      <c r="C117">
        <f>PRODUCT(B$41:$B117)</f>
        <v>1.0289571694599635</v>
      </c>
    </row>
    <row r="118" spans="1:3">
      <c r="A118" s="2">
        <f t="shared" si="1"/>
        <v>41483</v>
      </c>
      <c r="B118">
        <v>1.0009319664492071</v>
      </c>
      <c r="C118">
        <f>PRODUCT(B$41:$B118)</f>
        <v>1.0299161230195713</v>
      </c>
    </row>
    <row r="119" spans="1:3">
      <c r="A119" s="2">
        <f t="shared" si="1"/>
        <v>41453</v>
      </c>
      <c r="B119">
        <v>1.0028037383177575</v>
      </c>
      <c r="C119">
        <f>PRODUCT(B$41:$B119)</f>
        <v>1.0328037383177575</v>
      </c>
    </row>
    <row r="120" spans="1:3">
      <c r="A120" s="2">
        <f t="shared" si="1"/>
        <v>41422</v>
      </c>
      <c r="B120">
        <v>1</v>
      </c>
      <c r="C120">
        <f>PRODUCT(B$41:$B120)</f>
        <v>1.0328037383177575</v>
      </c>
    </row>
    <row r="121" spans="1:3">
      <c r="A121" s="2">
        <f t="shared" si="1"/>
        <v>41392</v>
      </c>
      <c r="B121">
        <v>1</v>
      </c>
      <c r="C121">
        <f>PRODUCT(B$41:$B121)</f>
        <v>1.0328037383177575</v>
      </c>
    </row>
    <row r="122" spans="1:3">
      <c r="A122" s="2">
        <f t="shared" si="1"/>
        <v>41361</v>
      </c>
      <c r="B122">
        <v>1.0018726591760287</v>
      </c>
      <c r="C122">
        <f>PRODUCT(B$41:$B122)</f>
        <v>1.0347378277153552</v>
      </c>
    </row>
    <row r="123" spans="1:3">
      <c r="A123" s="2">
        <f t="shared" si="1"/>
        <v>41333</v>
      </c>
      <c r="B123">
        <v>1.0009372071227747</v>
      </c>
      <c r="C123">
        <f>PRODUCT(B$41:$B123)</f>
        <v>1.0357075913776943</v>
      </c>
    </row>
    <row r="124" spans="1:3">
      <c r="A124" s="2">
        <f t="shared" si="1"/>
        <v>41302</v>
      </c>
      <c r="B124">
        <v>1.0018779342723003</v>
      </c>
      <c r="C124">
        <f>PRODUCT(B$41:$B124)</f>
        <v>1.0376525821596241</v>
      </c>
    </row>
    <row r="125" spans="1:3">
      <c r="A125" s="2">
        <f t="shared" si="1"/>
        <v>41271</v>
      </c>
      <c r="B125">
        <v>1.0018814675446848</v>
      </c>
      <c r="C125">
        <f>PRODUCT(B$41:$B125)</f>
        <v>1.0396048918156158</v>
      </c>
    </row>
    <row r="126" spans="1:3">
      <c r="A126" s="2">
        <f t="shared" si="1"/>
        <v>41241</v>
      </c>
      <c r="B126">
        <v>0.99812206572769957</v>
      </c>
      <c r="C126">
        <f>PRODUCT(B$41:$B126)</f>
        <v>1.0376525821596241</v>
      </c>
    </row>
    <row r="127" spans="1:3">
      <c r="A127" s="2">
        <f t="shared" si="1"/>
        <v>41210</v>
      </c>
      <c r="B127">
        <v>1</v>
      </c>
      <c r="C127">
        <f>PRODUCT(B$41:$B127)</f>
        <v>1.0376525821596241</v>
      </c>
    </row>
    <row r="128" spans="1:3">
      <c r="A128" s="2">
        <f t="shared" si="1"/>
        <v>41180</v>
      </c>
      <c r="B128">
        <v>1</v>
      </c>
      <c r="C128">
        <f>PRODUCT(B$41:$B128)</f>
        <v>1.0376525821596241</v>
      </c>
    </row>
    <row r="129" spans="1:3">
      <c r="A129" s="2">
        <f t="shared" si="1"/>
        <v>41149</v>
      </c>
      <c r="B129">
        <v>1.0037700282752129</v>
      </c>
      <c r="C129">
        <f>PRODUCT(B$41:$B129)</f>
        <v>1.0415645617342135</v>
      </c>
    </row>
    <row r="130" spans="1:3">
      <c r="A130" s="2">
        <f t="shared" si="1"/>
        <v>41118</v>
      </c>
      <c r="B130">
        <v>1.0009433962264145</v>
      </c>
      <c r="C130">
        <f>PRODUCT(B$41:$B130)</f>
        <v>1.0425471698113207</v>
      </c>
    </row>
    <row r="131" spans="1:3">
      <c r="A131" s="2">
        <f t="shared" si="1"/>
        <v>41088</v>
      </c>
      <c r="B131">
        <v>1.001890359168242</v>
      </c>
      <c r="C131">
        <f>PRODUCT(B$41:$B131)</f>
        <v>1.0445179584120983</v>
      </c>
    </row>
    <row r="132" spans="1:3">
      <c r="A132" s="2">
        <f t="shared" ref="A132:A195" si="2">EDATE(A131,-1)</f>
        <v>41057</v>
      </c>
      <c r="B132">
        <v>1</v>
      </c>
      <c r="C132">
        <f>PRODUCT(B$41:$B132)</f>
        <v>1.0445179584120983</v>
      </c>
    </row>
    <row r="133" spans="1:3">
      <c r="A133" s="2">
        <f t="shared" si="2"/>
        <v>41027</v>
      </c>
      <c r="B133">
        <v>1.0047483380816717</v>
      </c>
      <c r="C133">
        <f>PRODUCT(B$41:$B133)</f>
        <v>1.0494776828110164</v>
      </c>
    </row>
    <row r="134" spans="1:3">
      <c r="A134" s="2">
        <f t="shared" si="2"/>
        <v>40996</v>
      </c>
      <c r="B134">
        <v>1.0047709923664117</v>
      </c>
      <c r="C134">
        <f>PRODUCT(B$41:$B134)</f>
        <v>1.0544847328244271</v>
      </c>
    </row>
    <row r="135" spans="1:3">
      <c r="A135" s="2">
        <f t="shared" si="2"/>
        <v>40967</v>
      </c>
      <c r="B135">
        <v>1.003831417624522</v>
      </c>
      <c r="C135">
        <f>PRODUCT(B$41:$B135)</f>
        <v>1.0585249042145599</v>
      </c>
    </row>
    <row r="136" spans="1:3">
      <c r="A136" s="2">
        <f t="shared" si="2"/>
        <v>40936</v>
      </c>
      <c r="B136">
        <v>1.0028818443804028</v>
      </c>
      <c r="C136">
        <f>PRODUCT(B$41:$B136)</f>
        <v>1.0615754082612872</v>
      </c>
    </row>
    <row r="137" spans="1:3">
      <c r="A137" s="2">
        <f t="shared" si="2"/>
        <v>40905</v>
      </c>
      <c r="B137">
        <v>1.0038572806171648</v>
      </c>
      <c r="C137">
        <f>PRODUCT(B$41:$B137)</f>
        <v>1.0656702025072322</v>
      </c>
    </row>
    <row r="138" spans="1:3">
      <c r="A138" s="2">
        <f t="shared" si="2"/>
        <v>40875</v>
      </c>
      <c r="B138">
        <v>0.99903660886319912</v>
      </c>
      <c r="C138">
        <f>PRODUCT(B$41:$B138)</f>
        <v>1.0646435452793839</v>
      </c>
    </row>
    <row r="139" spans="1:3">
      <c r="A139" s="2">
        <f t="shared" si="2"/>
        <v>40844</v>
      </c>
      <c r="B139">
        <v>1.0058139534883719</v>
      </c>
      <c r="C139">
        <f>PRODUCT(B$41:$B139)</f>
        <v>1.0708333333333335</v>
      </c>
    </row>
    <row r="140" spans="1:3">
      <c r="A140" s="2">
        <f t="shared" si="2"/>
        <v>40814</v>
      </c>
      <c r="B140">
        <v>1</v>
      </c>
      <c r="C140">
        <f>PRODUCT(B$41:$B140)</f>
        <v>1.0708333333333335</v>
      </c>
    </row>
    <row r="141" spans="1:3">
      <c r="A141" s="2">
        <f t="shared" si="2"/>
        <v>40783</v>
      </c>
      <c r="B141">
        <v>1.0029154518950432</v>
      </c>
      <c r="C141">
        <f>PRODUCT(B$41:$B141)</f>
        <v>1.0739552964042756</v>
      </c>
    </row>
    <row r="142" spans="1:3">
      <c r="A142" s="2">
        <f t="shared" si="2"/>
        <v>40752</v>
      </c>
      <c r="B142">
        <v>1.0029239766081874</v>
      </c>
      <c r="C142">
        <f>PRODUCT(B$41:$B142)</f>
        <v>1.0770955165692007</v>
      </c>
    </row>
    <row r="143" spans="1:3">
      <c r="A143" s="2">
        <f t="shared" si="2"/>
        <v>40722</v>
      </c>
      <c r="B143">
        <v>1.000975609756098</v>
      </c>
      <c r="C143">
        <f>PRODUCT(B$41:$B143)</f>
        <v>1.0781463414634149</v>
      </c>
    </row>
    <row r="144" spans="1:3">
      <c r="A144" s="2">
        <f t="shared" si="2"/>
        <v>40691</v>
      </c>
      <c r="B144">
        <v>1.0009765624999996</v>
      </c>
      <c r="C144">
        <f>PRODUCT(B$41:$B144)</f>
        <v>1.0791992187499999</v>
      </c>
    </row>
    <row r="145" spans="1:3">
      <c r="A145" s="2">
        <f t="shared" si="2"/>
        <v>40661</v>
      </c>
      <c r="B145">
        <v>1.0049067713444557</v>
      </c>
      <c r="C145">
        <f>PRODUCT(B$41:$B145)</f>
        <v>1.0844946025515214</v>
      </c>
    </row>
    <row r="146" spans="1:3">
      <c r="A146" s="2">
        <f t="shared" si="2"/>
        <v>40630</v>
      </c>
      <c r="B146">
        <v>1.0039408866995072</v>
      </c>
      <c r="C146">
        <f>PRODUCT(B$41:$B146)</f>
        <v>1.088768472906404</v>
      </c>
    </row>
    <row r="147" spans="1:3">
      <c r="A147" s="2">
        <f t="shared" si="2"/>
        <v>40602</v>
      </c>
      <c r="B147">
        <v>1.0029644268774707</v>
      </c>
      <c r="C147">
        <f>PRODUCT(B$41:$B147)</f>
        <v>1.0919960474308303</v>
      </c>
    </row>
    <row r="148" spans="1:3">
      <c r="A148" s="2">
        <f t="shared" si="2"/>
        <v>40571</v>
      </c>
      <c r="B148">
        <v>1.0040993612491129</v>
      </c>
      <c r="C148">
        <f>PRODUCT(B$41:$B148)</f>
        <v>1.0964725337118528</v>
      </c>
    </row>
    <row r="149" spans="1:3">
      <c r="A149" s="2">
        <f t="shared" si="2"/>
        <v>40540</v>
      </c>
      <c r="B149">
        <v>1.003561253561253</v>
      </c>
      <c r="C149">
        <f>PRODUCT(B$41:$B149)</f>
        <v>1.1003773504273502</v>
      </c>
    </row>
    <row r="150" spans="1:3">
      <c r="A150" s="2">
        <f t="shared" si="2"/>
        <v>40510</v>
      </c>
      <c r="B150">
        <v>1</v>
      </c>
      <c r="C150">
        <f>PRODUCT(B$41:$B150)</f>
        <v>1.1003773504273502</v>
      </c>
    </row>
    <row r="151" spans="1:3">
      <c r="A151" s="2">
        <f t="shared" si="2"/>
        <v>40479</v>
      </c>
      <c r="B151">
        <v>1.0021413276231264</v>
      </c>
      <c r="C151">
        <f>PRODUCT(B$41:$B151)</f>
        <v>1.1027336188436829</v>
      </c>
    </row>
    <row r="152" spans="1:3">
      <c r="A152" s="2">
        <f t="shared" si="2"/>
        <v>40449</v>
      </c>
      <c r="B152">
        <v>0.99786324786324787</v>
      </c>
      <c r="C152">
        <f>PRODUCT(B$41:$B152)</f>
        <v>1.1003773504273502</v>
      </c>
    </row>
    <row r="153" spans="1:3">
      <c r="A153" s="2">
        <f t="shared" si="2"/>
        <v>40418</v>
      </c>
      <c r="B153">
        <v>1.0021413276231264</v>
      </c>
      <c r="C153">
        <f>PRODUCT(B$41:$B153)</f>
        <v>1.1027336188436829</v>
      </c>
    </row>
    <row r="154" spans="1:3">
      <c r="A154" s="2">
        <f t="shared" si="2"/>
        <v>40387</v>
      </c>
      <c r="B154">
        <v>1.0035816618911171</v>
      </c>
      <c r="C154">
        <f>PRODUCT(B$41:$B154)</f>
        <v>1.106683237822349</v>
      </c>
    </row>
    <row r="155" spans="1:3">
      <c r="A155" s="2">
        <f t="shared" si="2"/>
        <v>40357</v>
      </c>
      <c r="B155">
        <v>1</v>
      </c>
      <c r="C155">
        <f>PRODUCT(B$41:$B155)</f>
        <v>1.106683237822349</v>
      </c>
    </row>
    <row r="156" spans="1:3">
      <c r="A156" s="2">
        <f t="shared" si="2"/>
        <v>40326</v>
      </c>
      <c r="B156">
        <v>1.0007168458781366</v>
      </c>
      <c r="C156">
        <f>PRODUCT(B$41:$B156)</f>
        <v>1.1074765591397848</v>
      </c>
    </row>
    <row r="157" spans="1:3">
      <c r="A157" s="2">
        <f t="shared" si="2"/>
        <v>40296</v>
      </c>
      <c r="B157">
        <v>1.0035971223021578</v>
      </c>
      <c r="C157">
        <f>PRODUCT(B$41:$B157)</f>
        <v>1.1114602877697835</v>
      </c>
    </row>
    <row r="158" spans="1:3">
      <c r="A158" s="2">
        <f t="shared" si="2"/>
        <v>40265</v>
      </c>
      <c r="B158">
        <v>1.0028860028860034</v>
      </c>
      <c r="C158">
        <f>PRODUCT(B$41:$B158)</f>
        <v>1.1146679653679652</v>
      </c>
    </row>
    <row r="159" spans="1:3">
      <c r="A159" s="2">
        <f t="shared" si="2"/>
        <v>40237</v>
      </c>
      <c r="B159">
        <v>1.0007220216606503</v>
      </c>
      <c r="C159">
        <f>PRODUCT(B$41:$B159)</f>
        <v>1.1154727797833939</v>
      </c>
    </row>
    <row r="160" spans="1:3">
      <c r="A160" s="2">
        <f t="shared" si="2"/>
        <v>40206</v>
      </c>
      <c r="B160">
        <v>1.001446131597975</v>
      </c>
      <c r="C160">
        <f>PRODUCT(B$41:$B160)</f>
        <v>1.1170859002169198</v>
      </c>
    </row>
    <row r="161" spans="1:3">
      <c r="A161" s="2">
        <f t="shared" si="2"/>
        <v>40175</v>
      </c>
      <c r="B161">
        <v>1.0021739130434784</v>
      </c>
      <c r="C161">
        <f>PRODUCT(B$41:$B161)</f>
        <v>1.1195143478260872</v>
      </c>
    </row>
    <row r="162" spans="1:3">
      <c r="A162" s="2">
        <f t="shared" si="2"/>
        <v>40145</v>
      </c>
      <c r="B162">
        <v>1</v>
      </c>
      <c r="C162">
        <f>PRODUCT(B$41:$B162)</f>
        <v>1.1195143478260872</v>
      </c>
    </row>
    <row r="163" spans="1:3">
      <c r="A163" s="2">
        <f t="shared" si="2"/>
        <v>40114</v>
      </c>
      <c r="B163">
        <v>1.0007251631617118</v>
      </c>
      <c r="C163">
        <f>PRODUCT(B$41:$B163)</f>
        <v>1.1203261783901384</v>
      </c>
    </row>
    <row r="164" spans="1:3">
      <c r="A164" s="2">
        <f t="shared" si="2"/>
        <v>40084</v>
      </c>
      <c r="B164">
        <v>0.9978292329956584</v>
      </c>
      <c r="C164">
        <f>PRODUCT(B$41:$B164)</f>
        <v>1.117894211287989</v>
      </c>
    </row>
    <row r="165" spans="1:3">
      <c r="A165" s="2">
        <f t="shared" si="2"/>
        <v>40053</v>
      </c>
      <c r="B165">
        <v>1.002902757619738</v>
      </c>
      <c r="C165">
        <f>PRODUCT(B$41:$B165)</f>
        <v>1.1211391872278662</v>
      </c>
    </row>
    <row r="166" spans="1:3">
      <c r="A166" s="2">
        <f t="shared" si="2"/>
        <v>40022</v>
      </c>
      <c r="B166">
        <v>1</v>
      </c>
      <c r="C166">
        <f>PRODUCT(B$41:$B166)</f>
        <v>1.1211391872278662</v>
      </c>
    </row>
    <row r="167" spans="1:3">
      <c r="A167" s="2">
        <f t="shared" si="2"/>
        <v>39992</v>
      </c>
      <c r="B167">
        <v>1.0007262164124913</v>
      </c>
      <c r="C167">
        <f>PRODUCT(B$41:$B167)</f>
        <v>1.1219533769063181</v>
      </c>
    </row>
    <row r="168" spans="1:3">
      <c r="A168" s="2">
        <f t="shared" si="2"/>
        <v>39961</v>
      </c>
      <c r="B168">
        <v>1.0021834061135371</v>
      </c>
      <c r="C168">
        <f>PRODUCT(B$41:$B168)</f>
        <v>1.124403056768559</v>
      </c>
    </row>
    <row r="169" spans="1:3">
      <c r="A169" s="2">
        <f t="shared" si="2"/>
        <v>39931</v>
      </c>
      <c r="B169">
        <v>1.0021881838074398</v>
      </c>
      <c r="C169">
        <f>PRODUCT(B$41:$B169)</f>
        <v>1.1268634573304157</v>
      </c>
    </row>
    <row r="170" spans="1:3">
      <c r="A170" s="2">
        <f t="shared" si="2"/>
        <v>39900</v>
      </c>
      <c r="B170">
        <v>1.0007299270072996</v>
      </c>
      <c r="C170">
        <f>PRODUCT(B$41:$B170)</f>
        <v>1.12768598540146</v>
      </c>
    </row>
    <row r="171" spans="1:3">
      <c r="A171" s="2">
        <f t="shared" si="2"/>
        <v>39872</v>
      </c>
      <c r="B171">
        <v>1.0021945866861741</v>
      </c>
      <c r="C171">
        <f>PRODUCT(B$41:$B171)</f>
        <v>1.1301607900512072</v>
      </c>
    </row>
    <row r="172" spans="1:3">
      <c r="A172" s="2">
        <f t="shared" si="2"/>
        <v>39841</v>
      </c>
      <c r="B172">
        <v>0.99853907962015998</v>
      </c>
      <c r="C172">
        <f>PRODUCT(B$41:$B172)</f>
        <v>1.1285097151205252</v>
      </c>
    </row>
    <row r="173" spans="1:3">
      <c r="A173" s="2">
        <f t="shared" si="2"/>
        <v>39810</v>
      </c>
      <c r="B173">
        <v>0.99854121079504043</v>
      </c>
      <c r="C173">
        <f>PRODUCT(B$41:$B173)</f>
        <v>1.1268634573304155</v>
      </c>
    </row>
    <row r="174" spans="1:3">
      <c r="A174" s="2">
        <f t="shared" si="2"/>
        <v>39780</v>
      </c>
      <c r="B174">
        <v>0.99636627906976794</v>
      </c>
      <c r="C174">
        <f>PRODUCT(B$41:$B174)</f>
        <v>1.1227687500000003</v>
      </c>
    </row>
    <row r="175" spans="1:3">
      <c r="A175" s="2">
        <f t="shared" si="2"/>
        <v>39749</v>
      </c>
      <c r="B175">
        <v>1</v>
      </c>
      <c r="C175">
        <f>PRODUCT(B$41:$B175)</f>
        <v>1.1227687500000003</v>
      </c>
    </row>
    <row r="176" spans="1:3">
      <c r="A176" s="2">
        <f t="shared" si="2"/>
        <v>39719</v>
      </c>
      <c r="B176">
        <v>0.99710144927536193</v>
      </c>
      <c r="C176">
        <f>PRODUCT(B$41:$B176)</f>
        <v>1.1195143478260869</v>
      </c>
    </row>
    <row r="177" spans="1:3">
      <c r="A177" s="2">
        <f t="shared" si="2"/>
        <v>39688</v>
      </c>
      <c r="B177">
        <v>1.0014513788098691</v>
      </c>
      <c r="C177">
        <f>PRODUCT(B$41:$B177)</f>
        <v>1.1211391872278662</v>
      </c>
    </row>
    <row r="178" spans="1:3">
      <c r="A178" s="2">
        <f t="shared" si="2"/>
        <v>39657</v>
      </c>
      <c r="B178">
        <v>1.0051057622173598</v>
      </c>
      <c r="C178">
        <f>PRODUCT(B$41:$B178)</f>
        <v>1.1268634573304157</v>
      </c>
    </row>
    <row r="179" spans="1:3">
      <c r="A179" s="2">
        <f t="shared" si="2"/>
        <v>39627</v>
      </c>
      <c r="B179">
        <v>1.0043956043956044</v>
      </c>
      <c r="C179">
        <f>PRODUCT(B$41:$B179)</f>
        <v>1.1318167032967033</v>
      </c>
    </row>
    <row r="180" spans="1:3">
      <c r="A180" s="2">
        <f t="shared" si="2"/>
        <v>39596</v>
      </c>
      <c r="B180">
        <v>1.0051546391752579</v>
      </c>
      <c r="C180">
        <f>PRODUCT(B$41:$B180)</f>
        <v>1.1376508100147278</v>
      </c>
    </row>
    <row r="181" spans="1:3">
      <c r="A181" s="2">
        <f t="shared" si="2"/>
        <v>39566</v>
      </c>
      <c r="B181">
        <v>1.0022140221402214</v>
      </c>
      <c r="C181">
        <f>PRODUCT(B$41:$B181)</f>
        <v>1.1401695940959411</v>
      </c>
    </row>
    <row r="182" spans="1:3">
      <c r="A182" s="2">
        <f t="shared" si="2"/>
        <v>39535</v>
      </c>
      <c r="B182">
        <v>1.0051928783382782</v>
      </c>
      <c r="C182">
        <f>PRODUCT(B$41:$B182)</f>
        <v>1.1460903560830853</v>
      </c>
    </row>
    <row r="183" spans="1:3">
      <c r="A183" s="2">
        <f t="shared" si="2"/>
        <v>39506</v>
      </c>
      <c r="B183">
        <v>1.0022304832713753</v>
      </c>
      <c r="C183">
        <f>PRODUCT(B$41:$B183)</f>
        <v>1.1486466914498132</v>
      </c>
    </row>
    <row r="184" spans="1:3">
      <c r="A184" s="2">
        <f t="shared" si="2"/>
        <v>39475</v>
      </c>
      <c r="B184">
        <v>1.0044809559372667</v>
      </c>
      <c r="C184">
        <f>PRODUCT(B$41:$B184)</f>
        <v>1.1537937266616871</v>
      </c>
    </row>
    <row r="185" spans="1:3">
      <c r="A185" s="2">
        <f t="shared" si="2"/>
        <v>39444</v>
      </c>
      <c r="B185">
        <v>1.0029962546816482</v>
      </c>
      <c r="C185">
        <f>PRODUCT(B$41:$B185)</f>
        <v>1.1572507865168535</v>
      </c>
    </row>
    <row r="186" spans="1:3">
      <c r="A186" s="2">
        <f t="shared" si="2"/>
        <v>39414</v>
      </c>
      <c r="B186">
        <v>1.0037593984962403</v>
      </c>
      <c r="C186">
        <f>PRODUCT(B$41:$B186)</f>
        <v>1.1616013533834579</v>
      </c>
    </row>
    <row r="187" spans="1:3">
      <c r="A187" s="2">
        <f t="shared" si="2"/>
        <v>39383</v>
      </c>
      <c r="B187">
        <v>1.0030165912518858</v>
      </c>
      <c r="C187">
        <f>PRODUCT(B$41:$B187)</f>
        <v>1.1651054298642531</v>
      </c>
    </row>
    <row r="188" spans="1:3">
      <c r="A188" s="2">
        <f t="shared" si="2"/>
        <v>39353</v>
      </c>
      <c r="B188">
        <v>1</v>
      </c>
      <c r="C188">
        <f>PRODUCT(B$41:$B188)</f>
        <v>1.1651054298642531</v>
      </c>
    </row>
    <row r="189" spans="1:3">
      <c r="A189" s="2">
        <f t="shared" si="2"/>
        <v>39322</v>
      </c>
      <c r="B189">
        <v>1.0015105740181263</v>
      </c>
      <c r="C189">
        <f>PRODUCT(B$41:$B189)</f>
        <v>1.1668654078549838</v>
      </c>
    </row>
    <row r="190" spans="1:3">
      <c r="A190" s="2">
        <f t="shared" si="2"/>
        <v>39291</v>
      </c>
      <c r="B190">
        <v>1.0022710068130216</v>
      </c>
      <c r="C190">
        <f>PRODUCT(B$41:$B190)</f>
        <v>1.1695153671461018</v>
      </c>
    </row>
    <row r="191" spans="1:3">
      <c r="A191" s="2">
        <f t="shared" si="2"/>
        <v>39261</v>
      </c>
      <c r="B191">
        <v>1.0022761760242793</v>
      </c>
      <c r="C191">
        <f>PRODUCT(B$41:$B191)</f>
        <v>1.172177389984826</v>
      </c>
    </row>
    <row r="192" spans="1:3">
      <c r="A192" s="2">
        <f t="shared" si="2"/>
        <v>39230</v>
      </c>
      <c r="B192">
        <v>1.0030441400304406</v>
      </c>
      <c r="C192">
        <f>PRODUCT(B$41:$B192)</f>
        <v>1.1757456621004563</v>
      </c>
    </row>
    <row r="193" spans="1:3">
      <c r="A193" s="2">
        <f t="shared" si="2"/>
        <v>39200</v>
      </c>
      <c r="B193">
        <v>1.0015243902439033</v>
      </c>
      <c r="C193">
        <f>PRODUCT(B$41:$B193)</f>
        <v>1.1775379573170739</v>
      </c>
    </row>
    <row r="194" spans="1:3">
      <c r="A194" s="2">
        <f t="shared" si="2"/>
        <v>39169</v>
      </c>
      <c r="B194">
        <v>1.0015267175572515</v>
      </c>
      <c r="C194">
        <f>PRODUCT(B$41:$B194)</f>
        <v>1.1793357251908401</v>
      </c>
    </row>
    <row r="195" spans="1:3">
      <c r="A195" s="2">
        <f t="shared" si="2"/>
        <v>39141</v>
      </c>
      <c r="B195">
        <v>1.0030627871362945</v>
      </c>
      <c r="C195">
        <f>PRODUCT(B$41:$B195)</f>
        <v>1.1829477794793271</v>
      </c>
    </row>
    <row r="196" spans="1:3">
      <c r="A196" s="2">
        <f t="shared" ref="A196:A259" si="3">EDATE(A195,-1)</f>
        <v>39110</v>
      </c>
      <c r="B196">
        <v>1.0007662835249047</v>
      </c>
      <c r="C196">
        <f>PRODUCT(B$41:$B196)</f>
        <v>1.1838542528735647</v>
      </c>
    </row>
    <row r="197" spans="1:3">
      <c r="A197" s="2">
        <f t="shared" si="3"/>
        <v>39079</v>
      </c>
      <c r="B197">
        <v>1.0007668711656432</v>
      </c>
      <c r="C197">
        <f>PRODUCT(B$41:$B197)</f>
        <v>1.1847621165644175</v>
      </c>
    </row>
    <row r="198" spans="1:3">
      <c r="A198" s="2">
        <f t="shared" si="3"/>
        <v>39049</v>
      </c>
      <c r="B198">
        <v>1.0007674597083658</v>
      </c>
      <c r="C198">
        <f>PRODUCT(B$41:$B198)</f>
        <v>1.1856713737528788</v>
      </c>
    </row>
    <row r="199" spans="1:3">
      <c r="A199" s="2">
        <f t="shared" si="3"/>
        <v>39018</v>
      </c>
      <c r="B199">
        <v>0.99923312883435544</v>
      </c>
      <c r="C199">
        <f>PRODUCT(B$41:$B199)</f>
        <v>1.1847621165644175</v>
      </c>
    </row>
    <row r="200" spans="1:3">
      <c r="A200" s="2">
        <f t="shared" si="3"/>
        <v>38988</v>
      </c>
      <c r="B200">
        <v>0.99923371647509673</v>
      </c>
      <c r="C200">
        <f>PRODUCT(B$41:$B200)</f>
        <v>1.1838542528735647</v>
      </c>
    </row>
    <row r="201" spans="1:3">
      <c r="A201" s="2">
        <f t="shared" si="3"/>
        <v>38957</v>
      </c>
      <c r="B201">
        <v>1.00153491941673</v>
      </c>
      <c r="C201">
        <f>PRODUCT(B$41:$B201)</f>
        <v>1.1856713737528788</v>
      </c>
    </row>
    <row r="202" spans="1:3">
      <c r="A202" s="2">
        <f t="shared" si="3"/>
        <v>38926</v>
      </c>
      <c r="B202">
        <v>1.0030792917628939</v>
      </c>
      <c r="C202">
        <f>PRODUCT(B$41:$B202)</f>
        <v>1.1893224018475752</v>
      </c>
    </row>
    <row r="203" spans="1:3">
      <c r="A203" s="2">
        <f t="shared" si="3"/>
        <v>38896</v>
      </c>
      <c r="B203">
        <v>1.0007704160246538</v>
      </c>
      <c r="C203">
        <f>PRODUCT(B$41:$B203)</f>
        <v>1.1902386748844382</v>
      </c>
    </row>
    <row r="204" spans="1:3">
      <c r="A204" s="2">
        <f t="shared" si="3"/>
        <v>38865</v>
      </c>
      <c r="B204">
        <v>1.0030911901081918</v>
      </c>
      <c r="C204">
        <f>PRODUCT(B$41:$B204)</f>
        <v>1.1939179289026283</v>
      </c>
    </row>
    <row r="205" spans="1:3">
      <c r="A205" s="2">
        <f t="shared" si="3"/>
        <v>38835</v>
      </c>
      <c r="B205">
        <v>1.0031007751937988</v>
      </c>
      <c r="C205">
        <f>PRODUCT(B$41:$B205)</f>
        <v>1.1976200000000012</v>
      </c>
    </row>
    <row r="206" spans="1:3">
      <c r="A206" s="2">
        <f t="shared" si="3"/>
        <v>38804</v>
      </c>
      <c r="B206">
        <v>1.0023310023310013</v>
      </c>
      <c r="C206">
        <f>PRODUCT(B$41:$B206)</f>
        <v>1.200411655011655</v>
      </c>
    </row>
    <row r="207" spans="1:3">
      <c r="A207" s="2">
        <f t="shared" si="3"/>
        <v>38776</v>
      </c>
      <c r="B207">
        <v>1.0023364485981319</v>
      </c>
      <c r="C207">
        <f>PRODUCT(B$41:$B207)</f>
        <v>1.2032163551401882</v>
      </c>
    </row>
    <row r="208" spans="1:3">
      <c r="A208" s="2">
        <f t="shared" si="3"/>
        <v>38745</v>
      </c>
      <c r="B208">
        <v>1.0023419203747073</v>
      </c>
      <c r="C208">
        <f>PRODUCT(B$41:$B208)</f>
        <v>1.206034192037472</v>
      </c>
    </row>
    <row r="209" spans="1:3">
      <c r="A209" s="2">
        <f t="shared" si="3"/>
        <v>38714</v>
      </c>
      <c r="B209">
        <v>1</v>
      </c>
      <c r="C209">
        <f>PRODUCT(B$41:$B209)</f>
        <v>1.206034192037472</v>
      </c>
    </row>
    <row r="210" spans="1:3">
      <c r="A210" s="2">
        <f t="shared" si="3"/>
        <v>38684</v>
      </c>
      <c r="B210">
        <v>1.0007812499999993</v>
      </c>
      <c r="C210">
        <f>PRODUCT(B$41:$B210)</f>
        <v>1.2069764062500004</v>
      </c>
    </row>
    <row r="211" spans="1:3">
      <c r="A211" s="2">
        <f t="shared" si="3"/>
        <v>38653</v>
      </c>
      <c r="B211">
        <v>1.0023492560689116</v>
      </c>
      <c r="C211">
        <f>PRODUCT(B$41:$B211)</f>
        <v>1.2098119028974161</v>
      </c>
    </row>
    <row r="212" spans="1:3">
      <c r="A212" s="2">
        <f t="shared" si="3"/>
        <v>38623</v>
      </c>
      <c r="B212">
        <v>1</v>
      </c>
      <c r="C212">
        <f>PRODUCT(B$41:$B212)</f>
        <v>1.2098119028974161</v>
      </c>
    </row>
    <row r="213" spans="1:3">
      <c r="A213" s="2">
        <f t="shared" si="3"/>
        <v>38592</v>
      </c>
      <c r="B213">
        <v>1.0015686274509799</v>
      </c>
      <c r="C213">
        <f>PRODUCT(B$41:$B213)</f>
        <v>1.2117096470588231</v>
      </c>
    </row>
    <row r="214" spans="1:3">
      <c r="A214" s="2">
        <f t="shared" si="3"/>
        <v>38561</v>
      </c>
      <c r="B214">
        <v>1.0039370078740166</v>
      </c>
      <c r="C214">
        <f>PRODUCT(B$41:$B214)</f>
        <v>1.2164801574803157</v>
      </c>
    </row>
    <row r="215" spans="1:3">
      <c r="A215" s="2">
        <f t="shared" si="3"/>
        <v>38531</v>
      </c>
      <c r="B215">
        <v>1</v>
      </c>
      <c r="C215">
        <f>PRODUCT(B$41:$B215)</f>
        <v>1.2164801574803157</v>
      </c>
    </row>
    <row r="216" spans="1:3">
      <c r="A216" s="2">
        <f t="shared" si="3"/>
        <v>38500</v>
      </c>
      <c r="B216">
        <v>1.0031595576619277</v>
      </c>
      <c r="C216">
        <f>PRODUCT(B$41:$B216)</f>
        <v>1.2203236966824655</v>
      </c>
    </row>
    <row r="217" spans="1:3">
      <c r="A217" s="2">
        <f t="shared" si="3"/>
        <v>38470</v>
      </c>
      <c r="B217">
        <v>1.0015822784810122</v>
      </c>
      <c r="C217">
        <f>PRODUCT(B$41:$B217)</f>
        <v>1.2222545886075955</v>
      </c>
    </row>
    <row r="218" spans="1:3">
      <c r="A218" s="2">
        <f t="shared" si="3"/>
        <v>38439</v>
      </c>
      <c r="B218">
        <v>1.0031746031746036</v>
      </c>
      <c r="C218">
        <f>PRODUCT(B$41:$B218)</f>
        <v>1.2261347619047629</v>
      </c>
    </row>
    <row r="219" spans="1:3">
      <c r="A219" s="2">
        <f t="shared" si="3"/>
        <v>38411</v>
      </c>
      <c r="B219">
        <v>1.0031847133757954</v>
      </c>
      <c r="C219">
        <f>PRODUCT(B$41:$B219)</f>
        <v>1.2300396496815287</v>
      </c>
    </row>
    <row r="220" spans="1:3">
      <c r="A220" s="2">
        <f t="shared" si="3"/>
        <v>38380</v>
      </c>
      <c r="B220">
        <v>1</v>
      </c>
      <c r="C220">
        <f>PRODUCT(B$41:$B220)</f>
        <v>1.2300396496815287</v>
      </c>
    </row>
    <row r="221" spans="1:3">
      <c r="A221" s="2">
        <f t="shared" si="3"/>
        <v>38349</v>
      </c>
      <c r="B221">
        <v>1.0023942537909016</v>
      </c>
      <c r="C221">
        <f>PRODUCT(B$41:$B221)</f>
        <v>1.232984676775738</v>
      </c>
    </row>
    <row r="222" spans="1:3">
      <c r="A222" s="2">
        <f t="shared" si="3"/>
        <v>38319</v>
      </c>
      <c r="B222">
        <v>1.0007987220447288</v>
      </c>
      <c r="C222">
        <f>PRODUCT(B$41:$B222)</f>
        <v>1.2339694888178916</v>
      </c>
    </row>
    <row r="223" spans="1:3">
      <c r="A223" s="2">
        <f t="shared" si="3"/>
        <v>38288</v>
      </c>
      <c r="B223">
        <v>1</v>
      </c>
      <c r="C223">
        <f>PRODUCT(B$41:$B223)</f>
        <v>1.2339694888178916</v>
      </c>
    </row>
    <row r="224" spans="1:3">
      <c r="A224" s="2">
        <f t="shared" si="3"/>
        <v>38258</v>
      </c>
      <c r="B224">
        <v>1</v>
      </c>
      <c r="C224">
        <f>PRODUCT(B$41:$B224)</f>
        <v>1.2339694888178916</v>
      </c>
    </row>
    <row r="225" spans="1:3">
      <c r="A225" s="2">
        <f t="shared" si="3"/>
        <v>38227</v>
      </c>
      <c r="B225">
        <v>1.0024019215372297</v>
      </c>
      <c r="C225">
        <f>PRODUCT(B$41:$B225)</f>
        <v>1.2369333867093677</v>
      </c>
    </row>
    <row r="226" spans="1:3">
      <c r="A226" s="2">
        <f t="shared" si="3"/>
        <v>38196</v>
      </c>
      <c r="B226">
        <v>1.0008012820512824</v>
      </c>
      <c r="C226">
        <f>PRODUCT(B$41:$B226)</f>
        <v>1.2379245192307697</v>
      </c>
    </row>
    <row r="227" spans="1:3">
      <c r="A227" s="2">
        <f t="shared" si="3"/>
        <v>38166</v>
      </c>
      <c r="B227">
        <v>1.0016051364365968</v>
      </c>
      <c r="C227">
        <f>PRODUCT(B$41:$B227)</f>
        <v>1.2399115569823436</v>
      </c>
    </row>
    <row r="228" spans="1:3">
      <c r="A228" s="2">
        <f t="shared" si="3"/>
        <v>38135</v>
      </c>
      <c r="B228">
        <v>1.0024135156878518</v>
      </c>
      <c r="C228">
        <f>PRODUCT(B$41:$B228)</f>
        <v>1.2429041029766692</v>
      </c>
    </row>
    <row r="229" spans="1:3">
      <c r="A229" s="2">
        <f t="shared" si="3"/>
        <v>38105</v>
      </c>
      <c r="B229">
        <v>1.0024193548387097</v>
      </c>
      <c r="C229">
        <f>PRODUCT(B$41:$B229)</f>
        <v>1.245911129032258</v>
      </c>
    </row>
    <row r="230" spans="1:3">
      <c r="A230" s="2">
        <f t="shared" si="3"/>
        <v>38074</v>
      </c>
      <c r="B230">
        <v>1.0032362459546931</v>
      </c>
      <c r="C230">
        <f>PRODUCT(B$41:$B230)</f>
        <v>1.2499432038834957</v>
      </c>
    </row>
    <row r="231" spans="1:3">
      <c r="A231" s="2">
        <f t="shared" si="3"/>
        <v>38045</v>
      </c>
      <c r="B231">
        <v>1.0024330900243308</v>
      </c>
      <c r="C231">
        <f>PRODUCT(B$41:$B231)</f>
        <v>1.2529844282238447</v>
      </c>
    </row>
    <row r="232" spans="1:3">
      <c r="A232" s="2">
        <f t="shared" si="3"/>
        <v>38014</v>
      </c>
      <c r="B232">
        <v>1.0016246953696177</v>
      </c>
      <c r="C232">
        <f>PRODUCT(B$41:$B232)</f>
        <v>1.2550201462225832</v>
      </c>
    </row>
    <row r="233" spans="1:3">
      <c r="A233" s="2">
        <f t="shared" si="3"/>
        <v>37983</v>
      </c>
      <c r="B233">
        <v>1.0008130081300817</v>
      </c>
      <c r="C233">
        <f>PRODUCT(B$41:$B233)</f>
        <v>1.2560404878048785</v>
      </c>
    </row>
    <row r="234" spans="1:3">
      <c r="A234" s="2">
        <f t="shared" si="3"/>
        <v>37953</v>
      </c>
      <c r="B234">
        <v>1.0024449877750612</v>
      </c>
      <c r="C234">
        <f>PRODUCT(B$41:$B234)</f>
        <v>1.2591114914425434</v>
      </c>
    </row>
    <row r="235" spans="1:3">
      <c r="A235" s="2">
        <f t="shared" si="3"/>
        <v>37922</v>
      </c>
      <c r="B235">
        <v>1.0008156606851542</v>
      </c>
      <c r="C235">
        <f>PRODUCT(B$41:$B235)</f>
        <v>1.260138499184339</v>
      </c>
    </row>
    <row r="236" spans="1:3">
      <c r="A236" s="2">
        <f t="shared" si="3"/>
        <v>37892</v>
      </c>
      <c r="B236">
        <v>1.0016339869281052</v>
      </c>
      <c r="C236">
        <f>PRODUCT(B$41:$B236)</f>
        <v>1.2621975490196082</v>
      </c>
    </row>
    <row r="237" spans="1:3">
      <c r="A237" s="2">
        <f t="shared" si="3"/>
        <v>37861</v>
      </c>
      <c r="B237">
        <v>1.0024570024570025</v>
      </c>
      <c r="C237">
        <f>PRODUCT(B$41:$B237)</f>
        <v>1.265298771498772</v>
      </c>
    </row>
    <row r="238" spans="1:3">
      <c r="A238" s="2">
        <f t="shared" si="3"/>
        <v>37830</v>
      </c>
      <c r="B238">
        <v>1.0016406890894172</v>
      </c>
      <c r="C238">
        <f>PRODUCT(B$41:$B238)</f>
        <v>1.267374733388023</v>
      </c>
    </row>
    <row r="239" spans="1:3">
      <c r="A239" s="2">
        <f t="shared" si="3"/>
        <v>37800</v>
      </c>
      <c r="B239">
        <v>1.0008210180623978</v>
      </c>
      <c r="C239">
        <f>PRODUCT(B$41:$B239)</f>
        <v>1.2684152709359611</v>
      </c>
    </row>
    <row r="240" spans="1:3">
      <c r="A240" s="2">
        <f t="shared" si="3"/>
        <v>37769</v>
      </c>
      <c r="B240">
        <v>1.0024691358024691</v>
      </c>
      <c r="C240">
        <f>PRODUCT(B$41:$B240)</f>
        <v>1.2715471604938275</v>
      </c>
    </row>
    <row r="241" spans="1:3">
      <c r="A241" s="2">
        <f t="shared" si="3"/>
        <v>37739</v>
      </c>
      <c r="B241">
        <v>1.0024752475247523</v>
      </c>
      <c r="C241">
        <f>PRODUCT(B$41:$B241)</f>
        <v>1.2746945544554455</v>
      </c>
    </row>
    <row r="242" spans="1:3">
      <c r="A242" s="2">
        <f t="shared" si="3"/>
        <v>37708</v>
      </c>
      <c r="B242">
        <v>1.003311258278146</v>
      </c>
      <c r="C242">
        <f>PRODUCT(B$41:$B242)</f>
        <v>1.2789153973509939</v>
      </c>
    </row>
    <row r="243" spans="1:3">
      <c r="A243" s="2">
        <f t="shared" si="3"/>
        <v>37680</v>
      </c>
      <c r="B243">
        <v>1.0016583747927028</v>
      </c>
      <c r="C243">
        <f>PRODUCT(B$41:$B243)</f>
        <v>1.2810363184079603</v>
      </c>
    </row>
    <row r="244" spans="1:3">
      <c r="A244" s="2">
        <f t="shared" si="3"/>
        <v>37649</v>
      </c>
      <c r="B244">
        <v>1.0041631973355531</v>
      </c>
      <c r="C244">
        <f>PRODUCT(B$41:$B244)</f>
        <v>1.2863695253955032</v>
      </c>
    </row>
    <row r="245" spans="1:3">
      <c r="A245" s="2">
        <f t="shared" si="3"/>
        <v>37618</v>
      </c>
      <c r="B245">
        <v>1.0008333333333337</v>
      </c>
      <c r="C245">
        <f>PRODUCT(B$41:$B245)</f>
        <v>1.2874414999999999</v>
      </c>
    </row>
    <row r="246" spans="1:3">
      <c r="A246" s="2">
        <f t="shared" si="3"/>
        <v>37588</v>
      </c>
      <c r="B246">
        <v>1.0033444816053516</v>
      </c>
      <c r="C246">
        <f>PRODUCT(B$41:$B246)</f>
        <v>1.2917473244147162</v>
      </c>
    </row>
    <row r="247" spans="1:3">
      <c r="A247" s="2">
        <f t="shared" si="3"/>
        <v>37557</v>
      </c>
      <c r="B247">
        <v>1.0025146689019264</v>
      </c>
      <c r="C247">
        <f>PRODUCT(B$41:$B247)</f>
        <v>1.2949956412405685</v>
      </c>
    </row>
    <row r="248" spans="1:3">
      <c r="A248" s="2">
        <f t="shared" si="3"/>
        <v>37527</v>
      </c>
      <c r="B248">
        <v>1.0016792611251057</v>
      </c>
      <c r="C248">
        <f>PRODUCT(B$41:$B248)</f>
        <v>1.2971702770780853</v>
      </c>
    </row>
    <row r="249" spans="1:3">
      <c r="A249" s="2">
        <f t="shared" si="3"/>
        <v>37496</v>
      </c>
      <c r="B249">
        <v>1.0016820857863746</v>
      </c>
      <c r="C249">
        <f>PRODUCT(B$41:$B249)</f>
        <v>1.2993522287636661</v>
      </c>
    </row>
    <row r="250" spans="1:3">
      <c r="A250" s="2">
        <f t="shared" si="3"/>
        <v>37465</v>
      </c>
      <c r="B250">
        <v>1.0016849199663025</v>
      </c>
      <c r="C250">
        <f>PRODUCT(B$41:$B250)</f>
        <v>1.3015415332771696</v>
      </c>
    </row>
    <row r="251" spans="1:3">
      <c r="A251" s="2">
        <f t="shared" si="3"/>
        <v>37435</v>
      </c>
      <c r="B251">
        <v>1.0008431703204039</v>
      </c>
      <c r="C251">
        <f>PRODUCT(B$41:$B251)</f>
        <v>1.302638954468802</v>
      </c>
    </row>
    <row r="252" spans="1:3">
      <c r="A252" s="2">
        <f t="shared" si="3"/>
        <v>37404</v>
      </c>
      <c r="B252">
        <v>1.0025359256128485</v>
      </c>
      <c r="C252">
        <f>PRODUCT(B$41:$B252)</f>
        <v>1.3059423499577336</v>
      </c>
    </row>
    <row r="253" spans="1:3">
      <c r="A253" s="2">
        <f t="shared" si="3"/>
        <v>37374</v>
      </c>
      <c r="B253">
        <v>1.0025423728813572</v>
      </c>
      <c r="C253">
        <f>PRODUCT(B$41:$B253)</f>
        <v>1.3092625423728821</v>
      </c>
    </row>
    <row r="254" spans="1:3">
      <c r="A254" s="2">
        <f t="shared" si="3"/>
        <v>37343</v>
      </c>
      <c r="B254">
        <v>1.0025488530161415</v>
      </c>
      <c r="C254">
        <f>PRODUCT(B$41:$B254)</f>
        <v>1.3125996601529304</v>
      </c>
    </row>
    <row r="255" spans="1:3">
      <c r="A255" s="2">
        <f t="shared" si="3"/>
        <v>37315</v>
      </c>
      <c r="B255">
        <v>1.0034100596760447</v>
      </c>
      <c r="C255">
        <f>PRODUCT(B$41:$B255)</f>
        <v>1.3170757033248079</v>
      </c>
    </row>
    <row r="256" spans="1:3">
      <c r="A256" s="2">
        <f t="shared" si="3"/>
        <v>37284</v>
      </c>
      <c r="B256">
        <v>1.0042808219178092</v>
      </c>
      <c r="C256">
        <f>PRODUCT(B$41:$B256)</f>
        <v>1.3227138698630148</v>
      </c>
    </row>
    <row r="257" spans="1:3">
      <c r="A257" s="2">
        <f t="shared" si="3"/>
        <v>37253</v>
      </c>
      <c r="B257">
        <v>1.0008568980291337</v>
      </c>
      <c r="C257">
        <f>PRODUCT(B$41:$B257)</f>
        <v>1.3238473007712082</v>
      </c>
    </row>
    <row r="258" spans="1:3">
      <c r="A258" s="2">
        <f t="shared" si="3"/>
        <v>37223</v>
      </c>
      <c r="B258">
        <v>1.0017167381974244</v>
      </c>
      <c r="C258">
        <f>PRODUCT(B$41:$B258)</f>
        <v>1.3261199999999993</v>
      </c>
    </row>
    <row r="259" spans="1:3">
      <c r="A259" s="2">
        <f t="shared" si="3"/>
        <v>37192</v>
      </c>
      <c r="B259">
        <v>1.0017196904557188</v>
      </c>
      <c r="C259">
        <f>PRODUCT(B$41:$B259)</f>
        <v>1.3284005159071373</v>
      </c>
    </row>
    <row r="260" spans="1:3">
      <c r="A260" s="2">
        <f t="shared" ref="A260:A292" si="4">EDATE(A259,-1)</f>
        <v>37162</v>
      </c>
      <c r="B260">
        <v>1</v>
      </c>
      <c r="C260">
        <f>PRODUCT(B$41:$B260)</f>
        <v>1.3284005159071373</v>
      </c>
    </row>
    <row r="261" spans="1:3">
      <c r="A261" s="2">
        <f t="shared" si="4"/>
        <v>37131</v>
      </c>
      <c r="B261">
        <v>1</v>
      </c>
      <c r="C261">
        <f>PRODUCT(B$41:$B261)</f>
        <v>1.3284005159071373</v>
      </c>
    </row>
    <row r="262" spans="1:3">
      <c r="A262" s="2">
        <f t="shared" si="4"/>
        <v>37100</v>
      </c>
      <c r="B262">
        <v>1.0008605851979351</v>
      </c>
      <c r="C262">
        <f>PRODUCT(B$41:$B262)</f>
        <v>1.3295437177280562</v>
      </c>
    </row>
    <row r="263" spans="1:3">
      <c r="A263" s="2">
        <f t="shared" si="4"/>
        <v>37070</v>
      </c>
      <c r="B263">
        <v>1.002588438308887</v>
      </c>
      <c r="C263">
        <f>PRODUCT(B$41:$B263)</f>
        <v>1.3329851596203637</v>
      </c>
    </row>
    <row r="264" spans="1:3">
      <c r="A264" s="2">
        <f t="shared" si="4"/>
        <v>37039</v>
      </c>
      <c r="B264">
        <v>1.0025951557093427</v>
      </c>
      <c r="C264">
        <f>PRODUCT(B$41:$B264)</f>
        <v>1.3364444636678214</v>
      </c>
    </row>
    <row r="265" spans="1:3">
      <c r="A265" s="2">
        <f t="shared" si="4"/>
        <v>37009</v>
      </c>
      <c r="B265">
        <v>1.0043440486533444</v>
      </c>
      <c r="C265">
        <f>PRODUCT(B$41:$B265)</f>
        <v>1.3422500434404872</v>
      </c>
    </row>
    <row r="266" spans="1:3">
      <c r="A266" s="2">
        <f t="shared" si="4"/>
        <v>36978</v>
      </c>
      <c r="B266">
        <v>1.0008695652173918</v>
      </c>
      <c r="C266">
        <f>PRODUCT(B$41:$B266)</f>
        <v>1.3434172173913057</v>
      </c>
    </row>
    <row r="267" spans="1:3">
      <c r="A267" s="2">
        <f t="shared" si="4"/>
        <v>36950</v>
      </c>
      <c r="B267">
        <v>1.0034904013961596</v>
      </c>
      <c r="C267">
        <f>PRODUCT(B$41:$B267)</f>
        <v>1.3481062827225132</v>
      </c>
    </row>
    <row r="268" spans="1:3">
      <c r="A268" s="2">
        <f t="shared" si="4"/>
        <v>36919</v>
      </c>
      <c r="B268">
        <v>1.0043821209465389</v>
      </c>
      <c r="C268">
        <f>PRODUCT(B$41:$B268)</f>
        <v>1.3540138475021921</v>
      </c>
    </row>
    <row r="269" spans="1:3">
      <c r="A269" s="2">
        <f t="shared" si="4"/>
        <v>36888</v>
      </c>
      <c r="B269">
        <v>1.0008771929824554</v>
      </c>
      <c r="C269">
        <f>PRODUCT(B$41:$B269)</f>
        <v>1.3552015789473684</v>
      </c>
    </row>
    <row r="270" spans="1:3">
      <c r="A270" s="2">
        <f t="shared" si="4"/>
        <v>36858</v>
      </c>
      <c r="B270">
        <v>1.0026385224274406</v>
      </c>
      <c r="C270">
        <f>PRODUCT(B$41:$B270)</f>
        <v>1.3587773087071238</v>
      </c>
    </row>
    <row r="271" spans="1:3">
      <c r="A271" s="2">
        <f t="shared" si="4"/>
        <v>36827</v>
      </c>
      <c r="B271">
        <v>1.0035304501323923</v>
      </c>
      <c r="C271">
        <f>PRODUCT(B$41:$B271)</f>
        <v>1.3635744042365405</v>
      </c>
    </row>
    <row r="272" spans="1:3">
      <c r="A272" s="2">
        <f t="shared" si="4"/>
        <v>36797</v>
      </c>
      <c r="B272">
        <v>1.0017683465959324</v>
      </c>
      <c r="C272">
        <f>PRODUCT(B$41:$B272)</f>
        <v>1.3659856763925728</v>
      </c>
    </row>
    <row r="273" spans="1:3">
      <c r="A273" s="2">
        <f t="shared" si="4"/>
        <v>36766</v>
      </c>
      <c r="B273">
        <v>1.0008849557522128</v>
      </c>
      <c r="C273">
        <f>PRODUCT(B$41:$B273)</f>
        <v>1.3671945132743368</v>
      </c>
    </row>
    <row r="274" spans="1:3">
      <c r="A274" s="2">
        <f t="shared" si="4"/>
        <v>36735</v>
      </c>
      <c r="B274">
        <v>1.0017730496453896</v>
      </c>
      <c r="C274">
        <f>PRODUCT(B$41:$B274)</f>
        <v>1.3696186170212765</v>
      </c>
    </row>
    <row r="275" spans="1:3">
      <c r="A275" s="2">
        <f t="shared" si="4"/>
        <v>36705</v>
      </c>
      <c r="B275">
        <v>1.0026666666666666</v>
      </c>
      <c r="C275">
        <f>PRODUCT(B$41:$B275)</f>
        <v>1.3732709333333331</v>
      </c>
    </row>
    <row r="276" spans="1:3">
      <c r="A276" s="2">
        <f t="shared" si="4"/>
        <v>36674</v>
      </c>
      <c r="B276">
        <v>1.0035682426405002</v>
      </c>
      <c r="C276">
        <f>PRODUCT(B$41:$B276)</f>
        <v>1.3781710972346124</v>
      </c>
    </row>
    <row r="277" spans="1:3">
      <c r="A277" s="2">
        <f t="shared" si="4"/>
        <v>36644</v>
      </c>
      <c r="B277">
        <v>1.0008928571428577</v>
      </c>
      <c r="C277">
        <f>PRODUCT(B$41:$B277)</f>
        <v>1.3794016071428583</v>
      </c>
    </row>
    <row r="278" spans="1:3">
      <c r="A278" s="2">
        <f t="shared" si="4"/>
        <v>36613</v>
      </c>
      <c r="B278">
        <v>1.0026857654431514</v>
      </c>
      <c r="C278">
        <f>PRODUCT(B$41:$B278)</f>
        <v>1.38310635631155</v>
      </c>
    </row>
    <row r="279" spans="1:3">
      <c r="A279" s="2">
        <f t="shared" si="4"/>
        <v>36584</v>
      </c>
      <c r="B279">
        <v>1.0035938903863422</v>
      </c>
      <c r="C279">
        <f>PRODUCT(B$41:$B279)</f>
        <v>1.3880770889487868</v>
      </c>
    </row>
    <row r="280" spans="1:3">
      <c r="A280" s="2">
        <f t="shared" si="4"/>
        <v>36553</v>
      </c>
      <c r="B280">
        <v>1.0018001800180028</v>
      </c>
      <c r="C280">
        <f>PRODUCT(B$41:$B280)</f>
        <v>1.3905758775877599</v>
      </c>
    </row>
    <row r="281" spans="1:3">
      <c r="A281" s="2">
        <f t="shared" si="4"/>
        <v>36522</v>
      </c>
      <c r="B281">
        <v>1.0009009009009</v>
      </c>
      <c r="C281">
        <f>PRODUCT(B$41:$B281)</f>
        <v>1.3918286486486486</v>
      </c>
    </row>
    <row r="282" spans="1:3">
      <c r="A282" s="2">
        <f t="shared" si="4"/>
        <v>36492</v>
      </c>
      <c r="B282">
        <v>1.0018050541516255</v>
      </c>
      <c r="C282">
        <f>PRODUCT(B$41:$B282)</f>
        <v>1.3943409747292432</v>
      </c>
    </row>
    <row r="283" spans="1:3">
      <c r="A283" s="2">
        <f t="shared" si="4"/>
        <v>36461</v>
      </c>
      <c r="B283">
        <v>1.003623188405796</v>
      </c>
      <c r="C283">
        <f>PRODUCT(B$41:$B283)</f>
        <v>1.3993929347826086</v>
      </c>
    </row>
    <row r="284" spans="1:3">
      <c r="A284" s="2">
        <f t="shared" si="4"/>
        <v>36431</v>
      </c>
      <c r="B284">
        <v>1.0018148820326689</v>
      </c>
      <c r="C284">
        <f>PRODUCT(B$41:$B284)</f>
        <v>1.4019326678765893</v>
      </c>
    </row>
    <row r="285" spans="1:3">
      <c r="A285" s="2">
        <f t="shared" si="4"/>
        <v>36400</v>
      </c>
      <c r="B285">
        <v>1.0009082652134429</v>
      </c>
      <c r="C285">
        <f>PRODUCT(B$41:$B285)</f>
        <v>1.4032059945504107</v>
      </c>
    </row>
    <row r="286" spans="1:3">
      <c r="A286" s="2">
        <f t="shared" si="4"/>
        <v>36369</v>
      </c>
      <c r="B286">
        <v>1.0027322404371573</v>
      </c>
      <c r="C286">
        <f>PRODUCT(B$41:$B286)</f>
        <v>1.4070398907103827</v>
      </c>
    </row>
    <row r="287" spans="1:3">
      <c r="A287" s="2">
        <f t="shared" si="4"/>
        <v>36339</v>
      </c>
      <c r="B287">
        <v>1</v>
      </c>
      <c r="C287">
        <f>PRODUCT(B$41:$B287)</f>
        <v>1.4070398907103827</v>
      </c>
    </row>
    <row r="288" spans="1:3">
      <c r="A288" s="2">
        <f t="shared" si="4"/>
        <v>36308</v>
      </c>
      <c r="B288">
        <v>1.0018248175182491</v>
      </c>
      <c r="C288">
        <f>PRODUCT(B$41:$B288)</f>
        <v>1.4096074817518265</v>
      </c>
    </row>
    <row r="289" spans="1:3">
      <c r="A289" s="2">
        <f t="shared" si="4"/>
        <v>36278</v>
      </c>
      <c r="B289">
        <v>1.002744739249771</v>
      </c>
      <c r="C289">
        <f>PRODUCT(B$41:$B289)</f>
        <v>1.4134764867337617</v>
      </c>
    </row>
    <row r="290" spans="1:3">
      <c r="A290" s="2">
        <f t="shared" si="4"/>
        <v>36247</v>
      </c>
      <c r="B290">
        <v>1.0018331805682856</v>
      </c>
      <c r="C290">
        <f>PRODUCT(B$41:$B290)</f>
        <v>1.4160676443629707</v>
      </c>
    </row>
    <row r="291" spans="1:3">
      <c r="A291" s="2">
        <f t="shared" si="4"/>
        <v>36219</v>
      </c>
      <c r="B291">
        <v>1.0018365472910924</v>
      </c>
      <c r="C291">
        <f>PRODUCT(B$41:$B291)</f>
        <v>1.4186683195592291</v>
      </c>
    </row>
    <row r="292" spans="1:3">
      <c r="A292" s="2">
        <f t="shared" si="4"/>
        <v>36188</v>
      </c>
      <c r="B292">
        <v>1.0009191176470593</v>
      </c>
      <c r="C292">
        <f>PRODUCT(B$41:$B292)</f>
        <v>1.41997224264706</v>
      </c>
    </row>
    <row r="293" spans="1:3">
      <c r="A293" s="2"/>
    </row>
    <row r="294" spans="1:3">
      <c r="A294" s="2"/>
    </row>
    <row r="295" spans="1:3">
      <c r="A295" s="2"/>
    </row>
    <row r="296" spans="1:3">
      <c r="A296" s="2"/>
    </row>
    <row r="297" spans="1:3">
      <c r="A297" s="2"/>
    </row>
    <row r="298" spans="1:3">
      <c r="A298" s="2"/>
    </row>
    <row r="299" spans="1:3">
      <c r="A299" s="2"/>
    </row>
    <row r="300" spans="1:3">
      <c r="A300" s="2"/>
    </row>
    <row r="301" spans="1:3">
      <c r="A301" s="2"/>
    </row>
    <row r="302" spans="1:3">
      <c r="A302" s="2"/>
    </row>
    <row r="303" spans="1:3">
      <c r="A303" s="2"/>
    </row>
    <row r="304" spans="1:3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</sheetData>
  <sortState xmlns:xlrd2="http://schemas.microsoft.com/office/spreadsheetml/2017/richdata2" ref="A1:B290">
    <sortCondition descending="1" ref="A1:A2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Attivo</vt:lpstr>
      <vt:lpstr>Attivo_Sintetico</vt:lpstr>
      <vt:lpstr>Conto Economico</vt:lpstr>
      <vt:lpstr>Depositi</vt:lpstr>
      <vt:lpstr>Depositi_Sintetico</vt:lpstr>
      <vt:lpstr>Prestiti</vt:lpstr>
      <vt:lpstr>Prestiti Sintetico</vt:lpstr>
      <vt:lpstr>Depositi_Tassi</vt:lpstr>
      <vt:lpstr>Prestiti_Tassi</vt:lpstr>
      <vt:lpstr>Passivo</vt:lpstr>
      <vt:lpstr>Passivo_Sintetico</vt:lpstr>
      <vt:lpstr>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2023-06-05T15:29:42Z</dcterms:modified>
</cp:coreProperties>
</file>